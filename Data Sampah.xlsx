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SPIL\Waste Management\Analisa Waste Management\"/>
    </mc:Choice>
  </mc:AlternateContent>
  <xr:revisionPtr revIDLastSave="0" documentId="13_ncr:1_{B612B143-ACE7-40A7-8385-02AA6BC49758}" xr6:coauthVersionLast="47" xr6:coauthVersionMax="47" xr10:uidLastSave="{00000000-0000-0000-0000-000000000000}"/>
  <bookViews>
    <workbookView xWindow="-120" yWindow="-120" windowWidth="20730" windowHeight="11040" activeTab="3" xr2:uid="{8B5EE6C1-741A-4301-9470-0E4606B9A399}"/>
  </bookViews>
  <sheets>
    <sheet name="Internal" sheetId="1" r:id="rId1"/>
    <sheet name="Data BBM" sheetId="2" r:id="rId2"/>
    <sheet name="Data Maintenance" sheetId="3" r:id="rId3"/>
    <sheet name="Eksternal" sheetId="4" r:id="rId4"/>
  </sheets>
  <calcPr calcId="181029"/>
</workbook>
</file>

<file path=xl/calcChain.xml><?xml version="1.0" encoding="utf-8"?>
<calcChain xmlns="http://schemas.openxmlformats.org/spreadsheetml/2006/main">
  <c r="H665" i="4" l="1"/>
  <c r="D665" i="4"/>
  <c r="A665" i="4" s="1"/>
  <c r="H664" i="4"/>
  <c r="D664" i="4"/>
  <c r="A664" i="4"/>
  <c r="H663" i="4"/>
  <c r="D663" i="4"/>
  <c r="A663" i="4"/>
  <c r="H662" i="4"/>
  <c r="D662" i="4"/>
  <c r="A662" i="4" s="1"/>
  <c r="H661" i="4"/>
  <c r="D661" i="4"/>
  <c r="A661" i="4" s="1"/>
  <c r="H660" i="4"/>
  <c r="D660" i="4"/>
  <c r="A660" i="4"/>
  <c r="H659" i="4"/>
  <c r="D659" i="4"/>
  <c r="A659" i="4" s="1"/>
  <c r="H658" i="4"/>
  <c r="D658" i="4"/>
  <c r="A658" i="4" s="1"/>
  <c r="H657" i="4"/>
  <c r="D657" i="4"/>
  <c r="A657" i="4" s="1"/>
  <c r="H656" i="4"/>
  <c r="D656" i="4"/>
  <c r="A656" i="4"/>
  <c r="H655" i="4"/>
  <c r="D655" i="4"/>
  <c r="A655" i="4" s="1"/>
  <c r="H654" i="4"/>
  <c r="D654" i="4"/>
  <c r="A654" i="4" s="1"/>
  <c r="H653" i="4"/>
  <c r="D653" i="4"/>
  <c r="A653" i="4" s="1"/>
  <c r="H652" i="4"/>
  <c r="D652" i="4"/>
  <c r="A652" i="4"/>
  <c r="H651" i="4"/>
  <c r="D651" i="4"/>
  <c r="A651" i="4" s="1"/>
  <c r="H650" i="4"/>
  <c r="D650" i="4"/>
  <c r="A650" i="4" s="1"/>
  <c r="H649" i="4"/>
  <c r="D649" i="4"/>
  <c r="A649" i="4" s="1"/>
  <c r="H648" i="4"/>
  <c r="D648" i="4"/>
  <c r="A648" i="4"/>
  <c r="H647" i="4"/>
  <c r="D647" i="4"/>
  <c r="A647" i="4" s="1"/>
  <c r="H646" i="4"/>
  <c r="D646" i="4"/>
  <c r="A646" i="4" s="1"/>
  <c r="H645" i="4"/>
  <c r="D645" i="4"/>
  <c r="A645" i="4" s="1"/>
  <c r="H644" i="4"/>
  <c r="D644" i="4"/>
  <c r="A644" i="4"/>
  <c r="H643" i="4"/>
  <c r="D643" i="4"/>
  <c r="A643" i="4" s="1"/>
  <c r="H642" i="4"/>
  <c r="D642" i="4"/>
  <c r="A642" i="4" s="1"/>
  <c r="H641" i="4"/>
  <c r="D641" i="4"/>
  <c r="A641" i="4" s="1"/>
  <c r="H640" i="4"/>
  <c r="D640" i="4"/>
  <c r="A640" i="4"/>
  <c r="H639" i="4"/>
  <c r="D639" i="4"/>
  <c r="A639" i="4" s="1"/>
  <c r="H638" i="4"/>
  <c r="D638" i="4"/>
  <c r="A638" i="4" s="1"/>
  <c r="H637" i="4"/>
  <c r="D637" i="4"/>
  <c r="A637" i="4" s="1"/>
  <c r="H636" i="4"/>
  <c r="D636" i="4"/>
  <c r="A636" i="4"/>
  <c r="H635" i="4"/>
  <c r="D635" i="4"/>
  <c r="A635" i="4" s="1"/>
  <c r="H634" i="4"/>
  <c r="D634" i="4"/>
  <c r="A634" i="4" s="1"/>
  <c r="H633" i="4"/>
  <c r="D633" i="4"/>
  <c r="A633" i="4" s="1"/>
  <c r="H632" i="4"/>
  <c r="D632" i="4"/>
  <c r="A632" i="4"/>
  <c r="H631" i="4"/>
  <c r="D631" i="4"/>
  <c r="A631" i="4" s="1"/>
  <c r="H630" i="4"/>
  <c r="D630" i="4"/>
  <c r="A630" i="4" s="1"/>
  <c r="H629" i="4"/>
  <c r="D629" i="4"/>
  <c r="A629" i="4" s="1"/>
  <c r="H628" i="4"/>
  <c r="D628" i="4"/>
  <c r="A628" i="4"/>
  <c r="H627" i="4"/>
  <c r="D627" i="4"/>
  <c r="A627" i="4" s="1"/>
  <c r="H626" i="4"/>
  <c r="D626" i="4"/>
  <c r="A626" i="4" s="1"/>
  <c r="H625" i="4"/>
  <c r="D625" i="4"/>
  <c r="A625" i="4" s="1"/>
  <c r="A624" i="4"/>
  <c r="H623" i="4"/>
  <c r="D623" i="4"/>
  <c r="A623" i="4" s="1"/>
  <c r="H622" i="4"/>
  <c r="D622" i="4"/>
  <c r="A622" i="4" s="1"/>
  <c r="H621" i="4"/>
  <c r="D621" i="4"/>
  <c r="A621" i="4"/>
  <c r="H620" i="4"/>
  <c r="D620" i="4"/>
  <c r="A620" i="4" s="1"/>
  <c r="H619" i="4"/>
  <c r="D619" i="4"/>
  <c r="A619" i="4" s="1"/>
  <c r="H618" i="4"/>
  <c r="D618" i="4"/>
  <c r="A618" i="4"/>
  <c r="H617" i="4"/>
  <c r="D617" i="4"/>
  <c r="A617" i="4" s="1"/>
  <c r="H616" i="4"/>
  <c r="D616" i="4"/>
  <c r="A616" i="4"/>
  <c r="H615" i="4"/>
  <c r="D615" i="4"/>
  <c r="A615" i="4" s="1"/>
  <c r="H614" i="4"/>
  <c r="D614" i="4"/>
  <c r="A614" i="4" s="1"/>
  <c r="H613" i="4"/>
  <c r="D613" i="4"/>
  <c r="A613" i="4"/>
  <c r="H612" i="4"/>
  <c r="D612" i="4"/>
  <c r="A612" i="4" s="1"/>
  <c r="H611" i="4"/>
  <c r="D611" i="4"/>
  <c r="A611" i="4" s="1"/>
  <c r="H610" i="4"/>
  <c r="D610" i="4"/>
  <c r="A610" i="4"/>
  <c r="H609" i="4"/>
  <c r="D609" i="4"/>
  <c r="A609" i="4" s="1"/>
  <c r="H608" i="4"/>
  <c r="D608" i="4"/>
  <c r="A608" i="4"/>
  <c r="H607" i="4"/>
  <c r="D607" i="4"/>
  <c r="A607" i="4" s="1"/>
  <c r="H606" i="4"/>
  <c r="D606" i="4"/>
  <c r="A606" i="4" s="1"/>
  <c r="H605" i="4"/>
  <c r="D605" i="4"/>
  <c r="A605" i="4"/>
  <c r="H604" i="4"/>
  <c r="D604" i="4"/>
  <c r="A604" i="4" s="1"/>
  <c r="H603" i="4"/>
  <c r="D603" i="4"/>
  <c r="A603" i="4" s="1"/>
  <c r="H602" i="4"/>
  <c r="D602" i="4"/>
  <c r="A602" i="4"/>
  <c r="H601" i="4"/>
  <c r="D601" i="4"/>
  <c r="A601" i="4" s="1"/>
  <c r="H600" i="4"/>
  <c r="D600" i="4"/>
  <c r="A600" i="4"/>
  <c r="H599" i="4"/>
  <c r="D599" i="4"/>
  <c r="A599" i="4" s="1"/>
  <c r="H598" i="4"/>
  <c r="D598" i="4"/>
  <c r="A598" i="4" s="1"/>
  <c r="H597" i="4"/>
  <c r="D597" i="4"/>
  <c r="A597" i="4"/>
  <c r="H596" i="4"/>
  <c r="D596" i="4"/>
  <c r="A596" i="4" s="1"/>
  <c r="H595" i="4"/>
  <c r="D595" i="4"/>
  <c r="A595" i="4" s="1"/>
  <c r="H594" i="4"/>
  <c r="D594" i="4"/>
  <c r="A594" i="4"/>
  <c r="H593" i="4"/>
  <c r="D593" i="4"/>
  <c r="A593" i="4" s="1"/>
  <c r="H592" i="4"/>
  <c r="D592" i="4"/>
  <c r="A592" i="4"/>
  <c r="H591" i="4"/>
  <c r="D591" i="4"/>
  <c r="A591" i="4" s="1"/>
  <c r="H590" i="4"/>
  <c r="D590" i="4"/>
  <c r="A590" i="4" s="1"/>
  <c r="H589" i="4"/>
  <c r="D589" i="4"/>
  <c r="A589" i="4"/>
  <c r="H588" i="4"/>
  <c r="D588" i="4"/>
  <c r="A588" i="4" s="1"/>
  <c r="H587" i="4"/>
  <c r="D587" i="4"/>
  <c r="A587" i="4" s="1"/>
  <c r="H586" i="4"/>
  <c r="D586" i="4"/>
  <c r="A586" i="4"/>
  <c r="H585" i="4"/>
  <c r="D585" i="4"/>
  <c r="A585" i="4" s="1"/>
  <c r="H584" i="4"/>
  <c r="D584" i="4"/>
  <c r="A584" i="4"/>
  <c r="H583" i="4"/>
  <c r="D583" i="4"/>
  <c r="A583" i="4" s="1"/>
  <c r="H582" i="4"/>
  <c r="D582" i="4"/>
  <c r="A582" i="4" s="1"/>
  <c r="H581" i="4"/>
  <c r="D581" i="4"/>
  <c r="A581" i="4"/>
  <c r="H580" i="4"/>
  <c r="D580" i="4"/>
  <c r="A580" i="4" s="1"/>
  <c r="H579" i="4"/>
  <c r="D579" i="4"/>
  <c r="A579" i="4" s="1"/>
  <c r="H578" i="4"/>
  <c r="D578" i="4"/>
  <c r="A578" i="4"/>
  <c r="H577" i="4"/>
  <c r="D577" i="4"/>
  <c r="A577" i="4" s="1"/>
  <c r="H576" i="4"/>
  <c r="D576" i="4"/>
  <c r="A576" i="4"/>
  <c r="H575" i="4"/>
  <c r="D575" i="4"/>
  <c r="A575" i="4" s="1"/>
  <c r="H574" i="4"/>
  <c r="D574" i="4"/>
  <c r="A574" i="4" s="1"/>
  <c r="H573" i="4"/>
  <c r="D573" i="4"/>
  <c r="A573" i="4"/>
  <c r="H572" i="4"/>
  <c r="D572" i="4"/>
  <c r="A572" i="4" s="1"/>
  <c r="H571" i="4"/>
  <c r="D571" i="4"/>
  <c r="A571" i="4" s="1"/>
  <c r="A570" i="4"/>
  <c r="H569" i="4"/>
  <c r="D569" i="4"/>
  <c r="A569" i="4" s="1"/>
  <c r="H568" i="4"/>
  <c r="D568" i="4"/>
  <c r="A568" i="4" s="1"/>
  <c r="H567" i="4"/>
  <c r="D567" i="4"/>
  <c r="A567" i="4"/>
  <c r="H566" i="4"/>
  <c r="D566" i="4"/>
  <c r="A566" i="4" s="1"/>
  <c r="H565" i="4"/>
  <c r="D565" i="4"/>
  <c r="A565" i="4" s="1"/>
  <c r="H564" i="4"/>
  <c r="D564" i="4"/>
  <c r="A564" i="4"/>
  <c r="H563" i="4"/>
  <c r="D563" i="4"/>
  <c r="A563" i="4" s="1"/>
  <c r="H562" i="4"/>
  <c r="D562" i="4"/>
  <c r="A562" i="4"/>
  <c r="H561" i="4"/>
  <c r="D561" i="4"/>
  <c r="A561" i="4" s="1"/>
  <c r="H560" i="4"/>
  <c r="D560" i="4"/>
  <c r="A560" i="4" s="1"/>
  <c r="H559" i="4"/>
  <c r="D559" i="4"/>
  <c r="A559" i="4"/>
  <c r="H558" i="4"/>
  <c r="D558" i="4"/>
  <c r="A558" i="4" s="1"/>
  <c r="H557" i="4"/>
  <c r="D557" i="4"/>
  <c r="A557" i="4" s="1"/>
  <c r="H556" i="4"/>
  <c r="D556" i="4"/>
  <c r="A556" i="4"/>
  <c r="H555" i="4"/>
  <c r="D555" i="4"/>
  <c r="A555" i="4" s="1"/>
  <c r="H554" i="4"/>
  <c r="D554" i="4"/>
  <c r="A554" i="4"/>
  <c r="H553" i="4"/>
  <c r="D553" i="4"/>
  <c r="A553" i="4" s="1"/>
  <c r="H552" i="4"/>
  <c r="D552" i="4"/>
  <c r="A552" i="4" s="1"/>
  <c r="H551" i="4"/>
  <c r="D551" i="4"/>
  <c r="A551" i="4"/>
  <c r="H550" i="4"/>
  <c r="D550" i="4"/>
  <c r="A550" i="4" s="1"/>
  <c r="H549" i="4"/>
  <c r="D549" i="4"/>
  <c r="A549" i="4" s="1"/>
  <c r="H548" i="4"/>
  <c r="D548" i="4"/>
  <c r="A548" i="4"/>
  <c r="H547" i="4"/>
  <c r="D547" i="4"/>
  <c r="A547" i="4" s="1"/>
  <c r="H546" i="4"/>
  <c r="D546" i="4"/>
  <c r="A546" i="4"/>
  <c r="H545" i="4"/>
  <c r="D545" i="4"/>
  <c r="A545" i="4" s="1"/>
  <c r="H544" i="4"/>
  <c r="D544" i="4"/>
  <c r="A544" i="4" s="1"/>
  <c r="H543" i="4"/>
  <c r="D543" i="4"/>
  <c r="A543" i="4"/>
  <c r="H542" i="4"/>
  <c r="D542" i="4"/>
  <c r="A542" i="4" s="1"/>
  <c r="H541" i="4"/>
  <c r="D541" i="4"/>
  <c r="A541" i="4" s="1"/>
  <c r="H540" i="4"/>
  <c r="D540" i="4"/>
  <c r="A540" i="4"/>
  <c r="H539" i="4"/>
  <c r="D539" i="4"/>
  <c r="A539" i="4" s="1"/>
  <c r="H538" i="4"/>
  <c r="D538" i="4"/>
  <c r="A538" i="4"/>
  <c r="H537" i="4"/>
  <c r="D537" i="4"/>
  <c r="A537" i="4" s="1"/>
  <c r="H536" i="4"/>
  <c r="D536" i="4"/>
  <c r="A536" i="4" s="1"/>
  <c r="H535" i="4"/>
  <c r="D535" i="4"/>
  <c r="A535" i="4"/>
  <c r="H534" i="4"/>
  <c r="D534" i="4"/>
  <c r="A534" i="4" s="1"/>
  <c r="H533" i="4"/>
  <c r="D533" i="4"/>
  <c r="A533" i="4" s="1"/>
  <c r="H532" i="4"/>
  <c r="D532" i="4"/>
  <c r="A532" i="4"/>
  <c r="H531" i="4"/>
  <c r="D531" i="4"/>
  <c r="A531" i="4" s="1"/>
  <c r="H530" i="4"/>
  <c r="D530" i="4"/>
  <c r="A530" i="4"/>
  <c r="H529" i="4"/>
  <c r="D529" i="4"/>
  <c r="A529" i="4" s="1"/>
  <c r="H528" i="4"/>
  <c r="D528" i="4"/>
  <c r="A528" i="4" s="1"/>
  <c r="H527" i="4"/>
  <c r="D527" i="4"/>
  <c r="A527" i="4"/>
  <c r="A526" i="4"/>
  <c r="H525" i="4"/>
  <c r="D525" i="4"/>
  <c r="A525" i="4"/>
  <c r="H524" i="4"/>
  <c r="D524" i="4"/>
  <c r="A524" i="4" s="1"/>
  <c r="H523" i="4"/>
  <c r="D523" i="4"/>
  <c r="A523" i="4" s="1"/>
  <c r="H522" i="4"/>
  <c r="D522" i="4"/>
  <c r="A522" i="4"/>
  <c r="H521" i="4"/>
  <c r="D521" i="4"/>
  <c r="A521" i="4" s="1"/>
  <c r="H520" i="4"/>
  <c r="D520" i="4"/>
  <c r="A520" i="4"/>
  <c r="H519" i="4"/>
  <c r="D519" i="4"/>
  <c r="A519" i="4" s="1"/>
  <c r="H518" i="4"/>
  <c r="D518" i="4"/>
  <c r="A518" i="4" s="1"/>
  <c r="H517" i="4"/>
  <c r="D517" i="4"/>
  <c r="A517" i="4"/>
  <c r="H516" i="4"/>
  <c r="D516" i="4"/>
  <c r="A516" i="4" s="1"/>
  <c r="H515" i="4"/>
  <c r="D515" i="4"/>
  <c r="A515" i="4" s="1"/>
  <c r="H514" i="4"/>
  <c r="D514" i="4"/>
  <c r="A514" i="4"/>
  <c r="H513" i="4"/>
  <c r="D513" i="4"/>
  <c r="A513" i="4" s="1"/>
  <c r="H512" i="4"/>
  <c r="D512" i="4"/>
  <c r="A512" i="4"/>
  <c r="H511" i="4"/>
  <c r="D511" i="4"/>
  <c r="A511" i="4" s="1"/>
  <c r="H510" i="4"/>
  <c r="D510" i="4"/>
  <c r="A510" i="4" s="1"/>
  <c r="H509" i="4"/>
  <c r="D509" i="4"/>
  <c r="A509" i="4"/>
  <c r="H508" i="4"/>
  <c r="D508" i="4"/>
  <c r="A508" i="4" s="1"/>
  <c r="H507" i="4"/>
  <c r="D507" i="4"/>
  <c r="A507" i="4" s="1"/>
  <c r="H506" i="4"/>
  <c r="D506" i="4"/>
  <c r="A506" i="4"/>
  <c r="H505" i="4"/>
  <c r="D505" i="4"/>
  <c r="A505" i="4" s="1"/>
  <c r="H504" i="4"/>
  <c r="D504" i="4"/>
  <c r="A504" i="4"/>
  <c r="A503" i="4"/>
  <c r="H502" i="4"/>
  <c r="D502" i="4"/>
  <c r="A502" i="4"/>
  <c r="H501" i="4"/>
  <c r="D501" i="4"/>
  <c r="A501" i="4" s="1"/>
  <c r="H500" i="4"/>
  <c r="D500" i="4"/>
  <c r="A500" i="4" s="1"/>
  <c r="H499" i="4"/>
  <c r="D499" i="4"/>
  <c r="A499" i="4"/>
  <c r="H498" i="4"/>
  <c r="D498" i="4"/>
  <c r="A498" i="4" s="1"/>
  <c r="H497" i="4"/>
  <c r="D497" i="4"/>
  <c r="A497" i="4" s="1"/>
  <c r="H496" i="4"/>
  <c r="D496" i="4"/>
  <c r="A496" i="4"/>
  <c r="H495" i="4"/>
  <c r="D495" i="4"/>
  <c r="A495" i="4" s="1"/>
  <c r="H494" i="4"/>
  <c r="D494" i="4"/>
  <c r="A494" i="4"/>
  <c r="H493" i="4"/>
  <c r="D493" i="4"/>
  <c r="A493" i="4" s="1"/>
  <c r="H492" i="4"/>
  <c r="D492" i="4"/>
  <c r="A492" i="4" s="1"/>
  <c r="H491" i="4"/>
  <c r="D491" i="4"/>
  <c r="A491" i="4"/>
  <c r="H490" i="4"/>
  <c r="D490" i="4"/>
  <c r="A490" i="4" s="1"/>
  <c r="H489" i="4"/>
  <c r="D489" i="4"/>
  <c r="A489" i="4" s="1"/>
  <c r="H488" i="4"/>
  <c r="D488" i="4"/>
  <c r="A488" i="4"/>
  <c r="H487" i="4"/>
  <c r="D487" i="4"/>
  <c r="A487" i="4" s="1"/>
  <c r="H486" i="4"/>
  <c r="D486" i="4"/>
  <c r="A486" i="4"/>
  <c r="H485" i="4"/>
  <c r="D485" i="4"/>
  <c r="A485" i="4" s="1"/>
  <c r="H484" i="4"/>
  <c r="D484" i="4"/>
  <c r="A484" i="4" s="1"/>
  <c r="H483" i="4"/>
  <c r="D483" i="4"/>
  <c r="A483" i="4"/>
  <c r="H482" i="4"/>
  <c r="D482" i="4"/>
  <c r="A482" i="4" s="1"/>
  <c r="H481" i="4"/>
  <c r="D481" i="4"/>
  <c r="A481" i="4" s="1"/>
  <c r="H480" i="4"/>
  <c r="D480" i="4"/>
  <c r="A480" i="4"/>
  <c r="H479" i="4"/>
  <c r="D479" i="4"/>
  <c r="A479" i="4" s="1"/>
  <c r="H478" i="4"/>
  <c r="D478" i="4"/>
  <c r="A478" i="4"/>
  <c r="H477" i="4"/>
  <c r="D477" i="4"/>
  <c r="A477" i="4" s="1"/>
  <c r="H476" i="4"/>
  <c r="D476" i="4"/>
  <c r="A476" i="4" s="1"/>
  <c r="H475" i="4"/>
  <c r="D475" i="4"/>
  <c r="A475" i="4"/>
  <c r="H474" i="4"/>
  <c r="D474" i="4"/>
  <c r="A474" i="4" s="1"/>
  <c r="H473" i="4"/>
  <c r="D473" i="4"/>
  <c r="A473" i="4" s="1"/>
  <c r="H472" i="4"/>
  <c r="D472" i="4"/>
  <c r="A472" i="4"/>
  <c r="H471" i="4"/>
  <c r="D471" i="4"/>
  <c r="A471" i="4" s="1"/>
  <c r="H470" i="4"/>
  <c r="D470" i="4"/>
  <c r="A470" i="4"/>
  <c r="H469" i="4"/>
  <c r="D469" i="4"/>
  <c r="A469" i="4" s="1"/>
  <c r="H468" i="4"/>
  <c r="D468" i="4"/>
  <c r="A468" i="4" s="1"/>
  <c r="H467" i="4"/>
  <c r="D467" i="4"/>
  <c r="A467" i="4"/>
  <c r="H466" i="4"/>
  <c r="D466" i="4"/>
  <c r="A466" i="4" s="1"/>
  <c r="H465" i="4"/>
  <c r="D465" i="4"/>
  <c r="A465" i="4" s="1"/>
  <c r="H464" i="4"/>
  <c r="D464" i="4"/>
  <c r="A464" i="4"/>
  <c r="H463" i="4"/>
  <c r="D463" i="4"/>
  <c r="A463" i="4" s="1"/>
  <c r="H462" i="4"/>
  <c r="D462" i="4"/>
  <c r="A462" i="4"/>
  <c r="H461" i="4"/>
  <c r="D461" i="4"/>
  <c r="A461" i="4" s="1"/>
  <c r="A460" i="4"/>
  <c r="H459" i="4"/>
  <c r="D459" i="4"/>
  <c r="A459" i="4" s="1"/>
  <c r="H458" i="4"/>
  <c r="D458" i="4"/>
  <c r="A458" i="4"/>
  <c r="H457" i="4"/>
  <c r="D457" i="4"/>
  <c r="A457" i="4" s="1"/>
  <c r="H456" i="4"/>
  <c r="D456" i="4"/>
  <c r="A456" i="4"/>
  <c r="H455" i="4"/>
  <c r="D455" i="4"/>
  <c r="A455" i="4" s="1"/>
  <c r="H454" i="4"/>
  <c r="D454" i="4"/>
  <c r="A454" i="4" s="1"/>
  <c r="H453" i="4"/>
  <c r="D453" i="4"/>
  <c r="A453" i="4"/>
  <c r="H452" i="4"/>
  <c r="D452" i="4"/>
  <c r="A452" i="4" s="1"/>
  <c r="H451" i="4"/>
  <c r="D451" i="4"/>
  <c r="A451" i="4" s="1"/>
  <c r="H450" i="4"/>
  <c r="D450" i="4"/>
  <c r="A450" i="4"/>
  <c r="H449" i="4"/>
  <c r="D449" i="4"/>
  <c r="A449" i="4" s="1"/>
  <c r="H448" i="4"/>
  <c r="D448" i="4"/>
  <c r="A448" i="4"/>
  <c r="H447" i="4"/>
  <c r="D447" i="4"/>
  <c r="A447" i="4" s="1"/>
  <c r="H446" i="4"/>
  <c r="D446" i="4"/>
  <c r="A446" i="4" s="1"/>
  <c r="H445" i="4"/>
  <c r="D445" i="4"/>
  <c r="A445" i="4"/>
  <c r="H444" i="4"/>
  <c r="D444" i="4"/>
  <c r="A444" i="4" s="1"/>
  <c r="H443" i="4"/>
  <c r="D443" i="4"/>
  <c r="A443" i="4" s="1"/>
  <c r="H442" i="4"/>
  <c r="D442" i="4"/>
  <c r="A442" i="4"/>
  <c r="H441" i="4"/>
  <c r="D441" i="4"/>
  <c r="A441" i="4" s="1"/>
  <c r="H440" i="4"/>
  <c r="D440" i="4"/>
  <c r="A440" i="4"/>
  <c r="H439" i="4"/>
  <c r="D439" i="4"/>
  <c r="A439" i="4" s="1"/>
  <c r="H438" i="4"/>
  <c r="D438" i="4"/>
  <c r="A438" i="4" s="1"/>
  <c r="H437" i="4"/>
  <c r="D437" i="4"/>
  <c r="A437" i="4"/>
  <c r="H436" i="4"/>
  <c r="D436" i="4"/>
  <c r="A436" i="4" s="1"/>
  <c r="H435" i="4"/>
  <c r="D435" i="4"/>
  <c r="A435" i="4" s="1"/>
  <c r="H434" i="4"/>
  <c r="D434" i="4"/>
  <c r="A434" i="4"/>
  <c r="H433" i="4"/>
  <c r="D433" i="4"/>
  <c r="A433" i="4" s="1"/>
  <c r="H432" i="4"/>
  <c r="D432" i="4"/>
  <c r="A432" i="4"/>
  <c r="H431" i="4"/>
  <c r="D431" i="4"/>
  <c r="A431" i="4" s="1"/>
  <c r="H430" i="4"/>
  <c r="D430" i="4"/>
  <c r="A430" i="4" s="1"/>
  <c r="H429" i="4"/>
  <c r="D429" i="4"/>
  <c r="A429" i="4"/>
  <c r="H428" i="4"/>
  <c r="D428" i="4"/>
  <c r="A428" i="4" s="1"/>
  <c r="H427" i="4"/>
  <c r="D427" i="4"/>
  <c r="A427" i="4" s="1"/>
  <c r="H426" i="4"/>
  <c r="D426" i="4"/>
  <c r="A426" i="4"/>
  <c r="H425" i="4"/>
  <c r="D425" i="4"/>
  <c r="A425" i="4" s="1"/>
  <c r="H424" i="4"/>
  <c r="D424" i="4"/>
  <c r="A424" i="4"/>
  <c r="H423" i="4"/>
  <c r="D423" i="4"/>
  <c r="A423" i="4" s="1"/>
  <c r="H422" i="4"/>
  <c r="D422" i="4"/>
  <c r="A422" i="4" s="1"/>
  <c r="H421" i="4"/>
  <c r="D421" i="4"/>
  <c r="A421" i="4"/>
  <c r="H420" i="4"/>
  <c r="D420" i="4"/>
  <c r="A420" i="4" s="1"/>
  <c r="H419" i="4"/>
  <c r="D419" i="4"/>
  <c r="A419" i="4" s="1"/>
  <c r="H418" i="4"/>
  <c r="D418" i="4"/>
  <c r="A418" i="4"/>
  <c r="H417" i="4"/>
  <c r="D417" i="4"/>
  <c r="A417" i="4" s="1"/>
  <c r="A416" i="4"/>
  <c r="H415" i="4"/>
  <c r="D415" i="4"/>
  <c r="A415" i="4" s="1"/>
  <c r="H414" i="4"/>
  <c r="D414" i="4"/>
  <c r="A414" i="4"/>
  <c r="H413" i="4"/>
  <c r="D413" i="4"/>
  <c r="A413" i="4" s="1"/>
  <c r="H412" i="4"/>
  <c r="D412" i="4"/>
  <c r="A412" i="4" s="1"/>
  <c r="H411" i="4"/>
  <c r="D411" i="4"/>
  <c r="A411" i="4"/>
  <c r="H410" i="4"/>
  <c r="D410" i="4"/>
  <c r="A410" i="4" s="1"/>
  <c r="H409" i="4"/>
  <c r="D409" i="4"/>
  <c r="A409" i="4" s="1"/>
  <c r="H408" i="4"/>
  <c r="D408" i="4"/>
  <c r="A408" i="4"/>
  <c r="H407" i="4"/>
  <c r="D407" i="4"/>
  <c r="A407" i="4" s="1"/>
  <c r="H406" i="4"/>
  <c r="D406" i="4"/>
  <c r="A406" i="4"/>
  <c r="H405" i="4"/>
  <c r="D405" i="4"/>
  <c r="A405" i="4" s="1"/>
  <c r="H404" i="4"/>
  <c r="D404" i="4"/>
  <c r="A404" i="4" s="1"/>
  <c r="H403" i="4"/>
  <c r="D403" i="4"/>
  <c r="A403" i="4"/>
  <c r="H402" i="4"/>
  <c r="D402" i="4"/>
  <c r="A402" i="4" s="1"/>
  <c r="H401" i="4"/>
  <c r="D401" i="4"/>
  <c r="A401" i="4" s="1"/>
  <c r="H400" i="4"/>
  <c r="D400" i="4"/>
  <c r="A400" i="4"/>
  <c r="H399" i="4"/>
  <c r="D399" i="4"/>
  <c r="A399" i="4" s="1"/>
  <c r="H398" i="4"/>
  <c r="D398" i="4"/>
  <c r="A398" i="4"/>
  <c r="H397" i="4"/>
  <c r="D397" i="4"/>
  <c r="A397" i="4" s="1"/>
  <c r="H396" i="4"/>
  <c r="D396" i="4"/>
  <c r="A396" i="4" s="1"/>
  <c r="H395" i="4"/>
  <c r="D395" i="4"/>
  <c r="A395" i="4"/>
  <c r="H394" i="4"/>
  <c r="D394" i="4"/>
  <c r="A394" i="4" s="1"/>
  <c r="H393" i="4"/>
  <c r="D393" i="4"/>
  <c r="A393" i="4" s="1"/>
  <c r="H392" i="4"/>
  <c r="D392" i="4"/>
  <c r="A392" i="4"/>
  <c r="H391" i="4"/>
  <c r="D391" i="4"/>
  <c r="A391" i="4" s="1"/>
  <c r="H390" i="4"/>
  <c r="D390" i="4"/>
  <c r="A390" i="4"/>
  <c r="H389" i="4"/>
  <c r="D389" i="4"/>
  <c r="A389" i="4" s="1"/>
  <c r="H388" i="4"/>
  <c r="D388" i="4"/>
  <c r="A388" i="4" s="1"/>
  <c r="H387" i="4"/>
  <c r="D387" i="4"/>
  <c r="A387" i="4"/>
  <c r="H386" i="4"/>
  <c r="D386" i="4"/>
  <c r="A386" i="4" s="1"/>
  <c r="H385" i="4"/>
  <c r="D385" i="4"/>
  <c r="A385" i="4" s="1"/>
  <c r="H384" i="4"/>
  <c r="D384" i="4"/>
  <c r="A384" i="4"/>
  <c r="H383" i="4"/>
  <c r="D383" i="4"/>
  <c r="A383" i="4" s="1"/>
  <c r="H382" i="4"/>
  <c r="D382" i="4"/>
  <c r="A382" i="4"/>
  <c r="H381" i="4"/>
  <c r="D381" i="4"/>
  <c r="A381" i="4" s="1"/>
  <c r="H380" i="4"/>
  <c r="D380" i="4"/>
  <c r="A380" i="4" s="1"/>
  <c r="H379" i="4"/>
  <c r="D379" i="4"/>
  <c r="A379" i="4"/>
  <c r="H378" i="4"/>
  <c r="D378" i="4"/>
  <c r="A378" i="4" s="1"/>
  <c r="H377" i="4"/>
  <c r="D377" i="4"/>
  <c r="A377" i="4" s="1"/>
  <c r="H376" i="4"/>
  <c r="D376" i="4"/>
  <c r="A376" i="4"/>
  <c r="A375" i="4"/>
  <c r="H374" i="4"/>
  <c r="D374" i="4"/>
  <c r="A374" i="4" s="1"/>
  <c r="H373" i="4"/>
  <c r="D373" i="4"/>
  <c r="A373" i="4" s="1"/>
  <c r="H372" i="4"/>
  <c r="D372" i="4"/>
  <c r="A372" i="4" s="1"/>
  <c r="H371" i="4"/>
  <c r="D371" i="4"/>
  <c r="A371" i="4" s="1"/>
  <c r="H370" i="4"/>
  <c r="D370" i="4"/>
  <c r="A370" i="4" s="1"/>
  <c r="H369" i="4"/>
  <c r="D369" i="4"/>
  <c r="A369" i="4" s="1"/>
  <c r="H368" i="4"/>
  <c r="D368" i="4"/>
  <c r="A368" i="4" s="1"/>
  <c r="H367" i="4"/>
  <c r="D367" i="4"/>
  <c r="A367" i="4" s="1"/>
  <c r="H366" i="4"/>
  <c r="D366" i="4"/>
  <c r="A366" i="4" s="1"/>
  <c r="H365" i="4"/>
  <c r="D365" i="4"/>
  <c r="A365" i="4" s="1"/>
  <c r="H364" i="4"/>
  <c r="D364" i="4"/>
  <c r="A364" i="4" s="1"/>
  <c r="H363" i="4"/>
  <c r="D363" i="4"/>
  <c r="A363" i="4" s="1"/>
  <c r="H362" i="4"/>
  <c r="D362" i="4"/>
  <c r="A362" i="4" s="1"/>
  <c r="H361" i="4"/>
  <c r="D361" i="4"/>
  <c r="A361" i="4"/>
  <c r="H360" i="4"/>
  <c r="D360" i="4"/>
  <c r="A360" i="4" s="1"/>
  <c r="H359" i="4"/>
  <c r="D359" i="4"/>
  <c r="A359" i="4"/>
  <c r="H358" i="4"/>
  <c r="D358" i="4"/>
  <c r="A358" i="4" s="1"/>
  <c r="H357" i="4"/>
  <c r="D357" i="4"/>
  <c r="A357" i="4"/>
  <c r="H356" i="4"/>
  <c r="D356" i="4"/>
  <c r="A356" i="4" s="1"/>
  <c r="H355" i="4"/>
  <c r="D355" i="4"/>
  <c r="A355" i="4"/>
  <c r="H354" i="4"/>
  <c r="D354" i="4"/>
  <c r="A354" i="4" s="1"/>
  <c r="H353" i="4"/>
  <c r="D353" i="4"/>
  <c r="A353" i="4"/>
  <c r="H352" i="4"/>
  <c r="D352" i="4"/>
  <c r="A352" i="4" s="1"/>
  <c r="H351" i="4"/>
  <c r="D351" i="4"/>
  <c r="A351" i="4"/>
  <c r="H350" i="4"/>
  <c r="D350" i="4"/>
  <c r="A350" i="4" s="1"/>
  <c r="H349" i="4"/>
  <c r="D349" i="4"/>
  <c r="A349" i="4"/>
  <c r="H348" i="4"/>
  <c r="D348" i="4"/>
  <c r="A348" i="4" s="1"/>
  <c r="H347" i="4"/>
  <c r="D347" i="4"/>
  <c r="A347" i="4"/>
  <c r="H346" i="4"/>
  <c r="D346" i="4"/>
  <c r="A346" i="4" s="1"/>
  <c r="A345" i="4"/>
  <c r="H344" i="4"/>
  <c r="D344" i="4"/>
  <c r="A344" i="4" s="1"/>
  <c r="H343" i="4"/>
  <c r="D343" i="4"/>
  <c r="A343" i="4" s="1"/>
  <c r="H342" i="4"/>
  <c r="D342" i="4"/>
  <c r="A342" i="4" s="1"/>
  <c r="H341" i="4"/>
  <c r="D341" i="4"/>
  <c r="A341" i="4" s="1"/>
  <c r="H340" i="4"/>
  <c r="D340" i="4"/>
  <c r="A340" i="4" s="1"/>
  <c r="H339" i="4"/>
  <c r="D339" i="4"/>
  <c r="A339" i="4" s="1"/>
  <c r="H338" i="4"/>
  <c r="D338" i="4"/>
  <c r="A338" i="4" s="1"/>
  <c r="H337" i="4"/>
  <c r="D337" i="4"/>
  <c r="A337" i="4" s="1"/>
  <c r="H336" i="4"/>
  <c r="D336" i="4"/>
  <c r="A336" i="4" s="1"/>
  <c r="H335" i="4"/>
  <c r="D335" i="4"/>
  <c r="A335" i="4" s="1"/>
  <c r="H334" i="4"/>
  <c r="D334" i="4"/>
  <c r="A334" i="4" s="1"/>
  <c r="H333" i="4"/>
  <c r="D333" i="4"/>
  <c r="A333" i="4" s="1"/>
  <c r="H332" i="4"/>
  <c r="D332" i="4"/>
  <c r="A332" i="4" s="1"/>
  <c r="H331" i="4"/>
  <c r="D331" i="4"/>
  <c r="A331" i="4" s="1"/>
  <c r="H330" i="4"/>
  <c r="D330" i="4"/>
  <c r="A330" i="4" s="1"/>
  <c r="H329" i="4"/>
  <c r="D329" i="4"/>
  <c r="A329" i="4" s="1"/>
  <c r="H328" i="4"/>
  <c r="D328" i="4"/>
  <c r="A328" i="4" s="1"/>
  <c r="H327" i="4"/>
  <c r="D327" i="4"/>
  <c r="A327" i="4" s="1"/>
  <c r="H326" i="4"/>
  <c r="D326" i="4"/>
  <c r="A326" i="4" s="1"/>
  <c r="H325" i="4"/>
  <c r="D325" i="4"/>
  <c r="A325" i="4" s="1"/>
  <c r="H324" i="4"/>
  <c r="D324" i="4"/>
  <c r="A324" i="4" s="1"/>
  <c r="H323" i="4"/>
  <c r="D323" i="4"/>
  <c r="A323" i="4" s="1"/>
  <c r="H322" i="4"/>
  <c r="D322" i="4"/>
  <c r="A322" i="4" s="1"/>
  <c r="H321" i="4"/>
  <c r="D321" i="4"/>
  <c r="A321" i="4" s="1"/>
  <c r="H320" i="4"/>
  <c r="D320" i="4"/>
  <c r="A320" i="4" s="1"/>
  <c r="H319" i="4"/>
  <c r="D319" i="4"/>
  <c r="A319" i="4" s="1"/>
  <c r="H318" i="4"/>
  <c r="D318" i="4"/>
  <c r="A318" i="4" s="1"/>
  <c r="H317" i="4"/>
  <c r="D317" i="4"/>
  <c r="A317" i="4" s="1"/>
  <c r="H316" i="4"/>
  <c r="D316" i="4"/>
  <c r="A316" i="4" s="1"/>
  <c r="H315" i="4"/>
  <c r="D315" i="4"/>
  <c r="A315" i="4" s="1"/>
  <c r="H314" i="4"/>
  <c r="D314" i="4"/>
  <c r="A314" i="4" s="1"/>
  <c r="H313" i="4"/>
  <c r="D313" i="4"/>
  <c r="A313" i="4" s="1"/>
  <c r="H312" i="4"/>
  <c r="D312" i="4"/>
  <c r="A312" i="4" s="1"/>
  <c r="H311" i="4"/>
  <c r="D311" i="4"/>
  <c r="A311" i="4" s="1"/>
  <c r="H310" i="4"/>
  <c r="D310" i="4"/>
  <c r="A310" i="4" s="1"/>
  <c r="H309" i="4"/>
  <c r="D309" i="4"/>
  <c r="A309" i="4" s="1"/>
  <c r="H308" i="4"/>
  <c r="D308" i="4"/>
  <c r="A308" i="4" s="1"/>
  <c r="H307" i="4"/>
  <c r="D307" i="4"/>
  <c r="A307" i="4" s="1"/>
  <c r="H306" i="4"/>
  <c r="D306" i="4"/>
  <c r="A306" i="4" s="1"/>
  <c r="H305" i="4"/>
  <c r="D305" i="4"/>
  <c r="A305" i="4" s="1"/>
  <c r="H304" i="4"/>
  <c r="D304" i="4"/>
  <c r="A304" i="4" s="1"/>
  <c r="A303" i="4"/>
  <c r="H302" i="4"/>
  <c r="D302" i="4"/>
  <c r="H301" i="4"/>
  <c r="D301" i="4"/>
  <c r="H300" i="4"/>
  <c r="D300" i="4"/>
  <c r="H299" i="4"/>
  <c r="D299" i="4"/>
  <c r="H298" i="4"/>
  <c r="D298" i="4"/>
  <c r="H297" i="4"/>
  <c r="D297" i="4"/>
  <c r="H296" i="4"/>
  <c r="D296" i="4"/>
  <c r="H295" i="4"/>
  <c r="D295" i="4"/>
  <c r="H294" i="4"/>
  <c r="D294" i="4"/>
  <c r="H293" i="4"/>
  <c r="D293" i="4"/>
  <c r="H292" i="4"/>
  <c r="D292" i="4"/>
  <c r="H291" i="4"/>
  <c r="D291" i="4"/>
  <c r="H290" i="4"/>
  <c r="D290" i="4"/>
  <c r="H289" i="4"/>
  <c r="D289" i="4"/>
  <c r="H288" i="4"/>
  <c r="D288" i="4"/>
  <c r="H287" i="4"/>
  <c r="D287" i="4"/>
  <c r="H286" i="4"/>
  <c r="D286" i="4"/>
  <c r="H285" i="4"/>
  <c r="D285" i="4"/>
  <c r="H284" i="4"/>
  <c r="D284" i="4"/>
  <c r="H283" i="4"/>
  <c r="D283" i="4"/>
  <c r="H282" i="4"/>
  <c r="D282" i="4"/>
  <c r="H281" i="4"/>
  <c r="D281" i="4"/>
  <c r="H280" i="4"/>
  <c r="D280" i="4"/>
  <c r="H279" i="4"/>
  <c r="D279" i="4"/>
  <c r="H278" i="4"/>
  <c r="D278" i="4"/>
  <c r="H277" i="4"/>
  <c r="D277" i="4"/>
  <c r="H276" i="4"/>
  <c r="D276" i="4"/>
  <c r="H275" i="4"/>
  <c r="D275" i="4"/>
  <c r="H274" i="4"/>
  <c r="D274" i="4"/>
  <c r="H273" i="4"/>
  <c r="D273" i="4"/>
  <c r="H272" i="4"/>
  <c r="D272" i="4"/>
  <c r="A271" i="4"/>
  <c r="H270" i="4"/>
  <c r="D270" i="4"/>
  <c r="B270" i="4"/>
  <c r="A270" i="4"/>
  <c r="H269" i="4"/>
  <c r="D269" i="4"/>
  <c r="B269" i="4"/>
  <c r="A269" i="4"/>
  <c r="H268" i="4"/>
  <c r="D268" i="4"/>
  <c r="B268" i="4"/>
  <c r="A268" i="4"/>
  <c r="H267" i="4"/>
  <c r="D267" i="4"/>
  <c r="B267" i="4"/>
  <c r="A267" i="4"/>
  <c r="H266" i="4"/>
  <c r="D266" i="4"/>
  <c r="B266" i="4"/>
  <c r="A266" i="4"/>
  <c r="H265" i="4"/>
  <c r="D265" i="4"/>
  <c r="B265" i="4"/>
  <c r="A265" i="4"/>
  <c r="H264" i="4"/>
  <c r="D264" i="4"/>
  <c r="B264" i="4"/>
  <c r="A264" i="4"/>
  <c r="H263" i="4"/>
  <c r="D263" i="4"/>
  <c r="B263" i="4"/>
  <c r="A263" i="4"/>
  <c r="H262" i="4"/>
  <c r="D262" i="4"/>
  <c r="B262" i="4"/>
  <c r="A262" i="4"/>
  <c r="H261" i="4"/>
  <c r="D261" i="4"/>
  <c r="B261" i="4"/>
  <c r="A261" i="4"/>
  <c r="H260" i="4"/>
  <c r="D260" i="4"/>
  <c r="B260" i="4"/>
  <c r="A260" i="4"/>
  <c r="H259" i="4"/>
  <c r="D259" i="4"/>
  <c r="B259" i="4"/>
  <c r="A259" i="4"/>
  <c r="H258" i="4"/>
  <c r="D258" i="4"/>
  <c r="B258" i="4"/>
  <c r="A258" i="4"/>
  <c r="H257" i="4"/>
  <c r="D257" i="4"/>
  <c r="B257" i="4"/>
  <c r="A257" i="4"/>
  <c r="H256" i="4"/>
  <c r="D256" i="4"/>
  <c r="B256" i="4"/>
  <c r="A256" i="4"/>
  <c r="H255" i="4"/>
  <c r="D255" i="4"/>
  <c r="B255" i="4"/>
  <c r="A255" i="4"/>
  <c r="H254" i="4"/>
  <c r="D254" i="4"/>
  <c r="B254" i="4"/>
  <c r="A254" i="4"/>
  <c r="H253" i="4"/>
  <c r="D253" i="4"/>
  <c r="B253" i="4"/>
  <c r="A253" i="4"/>
  <c r="H252" i="4"/>
  <c r="D252" i="4"/>
  <c r="B252" i="4"/>
  <c r="A252" i="4"/>
  <c r="H251" i="4"/>
  <c r="D251" i="4"/>
  <c r="B251" i="4"/>
  <c r="A251" i="4"/>
  <c r="H250" i="4"/>
  <c r="D250" i="4"/>
  <c r="B250" i="4"/>
  <c r="A250" i="4"/>
  <c r="H249" i="4"/>
  <c r="D249" i="4"/>
  <c r="B249" i="4"/>
  <c r="A249" i="4"/>
  <c r="H248" i="4"/>
  <c r="D248" i="4"/>
  <c r="B248" i="4"/>
  <c r="A248" i="4"/>
  <c r="H247" i="4"/>
  <c r="D247" i="4"/>
  <c r="B247" i="4"/>
  <c r="A247" i="4"/>
  <c r="H246" i="4"/>
  <c r="D246" i="4"/>
  <c r="B246" i="4"/>
  <c r="A246" i="4"/>
  <c r="H245" i="4"/>
  <c r="D245" i="4"/>
  <c r="B245" i="4"/>
  <c r="A245" i="4"/>
  <c r="H244" i="4"/>
  <c r="D244" i="4"/>
  <c r="B244" i="4"/>
  <c r="A244" i="4"/>
  <c r="B243" i="4"/>
  <c r="A243" i="4"/>
  <c r="H242" i="4"/>
  <c r="B242" i="4"/>
  <c r="A242" i="4"/>
  <c r="H241" i="4"/>
  <c r="B241" i="4"/>
  <c r="A241" i="4"/>
  <c r="H240" i="4"/>
  <c r="B240" i="4"/>
  <c r="A240" i="4"/>
  <c r="H239" i="4"/>
  <c r="B239" i="4"/>
  <c r="A239" i="4"/>
  <c r="H238" i="4"/>
  <c r="B238" i="4"/>
  <c r="A238" i="4"/>
  <c r="H237" i="4"/>
  <c r="B237" i="4"/>
  <c r="A237" i="4"/>
  <c r="H236" i="4"/>
  <c r="B236" i="4"/>
  <c r="A236" i="4"/>
  <c r="H235" i="4"/>
  <c r="B235" i="4"/>
  <c r="A235" i="4"/>
  <c r="H234" i="4"/>
  <c r="B234" i="4"/>
  <c r="A234" i="4"/>
  <c r="H233" i="4"/>
  <c r="B233" i="4"/>
  <c r="A233" i="4"/>
  <c r="H232" i="4"/>
  <c r="B232" i="4"/>
  <c r="A232" i="4"/>
  <c r="H231" i="4"/>
  <c r="B231" i="4"/>
  <c r="A231" i="4"/>
  <c r="H230" i="4"/>
  <c r="B230" i="4"/>
  <c r="A230" i="4"/>
  <c r="H229" i="4"/>
  <c r="B229" i="4"/>
  <c r="A229" i="4"/>
  <c r="H228" i="4"/>
  <c r="B228" i="4"/>
  <c r="A228" i="4"/>
  <c r="H227" i="4"/>
  <c r="B227" i="4"/>
  <c r="A227" i="4"/>
  <c r="H226" i="4"/>
  <c r="B226" i="4"/>
  <c r="A226" i="4"/>
  <c r="H225" i="4"/>
  <c r="B225" i="4"/>
  <c r="A225" i="4"/>
  <c r="H224" i="4"/>
  <c r="B224" i="4"/>
  <c r="A224" i="4"/>
  <c r="H223" i="4"/>
  <c r="B223" i="4"/>
  <c r="A223" i="4"/>
  <c r="H222" i="4"/>
  <c r="B222" i="4"/>
  <c r="A222" i="4"/>
  <c r="H221" i="4"/>
  <c r="B221" i="4"/>
  <c r="A221" i="4"/>
  <c r="H220" i="4"/>
  <c r="B220" i="4"/>
  <c r="A220" i="4"/>
  <c r="H219" i="4"/>
  <c r="B219" i="4"/>
  <c r="A219" i="4"/>
  <c r="H218" i="4"/>
  <c r="B218" i="4"/>
  <c r="A218" i="4"/>
  <c r="B217" i="4"/>
  <c r="A217" i="4"/>
  <c r="H216" i="4"/>
  <c r="B216" i="4"/>
  <c r="A216" i="4"/>
  <c r="H215" i="4"/>
  <c r="B215" i="4"/>
  <c r="A215" i="4"/>
  <c r="H214" i="4"/>
  <c r="B214" i="4"/>
  <c r="A214" i="4"/>
  <c r="H213" i="4"/>
  <c r="B213" i="4"/>
  <c r="A213" i="4"/>
  <c r="H212" i="4"/>
  <c r="B212" i="4"/>
  <c r="A212" i="4"/>
  <c r="H211" i="4"/>
  <c r="B211" i="4"/>
  <c r="A211" i="4"/>
  <c r="H210" i="4"/>
  <c r="B210" i="4"/>
  <c r="A210" i="4"/>
  <c r="H209" i="4"/>
  <c r="B209" i="4"/>
  <c r="A209" i="4"/>
  <c r="H208" i="4"/>
  <c r="B208" i="4"/>
  <c r="A208" i="4"/>
  <c r="H207" i="4"/>
  <c r="B207" i="4"/>
  <c r="A207" i="4"/>
  <c r="H206" i="4"/>
  <c r="B206" i="4"/>
  <c r="A206" i="4"/>
  <c r="H205" i="4"/>
  <c r="B205" i="4"/>
  <c r="A205" i="4"/>
  <c r="H204" i="4"/>
  <c r="B204" i="4"/>
  <c r="A204" i="4"/>
  <c r="H203" i="4"/>
  <c r="B203" i="4"/>
  <c r="A203" i="4"/>
  <c r="H202" i="4"/>
  <c r="B202" i="4"/>
  <c r="A202" i="4"/>
  <c r="H201" i="4"/>
  <c r="B201" i="4"/>
  <c r="A201" i="4"/>
  <c r="H200" i="4"/>
  <c r="B200" i="4"/>
  <c r="A200" i="4"/>
  <c r="H199" i="4"/>
  <c r="B199" i="4"/>
  <c r="A199" i="4"/>
  <c r="H198" i="4"/>
  <c r="B198" i="4"/>
  <c r="A198" i="4"/>
  <c r="H197" i="4"/>
  <c r="B197" i="4"/>
  <c r="A197" i="4"/>
  <c r="H196" i="4"/>
  <c r="B196" i="4"/>
  <c r="A196" i="4"/>
  <c r="H195" i="4"/>
  <c r="B195" i="4"/>
  <c r="A195" i="4"/>
  <c r="H194" i="4"/>
  <c r="B194" i="4"/>
  <c r="A194" i="4"/>
  <c r="H193" i="4"/>
  <c r="B193" i="4"/>
  <c r="A193" i="4"/>
  <c r="H192" i="4"/>
  <c r="B192" i="4"/>
  <c r="A192" i="4"/>
  <c r="H191" i="4"/>
  <c r="B191" i="4"/>
  <c r="A191" i="4"/>
  <c r="H190" i="4"/>
  <c r="B190" i="4"/>
  <c r="A190" i="4"/>
  <c r="H189" i="4"/>
  <c r="B189" i="4"/>
  <c r="A189" i="4"/>
  <c r="H188" i="4"/>
  <c r="B188" i="4"/>
  <c r="A188" i="4"/>
  <c r="H187" i="4"/>
  <c r="B187" i="4"/>
  <c r="A187" i="4"/>
  <c r="H186" i="4"/>
  <c r="B186" i="4"/>
  <c r="A186" i="4"/>
  <c r="H185" i="4"/>
  <c r="B185" i="4"/>
  <c r="A185" i="4"/>
  <c r="H184" i="4"/>
  <c r="B184" i="4"/>
  <c r="A184" i="4"/>
  <c r="H183" i="4"/>
  <c r="B183" i="4"/>
  <c r="A183" i="4"/>
  <c r="H182" i="4"/>
  <c r="B182" i="4"/>
  <c r="A182" i="4"/>
  <c r="B181" i="4"/>
  <c r="A181" i="4"/>
  <c r="H180" i="4"/>
  <c r="B180" i="4"/>
  <c r="A180" i="4"/>
  <c r="H179" i="4"/>
  <c r="B179" i="4"/>
  <c r="A179" i="4"/>
  <c r="H178" i="4"/>
  <c r="B178" i="4"/>
  <c r="A178" i="4"/>
  <c r="H177" i="4"/>
  <c r="B177" i="4"/>
  <c r="A177" i="4"/>
  <c r="H176" i="4"/>
  <c r="B176" i="4"/>
  <c r="A176" i="4"/>
  <c r="H175" i="4"/>
  <c r="B175" i="4"/>
  <c r="A175" i="4"/>
  <c r="H174" i="4"/>
  <c r="B174" i="4"/>
  <c r="A174" i="4"/>
  <c r="H173" i="4"/>
  <c r="B173" i="4"/>
  <c r="A173" i="4"/>
  <c r="H172" i="4"/>
  <c r="B172" i="4"/>
  <c r="A172" i="4"/>
  <c r="H171" i="4"/>
  <c r="B171" i="4"/>
  <c r="A171" i="4"/>
  <c r="H170" i="4"/>
  <c r="B170" i="4"/>
  <c r="A170" i="4"/>
  <c r="H169" i="4"/>
  <c r="B169" i="4"/>
  <c r="A169" i="4"/>
  <c r="H168" i="4"/>
  <c r="B168" i="4"/>
  <c r="A168" i="4"/>
  <c r="H167" i="4"/>
  <c r="B167" i="4"/>
  <c r="A167" i="4"/>
  <c r="H166" i="4"/>
  <c r="B166" i="4"/>
  <c r="A166" i="4"/>
  <c r="H165" i="4"/>
  <c r="B165" i="4"/>
  <c r="A165" i="4"/>
  <c r="H164" i="4"/>
  <c r="B164" i="4"/>
  <c r="A164" i="4"/>
  <c r="H163" i="4"/>
  <c r="B163" i="4"/>
  <c r="A163" i="4"/>
  <c r="B162" i="4"/>
  <c r="A162" i="4"/>
  <c r="H161" i="4"/>
  <c r="B161" i="4"/>
  <c r="A161" i="4"/>
  <c r="H160" i="4"/>
  <c r="B160" i="4"/>
  <c r="A160" i="4"/>
  <c r="H159" i="4"/>
  <c r="B159" i="4"/>
  <c r="A159" i="4"/>
  <c r="H158" i="4"/>
  <c r="B158" i="4"/>
  <c r="A158" i="4"/>
  <c r="H157" i="4"/>
  <c r="B157" i="4"/>
  <c r="A157" i="4"/>
  <c r="H156" i="4"/>
  <c r="B156" i="4"/>
  <c r="A156" i="4"/>
  <c r="H155" i="4"/>
  <c r="B155" i="4"/>
  <c r="A155" i="4"/>
  <c r="H154" i="4"/>
  <c r="B154" i="4"/>
  <c r="A154" i="4"/>
  <c r="H153" i="4"/>
  <c r="B153" i="4"/>
  <c r="A153" i="4"/>
  <c r="H152" i="4"/>
  <c r="B152" i="4"/>
  <c r="A152" i="4"/>
  <c r="H151" i="4"/>
  <c r="B151" i="4"/>
  <c r="A151" i="4"/>
  <c r="H150" i="4"/>
  <c r="B150" i="4"/>
  <c r="A150" i="4"/>
  <c r="H149" i="4"/>
  <c r="B149" i="4"/>
  <c r="A149" i="4"/>
  <c r="H148" i="4"/>
  <c r="B148" i="4"/>
  <c r="A148" i="4"/>
  <c r="H147" i="4"/>
  <c r="B147" i="4"/>
  <c r="A147" i="4"/>
  <c r="H146" i="4"/>
  <c r="B146" i="4"/>
  <c r="A146" i="4"/>
  <c r="H145" i="4"/>
  <c r="B145" i="4"/>
  <c r="A145" i="4"/>
  <c r="H144" i="4"/>
  <c r="B144" i="4"/>
  <c r="A144" i="4"/>
  <c r="H143" i="4"/>
  <c r="B143" i="4"/>
  <c r="A143" i="4"/>
  <c r="H142" i="4"/>
  <c r="B142" i="4"/>
  <c r="A142" i="4"/>
  <c r="H141" i="4"/>
  <c r="B141" i="4"/>
  <c r="A141" i="4"/>
  <c r="H140" i="4"/>
  <c r="B140" i="4"/>
  <c r="A140" i="4"/>
  <c r="H139" i="4"/>
  <c r="B139" i="4"/>
  <c r="A139" i="4"/>
  <c r="H138" i="4"/>
  <c r="B138" i="4"/>
  <c r="A138" i="4"/>
  <c r="H137" i="4"/>
  <c r="B137" i="4"/>
  <c r="A137" i="4"/>
  <c r="H136" i="4"/>
  <c r="B136" i="4"/>
  <c r="A136" i="4"/>
  <c r="H135" i="4"/>
  <c r="B135" i="4"/>
  <c r="A135" i="4"/>
  <c r="H134" i="4"/>
  <c r="B134" i="4"/>
  <c r="A134" i="4"/>
  <c r="H133" i="4"/>
  <c r="B133" i="4"/>
  <c r="A133" i="4"/>
  <c r="H132" i="4"/>
  <c r="B132" i="4"/>
  <c r="A132" i="4"/>
  <c r="H131" i="4"/>
  <c r="B131" i="4"/>
  <c r="A131" i="4"/>
  <c r="B130" i="4"/>
  <c r="A130" i="4"/>
  <c r="H129" i="4"/>
  <c r="B129" i="4"/>
  <c r="A129" i="4"/>
  <c r="H128" i="4"/>
  <c r="B128" i="4"/>
  <c r="A128" i="4"/>
  <c r="H127" i="4"/>
  <c r="B127" i="4"/>
  <c r="A127" i="4"/>
  <c r="H126" i="4"/>
  <c r="B126" i="4"/>
  <c r="A126" i="4"/>
  <c r="H125" i="4"/>
  <c r="B125" i="4"/>
  <c r="A125" i="4"/>
  <c r="H124" i="4"/>
  <c r="B124" i="4"/>
  <c r="A124" i="4"/>
  <c r="H123" i="4"/>
  <c r="B123" i="4"/>
  <c r="A123" i="4"/>
  <c r="H122" i="4"/>
  <c r="B122" i="4"/>
  <c r="A122" i="4"/>
  <c r="H121" i="4"/>
  <c r="B121" i="4"/>
  <c r="A121" i="4"/>
  <c r="H120" i="4"/>
  <c r="B120" i="4"/>
  <c r="A120" i="4"/>
  <c r="H119" i="4"/>
  <c r="B119" i="4"/>
  <c r="A119" i="4"/>
  <c r="H118" i="4"/>
  <c r="B118" i="4"/>
  <c r="A118" i="4"/>
  <c r="H117" i="4"/>
  <c r="B117" i="4"/>
  <c r="A117" i="4"/>
  <c r="H116" i="4"/>
  <c r="B116" i="4"/>
  <c r="A116" i="4"/>
  <c r="H115" i="4"/>
  <c r="B115" i="4"/>
  <c r="A115" i="4"/>
  <c r="H114" i="4"/>
  <c r="B114" i="4"/>
  <c r="A114" i="4"/>
  <c r="H113" i="4"/>
  <c r="B113" i="4"/>
  <c r="A113" i="4"/>
  <c r="H112" i="4"/>
  <c r="B112" i="4"/>
  <c r="A112" i="4"/>
  <c r="H111" i="4"/>
  <c r="B111" i="4"/>
  <c r="A111" i="4"/>
  <c r="H110" i="4"/>
  <c r="B110" i="4"/>
  <c r="A110" i="4"/>
  <c r="H109" i="4"/>
  <c r="B109" i="4"/>
  <c r="A109" i="4"/>
  <c r="H108" i="4"/>
  <c r="B108" i="4"/>
  <c r="A108" i="4"/>
  <c r="H107" i="4"/>
  <c r="B107" i="4"/>
  <c r="A107" i="4"/>
  <c r="H106" i="4"/>
  <c r="B106" i="4"/>
  <c r="A106" i="4"/>
  <c r="H105" i="4"/>
  <c r="B105" i="4"/>
  <c r="A105" i="4"/>
  <c r="H104" i="4"/>
  <c r="B104" i="4"/>
  <c r="A104" i="4"/>
  <c r="H103" i="4"/>
  <c r="B103" i="4"/>
  <c r="A103" i="4"/>
  <c r="H102" i="4"/>
  <c r="B102" i="4"/>
  <c r="A102" i="4"/>
  <c r="B101" i="4"/>
  <c r="A101" i="4"/>
  <c r="H100" i="4"/>
  <c r="B100" i="4"/>
  <c r="A100" i="4"/>
  <c r="H99" i="4"/>
  <c r="B99" i="4"/>
  <c r="A99" i="4"/>
  <c r="H98" i="4"/>
  <c r="B98" i="4"/>
  <c r="A98" i="4"/>
  <c r="H97" i="4"/>
  <c r="B97" i="4"/>
  <c r="A97" i="4"/>
  <c r="H96" i="4"/>
  <c r="B96" i="4"/>
  <c r="A96" i="4"/>
  <c r="H95" i="4"/>
  <c r="B95" i="4"/>
  <c r="A95" i="4"/>
  <c r="H94" i="4"/>
  <c r="B94" i="4"/>
  <c r="A94" i="4"/>
  <c r="H93" i="4"/>
  <c r="B93" i="4"/>
  <c r="A93" i="4"/>
  <c r="H92" i="4"/>
  <c r="B92" i="4"/>
  <c r="A92" i="4"/>
  <c r="H91" i="4"/>
  <c r="B91" i="4"/>
  <c r="A91" i="4"/>
  <c r="H90" i="4"/>
  <c r="B90" i="4"/>
  <c r="A90" i="4"/>
  <c r="H89" i="4"/>
  <c r="B89" i="4"/>
  <c r="A89" i="4"/>
  <c r="H88" i="4"/>
  <c r="B88" i="4"/>
  <c r="A88" i="4"/>
  <c r="H87" i="4"/>
  <c r="B87" i="4"/>
  <c r="A87" i="4"/>
  <c r="H86" i="4"/>
  <c r="B86" i="4"/>
  <c r="A86" i="4"/>
  <c r="H85" i="4"/>
  <c r="B85" i="4"/>
  <c r="A85" i="4"/>
  <c r="H84" i="4"/>
  <c r="B84" i="4"/>
  <c r="A84" i="4"/>
  <c r="H83" i="4"/>
  <c r="B83" i="4"/>
  <c r="A83" i="4"/>
  <c r="H82" i="4"/>
  <c r="B82" i="4"/>
  <c r="A82" i="4"/>
  <c r="H81" i="4"/>
  <c r="B81" i="4"/>
  <c r="A81" i="4"/>
  <c r="H80" i="4"/>
  <c r="B80" i="4"/>
  <c r="A80" i="4"/>
  <c r="H79" i="4"/>
  <c r="B79" i="4"/>
  <c r="A79" i="4"/>
  <c r="H78" i="4"/>
  <c r="B78" i="4"/>
  <c r="A78" i="4"/>
  <c r="H77" i="4"/>
  <c r="B77" i="4"/>
  <c r="A77" i="4"/>
  <c r="H76" i="4"/>
  <c r="B76" i="4"/>
  <c r="A76" i="4"/>
  <c r="H75" i="4"/>
  <c r="B75" i="4"/>
  <c r="A75" i="4"/>
  <c r="H74" i="4"/>
  <c r="B74" i="4"/>
  <c r="A74" i="4"/>
  <c r="H73" i="4"/>
  <c r="B73" i="4"/>
  <c r="A73" i="4"/>
  <c r="H72" i="4"/>
  <c r="B72" i="4"/>
  <c r="A72" i="4"/>
  <c r="B71" i="4"/>
  <c r="A71" i="4"/>
  <c r="H70" i="4"/>
  <c r="B70" i="4"/>
  <c r="A70" i="4"/>
  <c r="H69" i="4"/>
  <c r="B69" i="4"/>
  <c r="A69" i="4"/>
  <c r="H68" i="4"/>
  <c r="B68" i="4"/>
  <c r="A68" i="4"/>
  <c r="H67" i="4"/>
  <c r="B67" i="4"/>
  <c r="A67" i="4"/>
  <c r="H66" i="4"/>
  <c r="B66" i="4"/>
  <c r="A66" i="4"/>
  <c r="H65" i="4"/>
  <c r="B65" i="4"/>
  <c r="A65" i="4"/>
  <c r="H64" i="4"/>
  <c r="B64" i="4"/>
  <c r="A64" i="4"/>
  <c r="H63" i="4"/>
  <c r="B63" i="4"/>
  <c r="A63" i="4"/>
  <c r="H62" i="4"/>
  <c r="B62" i="4"/>
  <c r="A62" i="4"/>
  <c r="H61" i="4"/>
  <c r="B61" i="4"/>
  <c r="A61" i="4"/>
  <c r="H60" i="4"/>
  <c r="B60" i="4"/>
  <c r="A60" i="4"/>
  <c r="H59" i="4"/>
  <c r="B59" i="4"/>
  <c r="A59" i="4"/>
  <c r="H58" i="4"/>
  <c r="B58" i="4"/>
  <c r="A58" i="4"/>
  <c r="H57" i="4"/>
  <c r="B57" i="4"/>
  <c r="A57" i="4"/>
  <c r="H56" i="4"/>
  <c r="B56" i="4"/>
  <c r="A56" i="4"/>
  <c r="H55" i="4"/>
  <c r="B55" i="4"/>
  <c r="A55" i="4"/>
  <c r="H54" i="4"/>
  <c r="B54" i="4"/>
  <c r="A54" i="4"/>
  <c r="H53" i="4"/>
  <c r="B53" i="4"/>
  <c r="A53" i="4"/>
  <c r="H52" i="4"/>
  <c r="B52" i="4"/>
  <c r="A52" i="4"/>
  <c r="H51" i="4"/>
  <c r="B51" i="4"/>
  <c r="A51" i="4"/>
  <c r="H50" i="4"/>
  <c r="B50" i="4"/>
  <c r="A50" i="4"/>
  <c r="H49" i="4"/>
  <c r="B49" i="4"/>
  <c r="A49" i="4"/>
  <c r="H48" i="4"/>
  <c r="B48" i="4"/>
  <c r="A48" i="4"/>
  <c r="H47" i="4"/>
  <c r="B47" i="4"/>
  <c r="A47" i="4"/>
  <c r="H46" i="4"/>
  <c r="B46" i="4"/>
  <c r="A46" i="4"/>
  <c r="H45" i="4"/>
  <c r="B45" i="4"/>
  <c r="A45" i="4"/>
  <c r="H44" i="4"/>
  <c r="B44" i="4"/>
  <c r="A44" i="4"/>
  <c r="H43" i="4"/>
  <c r="B43" i="4"/>
  <c r="A43" i="4"/>
  <c r="H42" i="4"/>
  <c r="B42" i="4"/>
  <c r="A42" i="4"/>
  <c r="H41" i="4"/>
  <c r="B41" i="4"/>
  <c r="A41" i="4"/>
  <c r="B40" i="4"/>
  <c r="A40" i="4"/>
  <c r="H39" i="4"/>
  <c r="B39" i="4"/>
  <c r="A39" i="4"/>
  <c r="H38" i="4"/>
  <c r="B38" i="4"/>
  <c r="A38" i="4"/>
  <c r="H37" i="4"/>
  <c r="B37" i="4"/>
  <c r="A37" i="4"/>
  <c r="H36" i="4"/>
  <c r="B36" i="4"/>
  <c r="A36" i="4"/>
  <c r="H35" i="4"/>
  <c r="B35" i="4"/>
  <c r="A35" i="4"/>
  <c r="H34" i="4"/>
  <c r="B34" i="4"/>
  <c r="A34" i="4"/>
  <c r="H33" i="4"/>
  <c r="B33" i="4"/>
  <c r="A33" i="4"/>
  <c r="H32" i="4"/>
  <c r="B32" i="4"/>
  <c r="A32" i="4"/>
  <c r="H31" i="4"/>
  <c r="B31" i="4"/>
  <c r="A31" i="4"/>
  <c r="H30" i="4"/>
  <c r="B30" i="4"/>
  <c r="A30" i="4"/>
  <c r="H29" i="4"/>
  <c r="B29" i="4"/>
  <c r="A29" i="4"/>
  <c r="H28" i="4"/>
  <c r="B28" i="4"/>
  <c r="A28" i="4"/>
  <c r="H27" i="4"/>
  <c r="B27" i="4"/>
  <c r="A27" i="4"/>
  <c r="H26" i="4"/>
  <c r="B26" i="4"/>
  <c r="A26" i="4"/>
  <c r="H25" i="4"/>
  <c r="B25" i="4"/>
  <c r="A25" i="4"/>
  <c r="H24" i="4"/>
  <c r="B24" i="4"/>
  <c r="A24" i="4"/>
  <c r="H23" i="4"/>
  <c r="B23" i="4"/>
  <c r="A23" i="4"/>
  <c r="H22" i="4"/>
  <c r="B22" i="4"/>
  <c r="A22" i="4"/>
  <c r="H21" i="4"/>
  <c r="B21" i="4"/>
  <c r="A21" i="4"/>
  <c r="H20" i="4"/>
  <c r="B20" i="4"/>
  <c r="A20" i="4"/>
  <c r="H19" i="4"/>
  <c r="B19" i="4"/>
  <c r="A19" i="4"/>
  <c r="H18" i="4"/>
  <c r="B18" i="4"/>
  <c r="A18" i="4"/>
  <c r="H17" i="4"/>
  <c r="B17" i="4"/>
  <c r="A17" i="4"/>
  <c r="H16" i="4"/>
  <c r="B16" i="4"/>
  <c r="A16" i="4"/>
  <c r="H15" i="4"/>
  <c r="B15" i="4"/>
  <c r="A15" i="4"/>
  <c r="H14" i="4"/>
  <c r="B14" i="4"/>
  <c r="A14" i="4"/>
  <c r="H13" i="4"/>
  <c r="B13" i="4"/>
  <c r="A13" i="4"/>
  <c r="H12" i="4"/>
  <c r="B12" i="4"/>
  <c r="A12" i="4"/>
  <c r="H11" i="4"/>
  <c r="B11" i="4"/>
  <c r="A11" i="4"/>
  <c r="E5" i="4"/>
  <c r="B371" i="4" l="1"/>
  <c r="B310" i="4"/>
  <c r="B306" i="4"/>
  <c r="B365" i="4"/>
  <c r="B318" i="4"/>
  <c r="B322" i="4"/>
  <c r="B334" i="4"/>
  <c r="A273" i="4"/>
  <c r="B273" i="4"/>
  <c r="A275" i="4"/>
  <c r="B275" i="4"/>
  <c r="A277" i="4"/>
  <c r="B277" i="4"/>
  <c r="A279" i="4"/>
  <c r="B279" i="4"/>
  <c r="A281" i="4"/>
  <c r="B281" i="4"/>
  <c r="A283" i="4"/>
  <c r="B283" i="4"/>
  <c r="A285" i="4"/>
  <c r="B285" i="4"/>
  <c r="A287" i="4"/>
  <c r="B287" i="4"/>
  <c r="A289" i="4"/>
  <c r="B289" i="4"/>
  <c r="A291" i="4"/>
  <c r="B291" i="4"/>
  <c r="A293" i="4"/>
  <c r="B293" i="4"/>
  <c r="A295" i="4"/>
  <c r="B295" i="4"/>
  <c r="A297" i="4"/>
  <c r="B297" i="4"/>
  <c r="A299" i="4"/>
  <c r="B299" i="4"/>
  <c r="A301" i="4"/>
  <c r="B301" i="4"/>
  <c r="B305" i="4"/>
  <c r="B309" i="4"/>
  <c r="B313" i="4"/>
  <c r="B317" i="4"/>
  <c r="B321" i="4"/>
  <c r="B325" i="4"/>
  <c r="B329" i="4"/>
  <c r="B333" i="4"/>
  <c r="B337" i="4"/>
  <c r="B341" i="4"/>
  <c r="B364" i="4"/>
  <c r="B368" i="4"/>
  <c r="B372" i="4"/>
  <c r="B314" i="4"/>
  <c r="B326" i="4"/>
  <c r="B330" i="4"/>
  <c r="B338" i="4"/>
  <c r="B342" i="4"/>
  <c r="B304" i="4"/>
  <c r="B308" i="4"/>
  <c r="B312" i="4"/>
  <c r="B316" i="4"/>
  <c r="B320" i="4"/>
  <c r="B324" i="4"/>
  <c r="B328" i="4"/>
  <c r="B332" i="4"/>
  <c r="B336" i="4"/>
  <c r="B340" i="4"/>
  <c r="B344" i="4"/>
  <c r="B363" i="4"/>
  <c r="B367" i="4"/>
  <c r="A272" i="4"/>
  <c r="E6" i="4" s="1"/>
  <c r="F7" i="4" s="1"/>
  <c r="E2" i="4" s="1"/>
  <c r="B374" i="4"/>
  <c r="B272" i="4"/>
  <c r="A274" i="4"/>
  <c r="B274" i="4"/>
  <c r="A276" i="4"/>
  <c r="B276" i="4"/>
  <c r="A278" i="4"/>
  <c r="B278" i="4"/>
  <c r="A280" i="4"/>
  <c r="B280" i="4"/>
  <c r="A282" i="4"/>
  <c r="B282" i="4"/>
  <c r="A284" i="4"/>
  <c r="B284" i="4"/>
  <c r="A286" i="4"/>
  <c r="B286" i="4"/>
  <c r="A288" i="4"/>
  <c r="B288" i="4"/>
  <c r="A290" i="4"/>
  <c r="B290" i="4"/>
  <c r="A292" i="4"/>
  <c r="B292" i="4"/>
  <c r="A294" i="4"/>
  <c r="B294" i="4"/>
  <c r="A296" i="4"/>
  <c r="B296" i="4"/>
  <c r="A298" i="4"/>
  <c r="B298" i="4"/>
  <c r="A300" i="4"/>
  <c r="B300" i="4"/>
  <c r="A302" i="4"/>
  <c r="B302" i="4"/>
  <c r="B307" i="4"/>
  <c r="B311" i="4"/>
  <c r="B315" i="4"/>
  <c r="B319" i="4"/>
  <c r="B323" i="4"/>
  <c r="B327" i="4"/>
  <c r="B331" i="4"/>
  <c r="B335" i="4"/>
  <c r="B339" i="4"/>
  <c r="B343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6" i="4"/>
  <c r="B370" i="4"/>
  <c r="B369" i="4"/>
  <c r="B373" i="4"/>
</calcChain>
</file>

<file path=xl/sharedStrings.xml><?xml version="1.0" encoding="utf-8"?>
<sst xmlns="http://schemas.openxmlformats.org/spreadsheetml/2006/main" count="5158" uniqueCount="719">
  <si>
    <t>Tgl kegiatan</t>
  </si>
  <si>
    <t>Tujuan</t>
  </si>
  <si>
    <t>Pekerjaan</t>
  </si>
  <si>
    <t>Lokasi
Depo</t>
  </si>
  <si>
    <t>Tonase Angkutan Sampah</t>
  </si>
  <si>
    <t>Brt kotor</t>
  </si>
  <si>
    <t>Brt Kosong</t>
  </si>
  <si>
    <t>Brt Bersih</t>
  </si>
  <si>
    <t>Debit</t>
  </si>
  <si>
    <t>Nominal
Parkir</t>
  </si>
  <si>
    <t>Nominal
Tol</t>
  </si>
  <si>
    <t>Nominal
Tambal ban /
Tambah angin</t>
  </si>
  <si>
    <t>Biaya Retribusi
Masuk TPS</t>
  </si>
  <si>
    <t>BS</t>
  </si>
  <si>
    <t>VO</t>
  </si>
  <si>
    <t>8494/2024</t>
  </si>
  <si>
    <t>68192/2024</t>
  </si>
  <si>
    <t>TPS Benowo</t>
  </si>
  <si>
    <t>Buang sampah</t>
  </si>
  <si>
    <t>DEPO T. BAYUR &amp; BKA</t>
  </si>
  <si>
    <t>DEPO JAPFA &amp; T. LANGON 5</t>
  </si>
  <si>
    <t>DEPO T. BAYUR</t>
  </si>
  <si>
    <t>DEPO 9 &amp; DEPO JAPFA</t>
  </si>
  <si>
    <t>DEPO T BAYUR &amp; DEPO 9</t>
  </si>
  <si>
    <t>DEPO JAPFA &amp; KANTOR KARET</t>
  </si>
  <si>
    <t>DEPO JAPFA</t>
  </si>
  <si>
    <t>DEPO T BAYUR &amp; DEPO JAPFA</t>
  </si>
  <si>
    <t>DEPO PKS 7 &amp; DEPO JAPFA</t>
  </si>
  <si>
    <t>DEPO JAPFA &amp; T. LANGO 5</t>
  </si>
  <si>
    <t>Depo T. Bayur &amp; Depo Japfa</t>
  </si>
  <si>
    <t>Kantor Karet &amp; Depo Japfa</t>
  </si>
  <si>
    <t>12034/2024</t>
  </si>
  <si>
    <t>Depo 4 &amp; depo Japfa</t>
  </si>
  <si>
    <t>depo T.Bayur &amp; Depo Japfa</t>
  </si>
  <si>
    <t>Depo 4 &amp; depo T. Langon 5</t>
  </si>
  <si>
    <t>Depo Japfa &amp; BKA</t>
  </si>
  <si>
    <t>14179/2024</t>
  </si>
  <si>
    <t xml:space="preserve"> 85878/2024</t>
  </si>
  <si>
    <t>Deapo Japfa &amp; Depo Japfa</t>
  </si>
  <si>
    <t>Deapo T. Bayur &amp; T. Langon 5</t>
  </si>
  <si>
    <t>Depo Japfa &amp; Depo Japfa</t>
  </si>
  <si>
    <t>15265/2024</t>
  </si>
  <si>
    <t>96768/2024</t>
  </si>
  <si>
    <t>16936/2024</t>
  </si>
  <si>
    <t>104945/2024</t>
  </si>
  <si>
    <t>Depo T. Bayur</t>
  </si>
  <si>
    <t>Depo 4 &amp; Depo PKS</t>
  </si>
  <si>
    <t>Depo Japfa &amp; T. Langon 5</t>
  </si>
  <si>
    <t>Kantor Karet</t>
  </si>
  <si>
    <t>Depo T Bayur &amp; Depo Japfa</t>
  </si>
  <si>
    <t>18476/2024</t>
  </si>
  <si>
    <t>116753/2024</t>
  </si>
  <si>
    <t>T. Langon 5</t>
  </si>
  <si>
    <t>Depo PKS &amp; Depo Japfa</t>
  </si>
  <si>
    <t>3 May 24</t>
  </si>
  <si>
    <t>20618/2024</t>
  </si>
  <si>
    <t>128911/2024</t>
  </si>
  <si>
    <t>22 May 24</t>
  </si>
  <si>
    <t>22865/2024</t>
  </si>
  <si>
    <t>134594/2024</t>
  </si>
  <si>
    <t>Depo Japfa &amp; Langon 5</t>
  </si>
  <si>
    <t>28 May 24</t>
  </si>
  <si>
    <t>23921/2024</t>
  </si>
  <si>
    <t xml:space="preserve"> 144757/2024</t>
  </si>
  <si>
    <t>T. Langon 5 &amp; Depo Japfa</t>
  </si>
  <si>
    <t>Depo T . Bayur &amp; Depo Japfa</t>
  </si>
  <si>
    <t>26057/2024</t>
  </si>
  <si>
    <t>156089/2024</t>
  </si>
  <si>
    <t>Depo Japfa</t>
  </si>
  <si>
    <t>Depo Japfa &amp; Depo T. Langon 5</t>
  </si>
  <si>
    <t>Depo T, Bayur &amp; Depo Japfa</t>
  </si>
  <si>
    <t>Depo Japfa &amp; Kantor Karet</t>
  </si>
  <si>
    <t>Depo T. Bayur &amp; T. Langon 5</t>
  </si>
  <si>
    <t>Depo T, bayur &amp; BKA</t>
  </si>
  <si>
    <t>27831/2024</t>
  </si>
  <si>
    <t>168031/2024</t>
  </si>
  <si>
    <t>Depo T. Bayur &amp; Depo T. Langon 5</t>
  </si>
  <si>
    <t>Depo T. Bayur &amp; Kantor PB</t>
  </si>
  <si>
    <t>Depo Japfa &amp; Depo T. Bayur</t>
  </si>
  <si>
    <t>2 Jul 24</t>
  </si>
  <si>
    <t>29989/2024</t>
  </si>
  <si>
    <t>178709/2024</t>
  </si>
  <si>
    <t>11 Jul 24</t>
  </si>
  <si>
    <t>31645/2024</t>
  </si>
  <si>
    <t>190048/2024</t>
  </si>
  <si>
    <t>Depo T. Bayur &amp; depo Japfa</t>
  </si>
  <si>
    <t>Depo 4 &amp; Depo Japfa</t>
  </si>
  <si>
    <t>23 Jul 24</t>
  </si>
  <si>
    <t>33635/2024</t>
  </si>
  <si>
    <t>203939/2024</t>
  </si>
  <si>
    <t>06 Agt 24</t>
  </si>
  <si>
    <t>36095/2024</t>
  </si>
  <si>
    <t>216545/2024</t>
  </si>
  <si>
    <t>16 Agt 24</t>
  </si>
  <si>
    <t>38128/2024</t>
  </si>
  <si>
    <t>227623/2024</t>
  </si>
  <si>
    <t>28 Agt 24</t>
  </si>
  <si>
    <t>40059/2024</t>
  </si>
  <si>
    <t>241244/2024</t>
  </si>
  <si>
    <t>Depo 4 &amp; Depo T. Langon 11</t>
  </si>
  <si>
    <t>Depo Japfa &amp; Matraco</t>
  </si>
  <si>
    <t>42306/2024</t>
  </si>
  <si>
    <t>258320/2024</t>
  </si>
  <si>
    <t>Depo T. Bayur &amp; Matraco</t>
  </si>
  <si>
    <t>44927/2024</t>
  </si>
  <si>
    <t>272898/2024</t>
  </si>
  <si>
    <t>Depo T Bayur &amp; BKA</t>
  </si>
  <si>
    <t>Depo T. Bayur &amp; Depo 4</t>
  </si>
  <si>
    <t>Depo T. Bayur &amp; Depo T. Bayur</t>
  </si>
  <si>
    <t>47274/2024</t>
  </si>
  <si>
    <t>284799/2024</t>
  </si>
  <si>
    <t>Depo Yon + Japfa</t>
  </si>
  <si>
    <t>Depo T. Bayur &amp; depo Jafa</t>
  </si>
  <si>
    <t>48983/2024</t>
  </si>
  <si>
    <t>295165/2024</t>
  </si>
  <si>
    <t>Depo 4 &amp; Depo T. Langon 5</t>
  </si>
  <si>
    <t>Depo T Langon 5 &amp; Depo Japfa</t>
  </si>
  <si>
    <t>50874/2024</t>
  </si>
  <si>
    <t>304002/2024</t>
  </si>
  <si>
    <t>Depo Japfa &amp; Depo Yonif</t>
  </si>
  <si>
    <t>Depo T. bayur &amp; Depo Japfa</t>
  </si>
  <si>
    <t>52269/2024</t>
  </si>
  <si>
    <t>311445/2024</t>
  </si>
  <si>
    <t>Depo PKS &amp; Depo T. Langon 5</t>
  </si>
  <si>
    <t>53299/2024</t>
  </si>
  <si>
    <t>324385/2024</t>
  </si>
  <si>
    <t>Depo Bayur &amp; Depo Japfa</t>
  </si>
  <si>
    <t>Depo PKS &amp; T. Langon 5</t>
  </si>
  <si>
    <t>Depo PKS , Yonif &amp; Japfa</t>
  </si>
  <si>
    <t>Depo Teluk Bayur &amp; Langon 5</t>
  </si>
  <si>
    <t>Depo PKS, Yonif &amp; Japfa</t>
  </si>
  <si>
    <t>55970/2024</t>
  </si>
  <si>
    <t>328851/2024</t>
  </si>
  <si>
    <t>Hari Minggu</t>
  </si>
  <si>
    <t>Langon 5</t>
  </si>
  <si>
    <t>Hari Libur Pilkada</t>
  </si>
  <si>
    <t>56628/2024</t>
  </si>
  <si>
    <t>337498/2024</t>
  </si>
  <si>
    <t>Yonif &amp; Japfa</t>
  </si>
  <si>
    <t>Depo PKS &amp; Japfa</t>
  </si>
  <si>
    <t>Depo  T. Bayur &amp; Depo Japfa</t>
  </si>
  <si>
    <t>Langon 5 &amp; Depo Japfa</t>
  </si>
  <si>
    <t>346731/2024</t>
  </si>
  <si>
    <t xml:space="preserve">Depo Teluk Bayur  </t>
  </si>
  <si>
    <t>Kir Mobil &amp; Depo Japfa</t>
  </si>
  <si>
    <r>
      <rPr>
        <sz val="10"/>
        <color theme="1"/>
        <rFont val="Liberation Sans"/>
      </rPr>
      <t>Depo Japfa</t>
    </r>
    <r>
      <rPr>
        <sz val="9"/>
        <color theme="1"/>
        <rFont val="Rubik4"/>
      </rPr>
      <t xml:space="preserve"> &amp; Depo Japfa</t>
    </r>
  </si>
  <si>
    <t>Kalianak</t>
  </si>
  <si>
    <t>59800/2024</t>
  </si>
  <si>
    <t>352407/2024</t>
  </si>
  <si>
    <t>OFF ( Izin Tidak Masuk )</t>
  </si>
  <si>
    <t>Depo Yon + Japfa &amp; Depo PKS</t>
  </si>
  <si>
    <t>Karet + PB &amp; Depo Japfa</t>
  </si>
  <si>
    <t>60774/2024</t>
  </si>
  <si>
    <t>5792/2025</t>
  </si>
  <si>
    <t>Libur Natal</t>
  </si>
  <si>
    <t>Depo  T. Bayur + Yon &amp; Depo Japfa</t>
  </si>
  <si>
    <t>Depo Japfa &amp; Depo PKS</t>
  </si>
  <si>
    <t>1045/2025</t>
  </si>
  <si>
    <t>12775/2025</t>
  </si>
  <si>
    <t>Ijin Tidak Masuk</t>
  </si>
  <si>
    <t>2280/2025</t>
  </si>
  <si>
    <t>21408/2025</t>
  </si>
  <si>
    <t>Kalianak &amp; Tambak Langon 5</t>
  </si>
  <si>
    <t>Depo Japfa &amp; Depo PKS + Yon</t>
  </si>
  <si>
    <t>Depo Japfa &amp; Depo 4</t>
  </si>
  <si>
    <t>Depo Japfa + Depo Japfa</t>
  </si>
  <si>
    <t>3586/2025</t>
  </si>
  <si>
    <t>30763/2025</t>
  </si>
  <si>
    <t>Depo Yonif + Pks &amp; Depo Japfa</t>
  </si>
  <si>
    <t>Libur Isra’ Mikraj</t>
  </si>
  <si>
    <t xml:space="preserve">  </t>
  </si>
  <si>
    <t>Depo Japfa + Depo Bayur</t>
  </si>
  <si>
    <t>5209/2025</t>
  </si>
  <si>
    <t>41167/2025</t>
  </si>
  <si>
    <t>Depo Yon + Pks &amp; Depo Japfa</t>
  </si>
  <si>
    <t>Depo Bayur 7 PKS</t>
  </si>
  <si>
    <t>6823/2025</t>
  </si>
  <si>
    <t>48696/2025</t>
  </si>
  <si>
    <t>Depo Yon  &amp; Depo Yon</t>
  </si>
  <si>
    <t>-</t>
  </si>
  <si>
    <t>7677/2025</t>
  </si>
  <si>
    <t>56184/2025</t>
  </si>
  <si>
    <t>Tambak Langon 5</t>
  </si>
  <si>
    <t>Depo Yon &amp; Depo Japfa</t>
  </si>
  <si>
    <t>8506/2025</t>
  </si>
  <si>
    <t>64687/2025</t>
  </si>
  <si>
    <t>Kalianak &amp; WTL 5</t>
  </si>
  <si>
    <t>Depo Bayur &amp; Gudang 71</t>
  </si>
  <si>
    <t>9430/2025</t>
  </si>
  <si>
    <t>75779/2025</t>
  </si>
  <si>
    <t>10437/2025</t>
  </si>
  <si>
    <t>84051/2025</t>
  </si>
  <si>
    <t>Depo Yonif &amp; Depo Japfa</t>
  </si>
  <si>
    <t>Perak Barat &amp; Depo Japfa</t>
  </si>
  <si>
    <t>11252/2025</t>
  </si>
  <si>
    <t>99242/2025</t>
  </si>
  <si>
    <t>Depo Yonif Dan Depo Japfa</t>
  </si>
  <si>
    <t>Depo 4</t>
  </si>
  <si>
    <t>12791/2025</t>
  </si>
  <si>
    <t>105213/2025</t>
  </si>
  <si>
    <t>Apr 5, 25</t>
  </si>
  <si>
    <t xml:space="preserve">Depo Yonif  </t>
  </si>
  <si>
    <t>Apr 6, 25</t>
  </si>
  <si>
    <t>Apr 7, 25</t>
  </si>
  <si>
    <t>Apr 8, 25</t>
  </si>
  <si>
    <t>Kantor Pusat &amp; T. Langon 5</t>
  </si>
  <si>
    <t>Apr 9, 25</t>
  </si>
  <si>
    <t>Apr 10, 25</t>
  </si>
  <si>
    <t>Apr 11, 25</t>
  </si>
  <si>
    <t>Apr 12, 25</t>
  </si>
  <si>
    <t>Apr 13, 25</t>
  </si>
  <si>
    <t>Apr 14, 25</t>
  </si>
  <si>
    <t>13269/2025</t>
  </si>
  <si>
    <t>111777/2025</t>
  </si>
  <si>
    <t>Depo T. Bayur dan Depo 4</t>
  </si>
  <si>
    <t xml:space="preserve">Depo Bayur  </t>
  </si>
  <si>
    <t>Depo Bayur dan Depo Japfa</t>
  </si>
  <si>
    <t>13893/2025</t>
  </si>
  <si>
    <t>119943/2025</t>
  </si>
  <si>
    <t>Depo Japfa dan Depo tambak Langon</t>
  </si>
  <si>
    <t>Depo 4 dan Depo Japfa</t>
  </si>
  <si>
    <t>14593/2025</t>
  </si>
  <si>
    <t>127899/2025</t>
  </si>
  <si>
    <t>Depo T.Bayur &amp; Karet</t>
  </si>
  <si>
    <t>Tambak sumur ( pindahan Depo Yonif )</t>
  </si>
  <si>
    <t>Hari Libur</t>
  </si>
  <si>
    <t>Benowo</t>
  </si>
  <si>
    <t>15288/2025</t>
  </si>
  <si>
    <t>135299/2025</t>
  </si>
  <si>
    <t>15875/2025</t>
  </si>
  <si>
    <t>142213/2025</t>
  </si>
  <si>
    <t>Bka Kalianak</t>
  </si>
  <si>
    <t>Depo japfa &amp; Tambak Langon 5</t>
  </si>
  <si>
    <t>16348/2025</t>
  </si>
  <si>
    <t>151902/2025</t>
  </si>
  <si>
    <t>Depo 4 &amp; Tambak Langon 5</t>
  </si>
  <si>
    <t>17209/2025</t>
  </si>
  <si>
    <t>159755/2025</t>
  </si>
  <si>
    <t>Ambil armada ke bengkel</t>
  </si>
  <si>
    <t>Depo  T. Bayur</t>
  </si>
  <si>
    <t>Depo 4 &amp; Margomulyo Indah</t>
  </si>
  <si>
    <t>17729/2025</t>
  </si>
  <si>
    <t>165538/2025</t>
  </si>
  <si>
    <t>Warehouse Tambak Langon</t>
  </si>
  <si>
    <t>18192/2025</t>
  </si>
  <si>
    <t>177142/2025</t>
  </si>
  <si>
    <t>Depo  4 &amp; Depo Japfa</t>
  </si>
  <si>
    <t>19123/2025</t>
  </si>
  <si>
    <t>182202/2025</t>
  </si>
  <si>
    <t>Depo  Yonif &amp; Depo Japfa</t>
  </si>
  <si>
    <t>19692/2025</t>
  </si>
  <si>
    <t>187170/2025</t>
  </si>
  <si>
    <t>Depo  T. Bayur &amp; Depo  T. Bayur</t>
  </si>
  <si>
    <t>Depo  T. Bayur &amp; Tambak Langon</t>
  </si>
  <si>
    <t>20155/2025</t>
  </si>
  <si>
    <t>197842/2025</t>
  </si>
  <si>
    <t>Depo Japfa &amp; Depo Langon 5</t>
  </si>
  <si>
    <t>21050/2025</t>
  </si>
  <si>
    <t>206546/2025</t>
  </si>
  <si>
    <t>22123/2025</t>
  </si>
  <si>
    <t>212954/2025</t>
  </si>
  <si>
    <t>22664/2025</t>
  </si>
  <si>
    <t>221034/2025</t>
  </si>
  <si>
    <t>Depo T. bayur &amp; Depo T. Langon</t>
  </si>
  <si>
    <t>BKA Kalianak + Depo T. Langon</t>
  </si>
  <si>
    <t>23429/2025</t>
  </si>
  <si>
    <t>240270/2025</t>
  </si>
  <si>
    <t>BKA Kalianak + BKA Kalianak</t>
  </si>
  <si>
    <t>25217/2025</t>
  </si>
  <si>
    <t>247977/2025</t>
  </si>
  <si>
    <t>Depo T. bayur &amp; Depo Yonif</t>
  </si>
  <si>
    <t>Perbaikan Aki</t>
  </si>
  <si>
    <t>25867/2025</t>
  </si>
  <si>
    <t>257386/2025</t>
  </si>
  <si>
    <t>BKA Kalianak + Depo T. Langon 5</t>
  </si>
  <si>
    <t>BKA Kalianak</t>
  </si>
  <si>
    <t>Depo Yonif &amp; Depo T. Bayur</t>
  </si>
  <si>
    <t>Depo T. bayur &amp; Depo T. Langon 5</t>
  </si>
  <si>
    <t>26780/2025</t>
  </si>
  <si>
    <t>262227/2025</t>
  </si>
  <si>
    <t>Depo T. Langon 5</t>
  </si>
  <si>
    <t>27155/2025</t>
  </si>
  <si>
    <t>269261/2025</t>
  </si>
  <si>
    <t>Depo Yonif</t>
  </si>
  <si>
    <t>BKA</t>
  </si>
  <si>
    <t>Perbaikan truk sampah</t>
  </si>
  <si>
    <t>27819/2025</t>
  </si>
  <si>
    <t>278665/2025</t>
  </si>
  <si>
    <t>Depo T. Langon 5 (MBB)</t>
  </si>
  <si>
    <t>28669/2025</t>
  </si>
  <si>
    <t>284468/2025</t>
  </si>
  <si>
    <t>Depo4 &amp; Kantor Karet</t>
  </si>
  <si>
    <t>29191/2025</t>
  </si>
  <si>
    <t>295838/2025</t>
  </si>
  <si>
    <t>Depo T. Langon</t>
  </si>
  <si>
    <t>30331/2025</t>
  </si>
  <si>
    <t>305455/2025</t>
  </si>
  <si>
    <t>BKA &amp; BKA</t>
  </si>
  <si>
    <t>31220/2025</t>
  </si>
  <si>
    <t>319940/2025</t>
  </si>
  <si>
    <t>32805/2025</t>
  </si>
  <si>
    <t>325682/2025</t>
  </si>
  <si>
    <t>33341/2025</t>
  </si>
  <si>
    <t>334487/2025</t>
  </si>
  <si>
    <t>Depo T. bayur</t>
  </si>
  <si>
    <t>Depo4</t>
  </si>
  <si>
    <t>Karet</t>
  </si>
  <si>
    <t>34258/2025</t>
  </si>
  <si>
    <t>338228/2025</t>
  </si>
  <si>
    <t>Depo Bayur</t>
  </si>
  <si>
    <t>34707/2025</t>
  </si>
  <si>
    <t>343786/2025</t>
  </si>
  <si>
    <t>35318/2025</t>
  </si>
  <si>
    <t>350703/2025</t>
  </si>
  <si>
    <t>36058/2025</t>
  </si>
  <si>
    <t>356824/2025</t>
  </si>
  <si>
    <t>TPA Benowo</t>
  </si>
  <si>
    <t>36755/2025</t>
  </si>
  <si>
    <t>365626/2025</t>
  </si>
  <si>
    <t>37599/2025</t>
  </si>
  <si>
    <t>371574/2025</t>
  </si>
  <si>
    <t>38254/2025</t>
  </si>
  <si>
    <t>377007/2025</t>
  </si>
  <si>
    <t>38856/2025</t>
  </si>
  <si>
    <t>381978/2025</t>
  </si>
  <si>
    <t>39378/2025</t>
  </si>
  <si>
    <t>6292/2026</t>
  </si>
  <si>
    <t>No</t>
  </si>
  <si>
    <t>BLN</t>
  </si>
  <si>
    <t>Periode</t>
  </si>
  <si>
    <t>Tanggal</t>
  </si>
  <si>
    <t>Nopol terupdate</t>
  </si>
  <si>
    <t>Nopol</t>
  </si>
  <si>
    <t>BBM</t>
  </si>
  <si>
    <t>Vol</t>
  </si>
  <si>
    <t>Harga</t>
  </si>
  <si>
    <t>Total</t>
  </si>
  <si>
    <t>KM Sekarang</t>
  </si>
  <si>
    <t>KM Sebelumnya</t>
  </si>
  <si>
    <t>Nama SPBU</t>
  </si>
  <si>
    <t>ID VO</t>
  </si>
  <si>
    <t>91</t>
  </si>
  <si>
    <t>L 9892 CO</t>
  </si>
  <si>
    <t>BioSolar</t>
  </si>
  <si>
    <t>SPBU BKA</t>
  </si>
  <si>
    <t>282930/2025</t>
  </si>
  <si>
    <t>92</t>
  </si>
  <si>
    <t>SPBU RAJAWALI</t>
  </si>
  <si>
    <t>321353/2025</t>
  </si>
  <si>
    <t>101</t>
  </si>
  <si>
    <t>321358/2025</t>
  </si>
  <si>
    <t>321365/2025</t>
  </si>
  <si>
    <t>321360/2025</t>
  </si>
  <si>
    <t>102</t>
  </si>
  <si>
    <t>332967/2025</t>
  </si>
  <si>
    <t>111</t>
  </si>
  <si>
    <t>343946/2025</t>
  </si>
  <si>
    <t>112</t>
  </si>
  <si>
    <t>360740/2025</t>
  </si>
  <si>
    <t>121</t>
  </si>
  <si>
    <t>205549</t>
  </si>
  <si>
    <t>3700/2026</t>
  </si>
  <si>
    <t>2927/2026</t>
  </si>
  <si>
    <t>122</t>
  </si>
  <si>
    <t>2924/2026</t>
  </si>
  <si>
    <t>INPUT NO POL</t>
  </si>
  <si>
    <t>TANGGAL</t>
  </si>
  <si>
    <t>DIBAYARKAN KPD</t>
  </si>
  <si>
    <t>USER</t>
  </si>
  <si>
    <t>DIVISI</t>
  </si>
  <si>
    <t>LOKASI</t>
  </si>
  <si>
    <t>LPK</t>
  </si>
  <si>
    <t>PO / LOKK</t>
  </si>
  <si>
    <t>KELUHAN</t>
  </si>
  <si>
    <t>RINCIAN PERBAIKAN</t>
  </si>
  <si>
    <t>JENIS</t>
  </si>
  <si>
    <t>JUMLAH_</t>
  </si>
  <si>
    <t>KM masuk di bulan kemarin</t>
  </si>
  <si>
    <t>KM masuk di bulan ini</t>
  </si>
  <si>
    <t>KM Pemakaian</t>
  </si>
  <si>
    <t>285526/2025</t>
  </si>
  <si>
    <t>AKBAR BAN</t>
  </si>
  <si>
    <t>Oprs Depo Teluk Bayur</t>
  </si>
  <si>
    <t>Oprs Depo</t>
  </si>
  <si>
    <t>Depo Teluk Bayur</t>
  </si>
  <si>
    <t>LPK002938/09/25</t>
  </si>
  <si>
    <t>LOKK.002881/09/25</t>
  </si>
  <si>
    <t>Ban Sobek</t>
  </si>
  <si>
    <t>ganti ban dalam R16 GT</t>
  </si>
  <si>
    <t>UnderSteel</t>
  </si>
  <si>
    <t>296319/2025</t>
  </si>
  <si>
    <t>HADI MOTOR</t>
  </si>
  <si>
    <t>LPK003034/09/25</t>
  </si>
  <si>
    <t>LOKK.002984/09/25</t>
  </si>
  <si>
    <t>Transmisi agak berat dan naik turun dump agak berat</t>
  </si>
  <si>
    <t>Cek transmisi (kopling) dan cek dump</t>
  </si>
  <si>
    <t>296938/2025</t>
  </si>
  <si>
    <t>DUNIA MOTOR</t>
  </si>
  <si>
    <t>LPK003054/09/25</t>
  </si>
  <si>
    <t>LOKK.003005/09/25</t>
  </si>
  <si>
    <t>GANTI OLIE RUTIN</t>
  </si>
  <si>
    <t>ganti Olie Mesin</t>
  </si>
  <si>
    <t>Engine Service</t>
  </si>
  <si>
    <t>281129/2025</t>
  </si>
  <si>
    <t>LPK002796/09/25</t>
  </si>
  <si>
    <t>LOKK.002742/09/25</t>
  </si>
  <si>
    <t>Pir Daun Putus</t>
  </si>
  <si>
    <t>Ganti Pir Daun</t>
  </si>
  <si>
    <t>377379/2025</t>
  </si>
  <si>
    <t>LPK003826/12/25</t>
  </si>
  <si>
    <t>LOKK.003772/12/25</t>
  </si>
  <si>
    <t>Ganti oli &amp; lampu riting mati</t>
  </si>
  <si>
    <t>ganti oli &amp; lampu</t>
  </si>
  <si>
    <t>SAMPAH DEPO</t>
  </si>
  <si>
    <t>Lokasi</t>
  </si>
  <si>
    <t>:</t>
  </si>
  <si>
    <t>ALL</t>
  </si>
  <si>
    <t>Volume Sampah</t>
  </si>
  <si>
    <t>Rit</t>
  </si>
  <si>
    <t>NO</t>
  </si>
  <si>
    <t>TRUCK</t>
  </si>
  <si>
    <t>VOLUME</t>
  </si>
  <si>
    <t>Jam</t>
  </si>
  <si>
    <t>YEAR</t>
  </si>
  <si>
    <t>W 9521 PD</t>
  </si>
  <si>
    <t>07.46</t>
  </si>
  <si>
    <t>Depo Tambak Langon</t>
  </si>
  <si>
    <t>140838/2025</t>
  </si>
  <si>
    <t>S 8588 NE</t>
  </si>
  <si>
    <t>07.06</t>
  </si>
  <si>
    <t>07.19</t>
  </si>
  <si>
    <t>L 8411 VB</t>
  </si>
  <si>
    <t>06.43</t>
  </si>
  <si>
    <t>AG 8726 GH</t>
  </si>
  <si>
    <t>06.53</t>
  </si>
  <si>
    <t>L 8257 AO</t>
  </si>
  <si>
    <t>15.26</t>
  </si>
  <si>
    <t>07.10</t>
  </si>
  <si>
    <t>AE 9002 SK</t>
  </si>
  <si>
    <t>07.00</t>
  </si>
  <si>
    <t>07.07</t>
  </si>
  <si>
    <t>06.51</t>
  </si>
  <si>
    <t>07.20</t>
  </si>
  <si>
    <t>06.56</t>
  </si>
  <si>
    <t>15.00</t>
  </si>
  <si>
    <t>06.42</t>
  </si>
  <si>
    <t>06.35</t>
  </si>
  <si>
    <t>B 9386 JQO</t>
  </si>
  <si>
    <t>07.14</t>
  </si>
  <si>
    <t>AD 8837 NA</t>
  </si>
  <si>
    <t>06.39</t>
  </si>
  <si>
    <t>06.52</t>
  </si>
  <si>
    <t>10.15</t>
  </si>
  <si>
    <t>S 8665 ND</t>
  </si>
  <si>
    <t>B 9316 YP</t>
  </si>
  <si>
    <t>06.37</t>
  </si>
  <si>
    <t>06.34</t>
  </si>
  <si>
    <t>06.48</t>
  </si>
  <si>
    <t>06.44</t>
  </si>
  <si>
    <t>07.08</t>
  </si>
  <si>
    <t>206717/2025</t>
  </si>
  <si>
    <t>07.03</t>
  </si>
  <si>
    <t>07.12</t>
  </si>
  <si>
    <t>07.50</t>
  </si>
  <si>
    <t>10.32</t>
  </si>
  <si>
    <t>06.47</t>
  </si>
  <si>
    <t>07.09</t>
  </si>
  <si>
    <t>07.25</t>
  </si>
  <si>
    <t>07.01</t>
  </si>
  <si>
    <t>06.58</t>
  </si>
  <si>
    <t>06.49</t>
  </si>
  <si>
    <t>08.00</t>
  </si>
  <si>
    <t>07.21</t>
  </si>
  <si>
    <t>07.15</t>
  </si>
  <si>
    <t>07.33</t>
  </si>
  <si>
    <t>07.30</t>
  </si>
  <si>
    <t>08.25</t>
  </si>
  <si>
    <t>06.25</t>
  </si>
  <si>
    <t>08.24</t>
  </si>
  <si>
    <t>06.24</t>
  </si>
  <si>
    <t>07.02</t>
  </si>
  <si>
    <t>209680/2025</t>
  </si>
  <si>
    <t>06.30</t>
  </si>
  <si>
    <t>10.21</t>
  </si>
  <si>
    <t>09.21</t>
  </si>
  <si>
    <t>08.58</t>
  </si>
  <si>
    <t>10.36</t>
  </si>
  <si>
    <t>08.05</t>
  </si>
  <si>
    <t>08.30</t>
  </si>
  <si>
    <t>11.00</t>
  </si>
  <si>
    <t>13.12</t>
  </si>
  <si>
    <t>07.05</t>
  </si>
  <si>
    <t>L 9620 CG</t>
  </si>
  <si>
    <t>06.38</t>
  </si>
  <si>
    <t>08.06</t>
  </si>
  <si>
    <t>09.37</t>
  </si>
  <si>
    <t>12.42</t>
  </si>
  <si>
    <t>08.52</t>
  </si>
  <si>
    <t>253772/2025</t>
  </si>
  <si>
    <t>09.32</t>
  </si>
  <si>
    <t>16.41</t>
  </si>
  <si>
    <t>12.14</t>
  </si>
  <si>
    <t>07.42</t>
  </si>
  <si>
    <t>AG 8047 FA</t>
  </si>
  <si>
    <t>07.26</t>
  </si>
  <si>
    <t>08.46</t>
  </si>
  <si>
    <t>07.55</t>
  </si>
  <si>
    <t>09.00</t>
  </si>
  <si>
    <t>07.04</t>
  </si>
  <si>
    <t>09.31</t>
  </si>
  <si>
    <t>07.28</t>
  </si>
  <si>
    <t>07.29</t>
  </si>
  <si>
    <t>07.27</t>
  </si>
  <si>
    <t>07.11</t>
  </si>
  <si>
    <t>07.31</t>
  </si>
  <si>
    <t>6:45</t>
  </si>
  <si>
    <t>281862/2025</t>
  </si>
  <si>
    <t>7:00</t>
  </si>
  <si>
    <t>6:43</t>
  </si>
  <si>
    <t>7:15</t>
  </si>
  <si>
    <t>10:05</t>
  </si>
  <si>
    <t>6:38</t>
  </si>
  <si>
    <t>15:40</t>
  </si>
  <si>
    <t>7:05</t>
  </si>
  <si>
    <t>11:04</t>
  </si>
  <si>
    <t>7:04</t>
  </si>
  <si>
    <t>7:31</t>
  </si>
  <si>
    <t>6:46</t>
  </si>
  <si>
    <t>6:47</t>
  </si>
  <si>
    <t>6:51</t>
  </si>
  <si>
    <t>14:15</t>
  </si>
  <si>
    <t>7:12</t>
  </si>
  <si>
    <t>7:33</t>
  </si>
  <si>
    <t>7:11</t>
  </si>
  <si>
    <t>7:06</t>
  </si>
  <si>
    <t>7:02</t>
  </si>
  <si>
    <t>13:36</t>
  </si>
  <si>
    <t>Depo 4, Tanjung Batu</t>
  </si>
  <si>
    <t>15:30</t>
  </si>
  <si>
    <t>6:26</t>
  </si>
  <si>
    <t>8:34</t>
  </si>
  <si>
    <t>15:04</t>
  </si>
  <si>
    <t>15.38</t>
  </si>
  <si>
    <t>365333/2025</t>
  </si>
  <si>
    <t>B 9187 CQB</t>
  </si>
  <si>
    <t>07.35</t>
  </si>
  <si>
    <t>11.05</t>
  </si>
  <si>
    <t>13.18</t>
  </si>
  <si>
    <t>08.51</t>
  </si>
  <si>
    <t>07.45</t>
  </si>
  <si>
    <t>09.12</t>
  </si>
  <si>
    <t>08.15</t>
  </si>
  <si>
    <t>07.47</t>
  </si>
  <si>
    <t>14.57</t>
  </si>
  <si>
    <t>L9925 VY</t>
  </si>
  <si>
    <t>07.18</t>
  </si>
  <si>
    <t>06.55</t>
  </si>
  <si>
    <t>15.24</t>
  </si>
  <si>
    <t>300346/2025</t>
  </si>
  <si>
    <t>07.17</t>
  </si>
  <si>
    <t>11.30</t>
  </si>
  <si>
    <t>06.57</t>
  </si>
  <si>
    <t>06.40</t>
  </si>
  <si>
    <t>06.45</t>
  </si>
  <si>
    <t>06.31</t>
  </si>
  <si>
    <t>15.45</t>
  </si>
  <si>
    <t>09.06</t>
  </si>
  <si>
    <t>07.16</t>
  </si>
  <si>
    <t>16.57</t>
  </si>
  <si>
    <t>06.50</t>
  </si>
  <si>
    <t>L 9925 VY</t>
  </si>
  <si>
    <t>Depo Tanjung Batu 4</t>
  </si>
  <si>
    <t>340945/2025</t>
  </si>
  <si>
    <t>B 9386 JOO</t>
  </si>
  <si>
    <t>16.00</t>
  </si>
  <si>
    <t>08.37</t>
  </si>
  <si>
    <t>06.46</t>
  </si>
  <si>
    <t>06.36</t>
  </si>
  <si>
    <t>06.26</t>
  </si>
  <si>
    <t>16.09</t>
  </si>
  <si>
    <t>09.39</t>
  </si>
  <si>
    <t>16.48</t>
  </si>
  <si>
    <t>122884/2025</t>
  </si>
  <si>
    <t>11.39</t>
  </si>
  <si>
    <t>06.54</t>
  </si>
  <si>
    <t>07.13</t>
  </si>
  <si>
    <t>07.22</t>
  </si>
  <si>
    <t>68945/2025</t>
  </si>
  <si>
    <t>08.23</t>
  </si>
  <si>
    <t>06.41</t>
  </si>
  <si>
    <t>06.33</t>
  </si>
  <si>
    <t>07.39</t>
  </si>
  <si>
    <t>09.10</t>
  </si>
  <si>
    <t>18.01</t>
  </si>
  <si>
    <t>10.57</t>
  </si>
  <si>
    <t>08.50</t>
  </si>
  <si>
    <t>07.23</t>
  </si>
  <si>
    <t>07.24</t>
  </si>
  <si>
    <t>09.30</t>
  </si>
  <si>
    <t>46557/2025</t>
  </si>
  <si>
    <t>S 8071 WF</t>
  </si>
  <si>
    <t>07.37</t>
  </si>
  <si>
    <t>08.45</t>
  </si>
  <si>
    <t>06.59</t>
  </si>
  <si>
    <t>08.48</t>
  </si>
  <si>
    <t>10.50</t>
  </si>
  <si>
    <t>09.29</t>
  </si>
  <si>
    <t>09.24</t>
  </si>
  <si>
    <t>07.32</t>
  </si>
  <si>
    <t>10.00</t>
  </si>
  <si>
    <t>09.19</t>
  </si>
  <si>
    <t>09.25</t>
  </si>
  <si>
    <t>06.28</t>
  </si>
  <si>
    <t>07.49</t>
  </si>
  <si>
    <t>08.56</t>
  </si>
  <si>
    <t>09.23</t>
  </si>
  <si>
    <t>L 9620 CC</t>
  </si>
  <si>
    <t>21386/2025</t>
  </si>
  <si>
    <t xml:space="preserve"> L 9620 CO</t>
  </si>
  <si>
    <t>AD 8832 NA</t>
  </si>
  <si>
    <t>S 8071 IUF</t>
  </si>
  <si>
    <t>336062/2024</t>
  </si>
  <si>
    <t>08.03</t>
  </si>
  <si>
    <t>Depo Spil PKS</t>
  </si>
  <si>
    <t>16.20</t>
  </si>
  <si>
    <t>Depo Spil 4</t>
  </si>
  <si>
    <t>08.20</t>
  </si>
  <si>
    <t>08.10</t>
  </si>
  <si>
    <t>08.55</t>
  </si>
  <si>
    <t>12.26</t>
  </si>
  <si>
    <t>06.14</t>
  </si>
  <si>
    <t>06.22</t>
  </si>
  <si>
    <t>06.32</t>
  </si>
  <si>
    <t>15.20</t>
  </si>
  <si>
    <t>328475/2024</t>
  </si>
  <si>
    <t>08.07</t>
  </si>
  <si>
    <t>00.00</t>
  </si>
  <si>
    <t>06.18</t>
  </si>
  <si>
    <t>10.03</t>
  </si>
  <si>
    <t>11.09</t>
  </si>
  <si>
    <t>07.41</t>
  </si>
  <si>
    <t>08.27</t>
  </si>
  <si>
    <t>07.40</t>
  </si>
  <si>
    <t>305244/2024</t>
  </si>
  <si>
    <t>Depo Spil PKS &amp; Depo Spil Yonif</t>
  </si>
  <si>
    <t>14.07</t>
  </si>
  <si>
    <t>07.48</t>
  </si>
  <si>
    <t>09.08</t>
  </si>
  <si>
    <t>16.25</t>
  </si>
  <si>
    <t>16.14</t>
  </si>
  <si>
    <t>07.36</t>
  </si>
  <si>
    <t>15.35</t>
  </si>
  <si>
    <t>16.56</t>
  </si>
  <si>
    <t>Depo Spil Yonif</t>
  </si>
  <si>
    <t>08.54</t>
  </si>
  <si>
    <t>15.46</t>
  </si>
  <si>
    <t>16.28</t>
  </si>
  <si>
    <t>08.17</t>
  </si>
  <si>
    <t>15.05</t>
  </si>
  <si>
    <t>10.10</t>
  </si>
  <si>
    <t>Depo PKS &amp; Depo Yonif &amp; Depo Bayur</t>
  </si>
  <si>
    <t>08.02</t>
  </si>
  <si>
    <t>08.59</t>
  </si>
  <si>
    <t>14.52</t>
  </si>
  <si>
    <t>16.44</t>
  </si>
  <si>
    <t>Depo Spil 4 &amp; Depo Spil Yonif</t>
  </si>
  <si>
    <t>311559/2024</t>
  </si>
  <si>
    <t>15.55</t>
  </si>
  <si>
    <t>09.16</t>
  </si>
  <si>
    <t>06.15</t>
  </si>
  <si>
    <t>15.40</t>
  </si>
  <si>
    <t>11.58</t>
  </si>
  <si>
    <t>13.08</t>
  </si>
  <si>
    <t>06.13</t>
  </si>
  <si>
    <t>16.17</t>
  </si>
  <si>
    <t>11.44</t>
  </si>
  <si>
    <t>06.21</t>
  </si>
  <si>
    <t>12.39</t>
  </si>
  <si>
    <t>Depo Spil PKS &amp; Depo Spil 4</t>
  </si>
  <si>
    <t>Depo teluk Bayur</t>
  </si>
  <si>
    <t>07.44</t>
  </si>
  <si>
    <t>17.11</t>
  </si>
  <si>
    <t>243363/2024</t>
  </si>
  <si>
    <t>13.46</t>
  </si>
  <si>
    <t>09.26</t>
  </si>
  <si>
    <t>11.14</t>
  </si>
  <si>
    <t>L. 8411 VB</t>
  </si>
  <si>
    <t>15.10</t>
  </si>
  <si>
    <t>16.18</t>
  </si>
  <si>
    <t>L. 9620 CG</t>
  </si>
  <si>
    <t>L. 9925 VY</t>
  </si>
  <si>
    <t>13.10</t>
  </si>
  <si>
    <t>Depo Spil Yonif &amp; PKS</t>
  </si>
  <si>
    <t>16.19</t>
  </si>
  <si>
    <t>243359/2024</t>
  </si>
  <si>
    <t>B 9386 JOG</t>
  </si>
  <si>
    <t>09.48</t>
  </si>
  <si>
    <t>09.18</t>
  </si>
  <si>
    <t>09.15</t>
  </si>
  <si>
    <t>B 9366 JOG</t>
  </si>
  <si>
    <t>09.05</t>
  </si>
  <si>
    <t>10.51</t>
  </si>
  <si>
    <t>06.27</t>
  </si>
  <si>
    <t>08.36</t>
  </si>
  <si>
    <t>08.40</t>
  </si>
  <si>
    <t>16.36</t>
  </si>
  <si>
    <t>15.15</t>
  </si>
  <si>
    <t>Depo Spil Japfa</t>
  </si>
  <si>
    <t>Depo Spil 4 &amp; Spil Yonif</t>
  </si>
  <si>
    <t>123177/2024</t>
  </si>
  <si>
    <t>07.38</t>
  </si>
  <si>
    <t>15.30</t>
  </si>
  <si>
    <t>15.27</t>
  </si>
  <si>
    <t>12.00</t>
  </si>
  <si>
    <t>Depo Spil 4 &amp; Depo Japfa</t>
  </si>
  <si>
    <t>14.45</t>
  </si>
  <si>
    <t>Depo Spil Telik Bayur</t>
  </si>
  <si>
    <t>14.37</t>
  </si>
  <si>
    <t>09.55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</si>
</sst>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&quot; &quot;;&quot;(&quot;#,##0&quot;)&quot;"/>
    <numFmt numFmtId="165" formatCode="d&quot; &quot;mmm&quot; &quot;yyyy"/>
    <numFmt numFmtId="166" formatCode="mmm&quot; &quot;d&quot;, &quot;yy"/>
    <numFmt numFmtId="167" formatCode="dd&quot; &quot;mmm&quot; &quot;yyyy"/>
    <numFmt numFmtId="168" formatCode="#,##0&quot; &quot;[$ Km];#,##0&quot; &quot;[$ Km]"/>
    <numFmt numFmtId="169" formatCode="#,##0&quot; &quot;[$ M³];#,##0&quot; &quot;[$ M³]"/>
    <numFmt numFmtId="170" formatCode="#,##0&quot; &quot;[$ Rit];#,##0&quot; &quot;[$ Rit]"/>
    <numFmt numFmtId="171" formatCode="#,##0&quot; &quot;[$ Kg];#,##0&quot; &quot;[$ Kg]"/>
    <numFmt numFmtId="172" formatCode="[$-421]dddd&quot;, &quot;dd&quot; &quot;mmmm&quot; &quot;yy"/>
    <numFmt numFmtId="173" formatCode="[$-421]dddd&quot; , &quot;d&quot; &quot;mmmm&quot; &quot;yyyy"/>
    <numFmt numFmtId="174" formatCode="#,##0&quot; &quot;[$ M³];#,##0&quot; &quot;[$  M³]"/>
    <numFmt numFmtId="175" formatCode="#,##0&quot; &quot;[$ Rit];#,##0&quot; &quot;[$  Rit]"/>
    <numFmt numFmtId="176" formatCode="#,##0&quot; &quot;[$ M³];&quot;-&quot;#,##0&quot; &quot;[$  M³]"/>
    <numFmt numFmtId="177" formatCode="hh&quot;:&quot;mm"/>
  </numFmts>
  <fonts count="32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b/>
      <i/>
      <sz val="9"/>
      <color theme="1"/>
      <name val="Rubik2"/>
    </font>
    <font>
      <i/>
      <sz val="10"/>
      <color rgb="FF808080"/>
      <name val="Liberation Sans"/>
    </font>
    <font>
      <sz val="10"/>
      <color rgb="FF000000"/>
      <name val="Rubik1"/>
    </font>
    <font>
      <b/>
      <i/>
      <sz val="9"/>
      <color rgb="FF111111"/>
      <name val="Rubik2"/>
    </font>
    <font>
      <b/>
      <sz val="9.5"/>
      <color theme="1"/>
      <name val="Rubik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sz val="10"/>
      <color rgb="FF000000"/>
      <name val="Ubuntu Mono"/>
    </font>
    <font>
      <b/>
      <i/>
      <u/>
      <sz val="10"/>
      <color theme="1"/>
      <name val="Liberation Sans"/>
    </font>
    <font>
      <sz val="9"/>
      <color theme="1"/>
      <name val="Rubik1"/>
    </font>
    <font>
      <sz val="9"/>
      <color rgb="FF000000"/>
      <name val="Rubik1"/>
    </font>
    <font>
      <b/>
      <sz val="9"/>
      <color theme="1"/>
      <name val="Rubik4"/>
    </font>
    <font>
      <sz val="9"/>
      <color theme="1"/>
      <name val="Rubik4"/>
    </font>
    <font>
      <sz val="9"/>
      <color rgb="FFCE181E"/>
      <name val="Rubik4"/>
    </font>
    <font>
      <b/>
      <sz val="9"/>
      <color rgb="FFCE181E"/>
      <name val="Rubik4"/>
    </font>
    <font>
      <b/>
      <sz val="11"/>
      <color rgb="FF000000"/>
      <name val="Rubik4"/>
    </font>
    <font>
      <sz val="11"/>
      <color rgb="FF000000"/>
      <name val="Rubik4"/>
    </font>
    <font>
      <sz val="11"/>
      <color theme="1"/>
      <name val="Rubik4"/>
    </font>
    <font>
      <b/>
      <sz val="11"/>
      <color theme="1"/>
      <name val="Rubik4"/>
    </font>
    <font>
      <b/>
      <sz val="12"/>
      <color theme="1"/>
      <name val="Rubik4"/>
    </font>
    <font>
      <sz val="10"/>
      <color theme="1"/>
      <name val="Rubik4"/>
    </font>
    <font>
      <sz val="9"/>
      <color theme="1"/>
      <name val="Rubik3"/>
    </font>
  </fonts>
  <fills count="3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00FFFF"/>
        <bgColor rgb="FF00FFFF"/>
      </patternFill>
    </fill>
    <fill>
      <patternFill patternType="solid">
        <fgColor rgb="FFCC0000"/>
        <bgColor rgb="FFCC0000"/>
      </patternFill>
    </fill>
    <fill>
      <patternFill patternType="solid">
        <fgColor rgb="FF579835"/>
        <bgColor rgb="FF579835"/>
      </patternFill>
    </fill>
    <fill>
      <patternFill patternType="solid">
        <fgColor rgb="FF7FFFD4"/>
        <bgColor rgb="FF7FFFD4"/>
      </patternFill>
    </fill>
    <fill>
      <patternFill patternType="solid">
        <fgColor rgb="FFCCFFCC"/>
        <bgColor rgb="FFCCFFCC"/>
      </patternFill>
    </fill>
    <fill>
      <patternFill patternType="solid">
        <fgColor rgb="FFE3E300"/>
        <bgColor rgb="FFE3E300"/>
      </patternFill>
    </fill>
    <fill>
      <patternFill patternType="solid">
        <fgColor rgb="FFFFFFCC"/>
        <bgColor rgb="FFFFFFCC"/>
      </patternFill>
    </fill>
    <fill>
      <patternFill patternType="solid">
        <fgColor rgb="FFFF8080"/>
        <bgColor rgb="FFFF8080"/>
      </patternFill>
    </fill>
    <fill>
      <patternFill patternType="solid">
        <fgColor rgb="FFDFCCE4"/>
        <bgColor rgb="FFDFCCE4"/>
      </patternFill>
    </fill>
    <fill>
      <patternFill patternType="solid">
        <fgColor rgb="FF8CCFB7"/>
        <bgColor rgb="FF8CCFB7"/>
      </patternFill>
    </fill>
    <fill>
      <patternFill patternType="solid">
        <fgColor rgb="FFFFFFFF"/>
        <bgColor rgb="FFFFFFFF"/>
      </patternFill>
    </fill>
    <fill>
      <patternFill patternType="solid">
        <fgColor rgb="FF00A933"/>
        <bgColor rgb="FF00A933"/>
      </patternFill>
    </fill>
    <fill>
      <patternFill patternType="solid">
        <fgColor rgb="FFFCD4D1"/>
        <bgColor rgb="FFFCD4D1"/>
      </patternFill>
    </fill>
    <fill>
      <patternFill patternType="solid">
        <fgColor rgb="FFF7D1D5"/>
        <bgColor rgb="FFF7D1D5"/>
      </patternFill>
    </fill>
    <fill>
      <patternFill patternType="solid">
        <fgColor rgb="FFD3D3D3"/>
        <bgColor rgb="FFD3D3D3"/>
      </patternFill>
    </fill>
    <fill>
      <patternFill patternType="solid">
        <fgColor rgb="FFF0FFFF"/>
        <bgColor rgb="FFF0FFFF"/>
      </patternFill>
    </fill>
    <fill>
      <patternFill patternType="solid">
        <fgColor rgb="FFC0C0C0"/>
        <bgColor rgb="FFC0C0C0"/>
      </patternFill>
    </fill>
    <fill>
      <patternFill patternType="solid">
        <fgColor rgb="FFA9A9A9"/>
        <bgColor rgb="FFA9A9A9"/>
      </patternFill>
    </fill>
    <fill>
      <patternFill patternType="solid">
        <fgColor rgb="FFB2B2B2"/>
        <bgColor rgb="FFB2B2B2"/>
      </patternFill>
    </fill>
    <fill>
      <patternFill patternType="solid">
        <fgColor rgb="FFDCDCDC"/>
        <bgColor rgb="FFDCDCD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7" tint="0.79998168889431442"/>
        <bgColor rgb="FFD3D3D3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4" tint="0.59999389629810485"/>
        <bgColor rgb="FFD3D3D3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000000"/>
      </right>
      <top style="thin">
        <color rgb="FF666666"/>
      </top>
      <bottom style="thin">
        <color rgb="FF666666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B2B2B2"/>
      </top>
      <bottom style="thin">
        <color rgb="FFB2B2B2"/>
      </bottom>
      <diagonal/>
    </border>
  </borders>
  <cellStyleXfs count="35">
    <xf numFmtId="0" fontId="0" fillId="0" borderId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0" fillId="10" borderId="0" applyNumberFormat="0" applyBorder="0" applyAlignment="0" applyProtection="0"/>
    <xf numFmtId="0" fontId="4" fillId="5" borderId="0" applyNumberFormat="0" applyBorder="0" applyAlignment="0" applyProtection="0"/>
    <xf numFmtId="0" fontId="15" fillId="12" borderId="0" applyNumberFormat="0" applyBorder="0" applyAlignment="0" applyProtection="0"/>
    <xf numFmtId="0" fontId="16" fillId="12" borderId="3" applyNumberFormat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164" fontId="5" fillId="6" borderId="0" applyAlignment="0" applyProtection="0"/>
    <xf numFmtId="0" fontId="1" fillId="0" borderId="0" applyNumberFormat="0" applyFont="0" applyFill="0" applyBorder="0" applyAlignment="0" applyProtection="0"/>
    <xf numFmtId="0" fontId="3" fillId="7" borderId="0" applyNumberFormat="0" applyBorder="0" applyAlignment="0" applyProtection="0"/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8" fillId="8" borderId="2" applyNumberFormat="0" applyAlignment="0" applyProtection="0"/>
    <xf numFmtId="0" fontId="9" fillId="9" borderId="1" applyNumberFormat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164" fontId="5" fillId="11" borderId="0" applyBorder="0" applyAlignment="0" applyProtection="0"/>
    <xf numFmtId="0" fontId="17" fillId="13" borderId="0" applyNumberFormat="0" applyBorder="0" applyAlignment="0" applyProtection="0"/>
    <xf numFmtId="0" fontId="1" fillId="0" borderId="0" applyNumberFormat="0" applyFont="0" applyFill="0" applyBorder="0" applyProtection="0">
      <alignment horizontal="left"/>
    </xf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Protection="0">
      <alignment horizontal="left"/>
    </xf>
    <xf numFmtId="0" fontId="1" fillId="0" borderId="0" applyNumberFormat="0" applyFont="0" applyFill="0" applyBorder="0" applyAlignment="0" applyProtection="0"/>
    <xf numFmtId="0" fontId="18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167" fontId="1" fillId="6" borderId="0" applyFont="0" applyProtection="0">
      <alignment horizontal="center"/>
    </xf>
    <xf numFmtId="167" fontId="19" fillId="11" borderId="0" applyBorder="0" applyAlignment="0" applyProtection="0"/>
    <xf numFmtId="0" fontId="20" fillId="0" borderId="1" applyNumberFormat="0" applyFill="0" applyAlignment="0" applyProtection="0"/>
    <xf numFmtId="0" fontId="4" fillId="0" borderId="0" applyNumberFormat="0" applyFill="0" applyBorder="0" applyAlignment="0" applyProtection="0"/>
  </cellStyleXfs>
  <cellXfs count="137">
    <xf numFmtId="0" fontId="0" fillId="0" borderId="0" xfId="0"/>
    <xf numFmtId="166" fontId="21" fillId="14" borderId="4" xfId="12" applyNumberFormat="1" applyFont="1" applyFill="1" applyBorder="1" applyAlignment="1">
      <alignment horizontal="center" vertical="center" wrapText="1"/>
    </xf>
    <xf numFmtId="3" fontId="21" fillId="14" borderId="4" xfId="12" applyNumberFormat="1" applyFont="1" applyFill="1" applyBorder="1" applyAlignment="1">
      <alignment horizontal="center" vertical="center"/>
    </xf>
    <xf numFmtId="3" fontId="21" fillId="14" borderId="4" xfId="12" applyNumberFormat="1" applyFont="1" applyFill="1" applyBorder="1" applyAlignment="1">
      <alignment horizontal="center" vertical="center" wrapText="1"/>
    </xf>
    <xf numFmtId="3" fontId="21" fillId="15" borderId="4" xfId="12" applyNumberFormat="1" applyFont="1" applyFill="1" applyBorder="1" applyAlignment="1">
      <alignment horizontal="center" vertical="center"/>
    </xf>
    <xf numFmtId="0" fontId="22" fillId="16" borderId="0" xfId="12" applyFont="1" applyFill="1" applyAlignment="1">
      <alignment horizontal="center" vertical="center"/>
    </xf>
    <xf numFmtId="0" fontId="22" fillId="0" borderId="0" xfId="12" applyFont="1" applyAlignment="1">
      <alignment vertical="center"/>
    </xf>
    <xf numFmtId="0" fontId="22" fillId="0" borderId="0" xfId="12" applyFont="1"/>
    <xf numFmtId="166" fontId="22" fillId="17" borderId="4" xfId="12" applyNumberFormat="1" applyFont="1" applyFill="1" applyBorder="1" applyAlignment="1">
      <alignment horizontal="center" vertical="center"/>
    </xf>
    <xf numFmtId="0" fontId="22" fillId="17" borderId="4" xfId="12" applyFont="1" applyFill="1" applyBorder="1" applyAlignment="1">
      <alignment horizontal="center" vertical="center"/>
    </xf>
    <xf numFmtId="0" fontId="22" fillId="17" borderId="4" xfId="12" applyFont="1" applyFill="1" applyBorder="1" applyAlignment="1">
      <alignment horizontal="left" vertical="center"/>
    </xf>
    <xf numFmtId="0" fontId="22" fillId="0" borderId="4" xfId="12" applyFont="1" applyBorder="1"/>
    <xf numFmtId="3" fontId="22" fillId="0" borderId="4" xfId="12" applyNumberFormat="1" applyFont="1" applyBorder="1"/>
    <xf numFmtId="166" fontId="22" fillId="0" borderId="4" xfId="12" applyNumberFormat="1" applyFont="1" applyBorder="1" applyAlignment="1">
      <alignment horizontal="center" vertical="center"/>
    </xf>
    <xf numFmtId="0" fontId="22" fillId="0" borderId="4" xfId="12" applyFont="1" applyBorder="1" applyAlignment="1">
      <alignment horizontal="center" vertical="center"/>
    </xf>
    <xf numFmtId="0" fontId="22" fillId="0" borderId="4" xfId="12" applyFont="1" applyBorder="1" applyAlignment="1">
      <alignment horizontal="left" vertical="center"/>
    </xf>
    <xf numFmtId="0" fontId="22" fillId="0" borderId="4" xfId="12" applyFont="1" applyBorder="1" applyAlignment="1">
      <alignment vertical="center"/>
    </xf>
    <xf numFmtId="3" fontId="22" fillId="0" borderId="4" xfId="12" applyNumberFormat="1" applyFont="1" applyBorder="1" applyAlignment="1">
      <alignment vertical="center"/>
    </xf>
    <xf numFmtId="166" fontId="22" fillId="0" borderId="4" xfId="12" applyNumberFormat="1" applyFont="1" applyFill="1" applyBorder="1" applyAlignment="1">
      <alignment horizontal="center" vertical="center"/>
    </xf>
    <xf numFmtId="0" fontId="22" fillId="0" borderId="4" xfId="12" applyFont="1" applyFill="1" applyBorder="1" applyAlignment="1">
      <alignment horizontal="center" vertical="center"/>
    </xf>
    <xf numFmtId="0" fontId="22" fillId="0" borderId="4" xfId="12" applyFont="1" applyFill="1" applyBorder="1" applyAlignment="1">
      <alignment horizontal="left" vertical="center"/>
    </xf>
    <xf numFmtId="166" fontId="22" fillId="16" borderId="4" xfId="12" applyNumberFormat="1" applyFont="1" applyFill="1" applyBorder="1" applyAlignment="1">
      <alignment horizontal="center" vertical="center"/>
    </xf>
    <xf numFmtId="0" fontId="22" fillId="16" borderId="4" xfId="12" applyFont="1" applyFill="1" applyBorder="1" applyAlignment="1">
      <alignment horizontal="center" vertical="center"/>
    </xf>
    <xf numFmtId="0" fontId="22" fillId="16" borderId="4" xfId="12" applyFont="1" applyFill="1" applyBorder="1" applyAlignment="1">
      <alignment horizontal="left" vertical="center"/>
    </xf>
    <xf numFmtId="166" fontId="22" fillId="18" borderId="4" xfId="12" applyNumberFormat="1" applyFont="1" applyFill="1" applyBorder="1" applyAlignment="1">
      <alignment horizontal="center" vertical="center"/>
    </xf>
    <xf numFmtId="0" fontId="22" fillId="18" borderId="4" xfId="12" applyFont="1" applyFill="1" applyBorder="1" applyAlignment="1">
      <alignment horizontal="center" vertical="center"/>
    </xf>
    <xf numFmtId="0" fontId="22" fillId="18" borderId="4" xfId="12" applyFont="1" applyFill="1" applyBorder="1" applyAlignment="1">
      <alignment horizontal="left" vertical="center"/>
    </xf>
    <xf numFmtId="0" fontId="23" fillId="0" borderId="4" xfId="12" applyFont="1" applyBorder="1" applyAlignment="1">
      <alignment horizontal="center" vertical="center"/>
    </xf>
    <xf numFmtId="0" fontId="24" fillId="0" borderId="4" xfId="12" applyFont="1" applyBorder="1" applyAlignment="1">
      <alignment horizontal="center" vertical="center"/>
    </xf>
    <xf numFmtId="166" fontId="22" fillId="19" borderId="4" xfId="12" applyNumberFormat="1" applyFont="1" applyFill="1" applyBorder="1" applyAlignment="1">
      <alignment horizontal="center" vertical="center"/>
    </xf>
    <xf numFmtId="0" fontId="22" fillId="19" borderId="4" xfId="12" applyFont="1" applyFill="1" applyBorder="1" applyAlignment="1">
      <alignment horizontal="center" vertical="center"/>
    </xf>
    <xf numFmtId="0" fontId="22" fillId="19" borderId="4" xfId="12" applyFont="1" applyFill="1" applyBorder="1" applyAlignment="1">
      <alignment horizontal="left" vertical="center"/>
    </xf>
    <xf numFmtId="166" fontId="21" fillId="17" borderId="4" xfId="12" applyNumberFormat="1" applyFont="1" applyFill="1" applyBorder="1" applyAlignment="1">
      <alignment horizontal="center" vertical="center"/>
    </xf>
    <xf numFmtId="0" fontId="21" fillId="17" borderId="4" xfId="12" applyFont="1" applyFill="1" applyBorder="1" applyAlignment="1">
      <alignment horizontal="center" vertical="center"/>
    </xf>
    <xf numFmtId="0" fontId="21" fillId="17" borderId="4" xfId="12" applyFont="1" applyFill="1" applyBorder="1" applyAlignment="1">
      <alignment horizontal="left" vertical="center"/>
    </xf>
    <xf numFmtId="166" fontId="21" fillId="0" borderId="4" xfId="12" applyNumberFormat="1" applyFont="1" applyFill="1" applyBorder="1" applyAlignment="1">
      <alignment horizontal="center" vertical="center"/>
    </xf>
    <xf numFmtId="0" fontId="21" fillId="0" borderId="4" xfId="12" applyFont="1" applyFill="1" applyBorder="1" applyAlignment="1">
      <alignment horizontal="center" vertical="center"/>
    </xf>
    <xf numFmtId="0" fontId="21" fillId="0" borderId="4" xfId="12" applyFont="1" applyFill="1" applyBorder="1" applyAlignment="1">
      <alignment horizontal="left" vertical="center"/>
    </xf>
    <xf numFmtId="165" fontId="22" fillId="16" borderId="4" xfId="12" applyNumberFormat="1" applyFont="1" applyFill="1" applyBorder="1" applyAlignment="1">
      <alignment horizontal="center" vertical="center"/>
    </xf>
    <xf numFmtId="169" fontId="22" fillId="16" borderId="4" xfId="12" applyNumberFormat="1" applyFont="1" applyFill="1" applyBorder="1" applyAlignment="1">
      <alignment horizontal="center" vertical="center"/>
    </xf>
    <xf numFmtId="170" fontId="22" fillId="16" borderId="4" xfId="12" applyNumberFormat="1" applyFont="1" applyFill="1" applyBorder="1" applyAlignment="1">
      <alignment horizontal="center" vertical="center"/>
    </xf>
    <xf numFmtId="169" fontId="22" fillId="16" borderId="4" xfId="12" applyNumberFormat="1" applyFont="1" applyFill="1" applyBorder="1" applyAlignment="1">
      <alignment horizontal="right" vertical="center"/>
    </xf>
    <xf numFmtId="171" fontId="22" fillId="16" borderId="4" xfId="12" applyNumberFormat="1" applyFont="1" applyFill="1" applyBorder="1" applyAlignment="1">
      <alignment horizontal="right" vertical="center"/>
    </xf>
    <xf numFmtId="169" fontId="22" fillId="20" borderId="4" xfId="12" applyNumberFormat="1" applyFont="1" applyFill="1" applyBorder="1" applyAlignment="1">
      <alignment horizontal="center" vertical="center"/>
    </xf>
    <xf numFmtId="3" fontId="22" fillId="0" borderId="0" xfId="12" applyNumberFormat="1" applyFont="1" applyAlignment="1">
      <alignment vertical="center"/>
    </xf>
    <xf numFmtId="0" fontId="21" fillId="21" borderId="4" xfId="12" applyFont="1" applyFill="1" applyBorder="1" applyAlignment="1">
      <alignment horizontal="center" vertical="center" wrapText="1"/>
    </xf>
    <xf numFmtId="165" fontId="21" fillId="21" borderId="4" xfId="12" applyNumberFormat="1" applyFont="1" applyFill="1" applyBorder="1" applyAlignment="1">
      <alignment horizontal="center" vertical="center" wrapText="1"/>
    </xf>
    <xf numFmtId="4" fontId="21" fillId="21" borderId="4" xfId="12" applyNumberFormat="1" applyFont="1" applyFill="1" applyBorder="1" applyAlignment="1">
      <alignment horizontal="center" vertical="center" wrapText="1"/>
    </xf>
    <xf numFmtId="3" fontId="21" fillId="21" borderId="4" xfId="12" applyNumberFormat="1" applyFont="1" applyFill="1" applyBorder="1" applyAlignment="1">
      <alignment horizontal="center" vertical="center" wrapText="1"/>
    </xf>
    <xf numFmtId="0" fontId="22" fillId="22" borderId="4" xfId="12" applyFont="1" applyFill="1" applyBorder="1" applyAlignment="1">
      <alignment horizontal="center"/>
    </xf>
    <xf numFmtId="0" fontId="22" fillId="0" borderId="4" xfId="12" applyFont="1" applyBorder="1" applyAlignment="1">
      <alignment horizontal="center"/>
    </xf>
    <xf numFmtId="165" fontId="22" fillId="0" borderId="4" xfId="12" applyNumberFormat="1" applyFont="1" applyBorder="1" applyAlignment="1">
      <alignment horizontal="center"/>
    </xf>
    <xf numFmtId="0" fontId="22" fillId="23" borderId="4" xfId="12" applyFont="1" applyFill="1" applyBorder="1"/>
    <xf numFmtId="0" fontId="22" fillId="22" borderId="4" xfId="12" applyFont="1" applyFill="1" applyBorder="1"/>
    <xf numFmtId="4" fontId="22" fillId="0" borderId="4" xfId="12" applyNumberFormat="1" applyFont="1" applyBorder="1"/>
    <xf numFmtId="3" fontId="22" fillId="24" borderId="4" xfId="12" applyNumberFormat="1" applyFont="1" applyFill="1" applyBorder="1"/>
    <xf numFmtId="3" fontId="22" fillId="20" borderId="4" xfId="12" applyNumberFormat="1" applyFont="1" applyFill="1" applyBorder="1"/>
    <xf numFmtId="3" fontId="22" fillId="20" borderId="4" xfId="12" applyNumberFormat="1" applyFont="1" applyFill="1" applyBorder="1" applyAlignment="1">
      <alignment horizontal="right"/>
    </xf>
    <xf numFmtId="3" fontId="22" fillId="0" borderId="4" xfId="12" applyNumberFormat="1" applyFont="1" applyBorder="1" applyAlignment="1">
      <alignment horizontal="right"/>
    </xf>
    <xf numFmtId="0" fontId="25" fillId="16" borderId="4" xfId="12" applyFont="1" applyFill="1" applyBorder="1" applyAlignment="1">
      <alignment horizontal="center" vertical="center" wrapText="1"/>
    </xf>
    <xf numFmtId="167" fontId="25" fillId="16" borderId="4" xfId="12" applyNumberFormat="1" applyFont="1" applyFill="1" applyBorder="1" applyAlignment="1">
      <alignment horizontal="center" vertical="center" wrapText="1"/>
    </xf>
    <xf numFmtId="0" fontId="25" fillId="16" borderId="4" xfId="12" applyFont="1" applyFill="1" applyBorder="1" applyAlignment="1">
      <alignment horizontal="center" vertical="center" shrinkToFit="1"/>
    </xf>
    <xf numFmtId="164" fontId="25" fillId="16" borderId="4" xfId="12" applyNumberFormat="1" applyFont="1" applyFill="1" applyBorder="1" applyAlignment="1">
      <alignment horizontal="center" vertical="center" wrapText="1"/>
    </xf>
    <xf numFmtId="164" fontId="26" fillId="16" borderId="4" xfId="12" applyNumberFormat="1" applyFont="1" applyFill="1" applyBorder="1" applyAlignment="1">
      <alignment horizontal="center" vertical="center" wrapText="1"/>
    </xf>
    <xf numFmtId="0" fontId="27" fillId="16" borderId="5" xfId="12" applyFont="1" applyFill="1" applyBorder="1" applyAlignment="1">
      <alignment horizontal="left" vertical="center" indent="1"/>
    </xf>
    <xf numFmtId="0" fontId="27" fillId="16" borderId="5" xfId="12" applyFont="1" applyFill="1" applyBorder="1" applyAlignment="1">
      <alignment horizontal="center" vertical="center"/>
    </xf>
    <xf numFmtId="167" fontId="27" fillId="16" borderId="5" xfId="12" applyNumberFormat="1" applyFont="1" applyFill="1" applyBorder="1" applyAlignment="1">
      <alignment horizontal="center" vertical="center"/>
    </xf>
    <xf numFmtId="0" fontId="26" fillId="16" borderId="5" xfId="12" applyFont="1" applyFill="1" applyBorder="1" applyAlignment="1">
      <alignment horizontal="left" vertical="center" wrapText="1" indent="1"/>
    </xf>
    <xf numFmtId="0" fontId="26" fillId="16" borderId="5" xfId="12" applyFont="1" applyFill="1" applyBorder="1" applyAlignment="1">
      <alignment horizontal="left" vertical="center" indent="1" shrinkToFit="1"/>
    </xf>
    <xf numFmtId="0" fontId="28" fillId="16" borderId="5" xfId="12" applyFont="1" applyFill="1" applyBorder="1" applyAlignment="1">
      <alignment horizontal="center" vertical="center"/>
    </xf>
    <xf numFmtId="0" fontId="27" fillId="16" borderId="5" xfId="12" applyFont="1" applyFill="1" applyBorder="1" applyAlignment="1">
      <alignment horizontal="left" vertical="center" shrinkToFit="1"/>
    </xf>
    <xf numFmtId="0" fontId="27" fillId="16" borderId="5" xfId="12" applyFont="1" applyFill="1" applyBorder="1" applyAlignment="1">
      <alignment horizontal="left" vertical="center" wrapText="1"/>
    </xf>
    <xf numFmtId="0" fontId="27" fillId="16" borderId="5" xfId="12" applyFont="1" applyFill="1" applyBorder="1" applyAlignment="1">
      <alignment horizontal="left" vertical="center"/>
    </xf>
    <xf numFmtId="164" fontId="25" fillId="16" borderId="5" xfId="12" applyNumberFormat="1" applyFont="1" applyFill="1" applyBorder="1" applyAlignment="1">
      <alignment horizontal="right" vertical="center"/>
    </xf>
    <xf numFmtId="168" fontId="28" fillId="25" borderId="5" xfId="12" applyNumberFormat="1" applyFont="1" applyFill="1" applyBorder="1" applyAlignment="1">
      <alignment horizontal="right" vertical="center"/>
    </xf>
    <xf numFmtId="0" fontId="22" fillId="25" borderId="0" xfId="12" applyFont="1" applyFill="1" applyAlignment="1">
      <alignment vertical="center" shrinkToFit="1"/>
    </xf>
    <xf numFmtId="0" fontId="21" fillId="0" borderId="0" xfId="12" applyFont="1" applyAlignment="1">
      <alignment horizontal="center"/>
    </xf>
    <xf numFmtId="0" fontId="22" fillId="0" borderId="0" xfId="12" applyFont="1" applyAlignment="1">
      <alignment horizontal="left" indent="1"/>
    </xf>
    <xf numFmtId="0" fontId="22" fillId="0" borderId="0" xfId="12" applyFont="1" applyAlignment="1">
      <alignment horizontal="center"/>
    </xf>
    <xf numFmtId="0" fontId="29" fillId="0" borderId="0" xfId="12" applyFont="1"/>
    <xf numFmtId="0" fontId="21" fillId="0" borderId="0" xfId="12" applyFont="1"/>
    <xf numFmtId="0" fontId="21" fillId="0" borderId="0" xfId="12" applyFont="1" applyAlignment="1">
      <alignment horizontal="right" vertical="center"/>
    </xf>
    <xf numFmtId="3" fontId="30" fillId="0" borderId="0" xfId="12" applyNumberFormat="1" applyFont="1" applyAlignment="1">
      <alignment vertical="center"/>
    </xf>
    <xf numFmtId="175" fontId="21" fillId="0" borderId="0" xfId="12" applyNumberFormat="1" applyFont="1" applyAlignment="1">
      <alignment horizontal="right"/>
    </xf>
    <xf numFmtId="175" fontId="22" fillId="0" borderId="0" xfId="12" applyNumberFormat="1" applyFont="1" applyAlignment="1">
      <alignment horizontal="center"/>
    </xf>
    <xf numFmtId="0" fontId="21" fillId="0" borderId="4" xfId="12" applyFont="1" applyBorder="1" applyAlignment="1">
      <alignment horizontal="center"/>
    </xf>
    <xf numFmtId="0" fontId="1" fillId="0" borderId="0" xfId="12"/>
    <xf numFmtId="0" fontId="21" fillId="0" borderId="0" xfId="12" applyFont="1" applyBorder="1" applyAlignment="1">
      <alignment horizontal="center"/>
    </xf>
    <xf numFmtId="172" fontId="22" fillId="0" borderId="0" xfId="12" applyNumberFormat="1" applyFont="1" applyBorder="1" applyAlignment="1">
      <alignment horizontal="left"/>
    </xf>
    <xf numFmtId="0" fontId="22" fillId="0" borderId="0" xfId="12" applyFont="1" applyBorder="1" applyAlignment="1">
      <alignment horizontal="left" indent="1"/>
    </xf>
    <xf numFmtId="176" fontId="31" fillId="0" borderId="0" xfId="12" applyNumberFormat="1" applyFont="1" applyBorder="1" applyAlignment="1">
      <alignment horizontal="center"/>
    </xf>
    <xf numFmtId="0" fontId="22" fillId="0" borderId="0" xfId="12" applyFont="1" applyBorder="1" applyAlignment="1">
      <alignment horizontal="center"/>
    </xf>
    <xf numFmtId="0" fontId="22" fillId="0" borderId="0" xfId="12" applyFont="1" applyBorder="1"/>
    <xf numFmtId="172" fontId="22" fillId="0" borderId="0" xfId="12" applyNumberFormat="1" applyFont="1"/>
    <xf numFmtId="0" fontId="22" fillId="16" borderId="0" xfId="12" applyFont="1" applyFill="1" applyBorder="1" applyAlignment="1">
      <alignment horizontal="left" indent="1"/>
    </xf>
    <xf numFmtId="176" fontId="31" fillId="0" borderId="0" xfId="12" applyNumberFormat="1" applyFont="1" applyAlignment="1">
      <alignment horizontal="center"/>
    </xf>
    <xf numFmtId="173" fontId="22" fillId="0" borderId="0" xfId="12" applyNumberFormat="1" applyFont="1" applyAlignment="1">
      <alignment horizontal="left"/>
    </xf>
    <xf numFmtId="49" fontId="22" fillId="0" borderId="0" xfId="12" applyNumberFormat="1" applyFont="1" applyAlignment="1">
      <alignment horizontal="center"/>
    </xf>
    <xf numFmtId="49" fontId="22" fillId="0" borderId="0" xfId="12" applyNumberFormat="1" applyFont="1"/>
    <xf numFmtId="177" fontId="22" fillId="0" borderId="0" xfId="12" applyNumberFormat="1" applyFont="1" applyAlignment="1">
      <alignment horizontal="center"/>
    </xf>
    <xf numFmtId="0" fontId="30" fillId="0" borderId="0" xfId="12" applyFont="1"/>
    <xf numFmtId="0" fontId="21" fillId="26" borderId="0" xfId="12" applyFont="1" applyFill="1" applyBorder="1" applyAlignment="1">
      <alignment horizontal="center"/>
    </xf>
    <xf numFmtId="172" fontId="22" fillId="26" borderId="0" xfId="12" applyNumberFormat="1" applyFont="1" applyFill="1" applyBorder="1" applyAlignment="1">
      <alignment horizontal="left"/>
    </xf>
    <xf numFmtId="0" fontId="21" fillId="26" borderId="0" xfId="12" applyFont="1" applyFill="1" applyAlignment="1">
      <alignment horizontal="center"/>
    </xf>
    <xf numFmtId="0" fontId="22" fillId="26" borderId="0" xfId="12" applyFont="1" applyFill="1" applyAlignment="1">
      <alignment horizontal="left" indent="1"/>
    </xf>
    <xf numFmtId="176" fontId="31" fillId="26" borderId="0" xfId="12" applyNumberFormat="1" applyFont="1" applyFill="1" applyAlignment="1">
      <alignment horizontal="center"/>
    </xf>
    <xf numFmtId="0" fontId="22" fillId="26" borderId="0" xfId="12" applyFont="1" applyFill="1" applyAlignment="1">
      <alignment horizontal="center"/>
    </xf>
    <xf numFmtId="0" fontId="22" fillId="26" borderId="0" xfId="12" applyFont="1" applyFill="1" applyBorder="1" applyAlignment="1">
      <alignment horizontal="center"/>
    </xf>
    <xf numFmtId="0" fontId="22" fillId="26" borderId="0" xfId="12" applyFont="1" applyFill="1"/>
    <xf numFmtId="173" fontId="22" fillId="26" borderId="0" xfId="12" applyNumberFormat="1" applyFont="1" applyFill="1" applyAlignment="1">
      <alignment horizontal="left"/>
    </xf>
    <xf numFmtId="49" fontId="22" fillId="26" borderId="0" xfId="12" applyNumberFormat="1" applyFont="1" applyFill="1" applyAlignment="1">
      <alignment horizontal="center"/>
    </xf>
    <xf numFmtId="165" fontId="22" fillId="27" borderId="4" xfId="12" applyNumberFormat="1" applyFont="1" applyFill="1" applyBorder="1" applyAlignment="1">
      <alignment horizontal="center" vertical="center"/>
    </xf>
    <xf numFmtId="0" fontId="22" fillId="27" borderId="4" xfId="12" applyFont="1" applyFill="1" applyBorder="1" applyAlignment="1">
      <alignment horizontal="center" vertical="center"/>
    </xf>
    <xf numFmtId="0" fontId="22" fillId="27" borderId="4" xfId="12" applyFont="1" applyFill="1" applyBorder="1" applyAlignment="1">
      <alignment horizontal="left" vertical="center"/>
    </xf>
    <xf numFmtId="169" fontId="22" fillId="27" borderId="4" xfId="12" applyNumberFormat="1" applyFont="1" applyFill="1" applyBorder="1" applyAlignment="1">
      <alignment horizontal="center" vertical="center"/>
    </xf>
    <xf numFmtId="171" fontId="22" fillId="27" borderId="4" xfId="12" applyNumberFormat="1" applyFont="1" applyFill="1" applyBorder="1" applyAlignment="1">
      <alignment horizontal="right" vertical="center"/>
    </xf>
    <xf numFmtId="3" fontId="22" fillId="26" borderId="4" xfId="12" applyNumberFormat="1" applyFont="1" applyFill="1" applyBorder="1" applyAlignment="1">
      <alignment vertical="center"/>
    </xf>
    <xf numFmtId="0" fontId="22" fillId="26" borderId="4" xfId="12" applyFont="1" applyFill="1" applyBorder="1" applyAlignment="1">
      <alignment vertical="center"/>
    </xf>
    <xf numFmtId="169" fontId="22" fillId="28" borderId="4" xfId="12" applyNumberFormat="1" applyFont="1" applyFill="1" applyBorder="1" applyAlignment="1">
      <alignment horizontal="center" vertical="center"/>
    </xf>
    <xf numFmtId="165" fontId="22" fillId="0" borderId="4" xfId="12" applyNumberFormat="1" applyFont="1" applyFill="1" applyBorder="1" applyAlignment="1">
      <alignment horizontal="center" vertical="center"/>
    </xf>
    <xf numFmtId="169" fontId="22" fillId="0" borderId="4" xfId="12" applyNumberFormat="1" applyFont="1" applyFill="1" applyBorder="1" applyAlignment="1">
      <alignment horizontal="center" vertical="center"/>
    </xf>
    <xf numFmtId="171" fontId="22" fillId="0" borderId="4" xfId="12" applyNumberFormat="1" applyFont="1" applyFill="1" applyBorder="1" applyAlignment="1">
      <alignment horizontal="right" vertical="center"/>
    </xf>
    <xf numFmtId="3" fontId="22" fillId="0" borderId="4" xfId="12" applyNumberFormat="1" applyFont="1" applyFill="1" applyBorder="1" applyAlignment="1">
      <alignment vertical="center"/>
    </xf>
    <xf numFmtId="0" fontId="22" fillId="0" borderId="4" xfId="12" applyFont="1" applyFill="1" applyBorder="1" applyAlignment="1">
      <alignment vertical="center"/>
    </xf>
    <xf numFmtId="0" fontId="22" fillId="0" borderId="0" xfId="12" applyFont="1" applyFill="1" applyAlignment="1">
      <alignment vertical="center"/>
    </xf>
    <xf numFmtId="0" fontId="22" fillId="0" borderId="0" xfId="12" applyFont="1" applyFill="1"/>
    <xf numFmtId="165" fontId="22" fillId="29" borderId="4" xfId="12" applyNumberFormat="1" applyFont="1" applyFill="1" applyBorder="1" applyAlignment="1">
      <alignment horizontal="center" vertical="center"/>
    </xf>
    <xf numFmtId="0" fontId="22" fillId="29" borderId="4" xfId="12" applyFont="1" applyFill="1" applyBorder="1" applyAlignment="1">
      <alignment horizontal="center" vertical="center"/>
    </xf>
    <xf numFmtId="0" fontId="22" fillId="29" borderId="4" xfId="12" applyFont="1" applyFill="1" applyBorder="1" applyAlignment="1">
      <alignment horizontal="left" vertical="center"/>
    </xf>
    <xf numFmtId="169" fontId="22" fillId="30" borderId="4" xfId="12" applyNumberFormat="1" applyFont="1" applyFill="1" applyBorder="1" applyAlignment="1">
      <alignment horizontal="center" vertical="center"/>
    </xf>
    <xf numFmtId="171" fontId="22" fillId="29" borderId="4" xfId="12" applyNumberFormat="1" applyFont="1" applyFill="1" applyBorder="1" applyAlignment="1">
      <alignment horizontal="right" vertical="center"/>
    </xf>
    <xf numFmtId="3" fontId="22" fillId="31" borderId="4" xfId="12" applyNumberFormat="1" applyFont="1" applyFill="1" applyBorder="1" applyAlignment="1">
      <alignment vertical="center"/>
    </xf>
    <xf numFmtId="0" fontId="22" fillId="31" borderId="4" xfId="12" applyFont="1" applyFill="1" applyBorder="1" applyAlignment="1">
      <alignment vertical="center"/>
    </xf>
    <xf numFmtId="169" fontId="22" fillId="29" borderId="4" xfId="12" applyNumberFormat="1" applyFont="1" applyFill="1" applyBorder="1" applyAlignment="1">
      <alignment horizontal="center" vertical="center"/>
    </xf>
    <xf numFmtId="3" fontId="29" fillId="0" borderId="0" xfId="12" applyNumberFormat="1" applyFont="1" applyAlignment="1">
      <alignment horizontal="right" vertical="center"/>
    </xf>
    <xf numFmtId="0" fontId="21" fillId="0" borderId="0" xfId="12" applyFont="1" applyAlignment="1">
      <alignment horizontal="right" vertical="center"/>
    </xf>
    <xf numFmtId="174" fontId="21" fillId="0" borderId="0" xfId="12" applyNumberFormat="1" applyFont="1" applyAlignment="1">
      <alignment horizontal="right" vertical="center"/>
    </xf>
  </cellXfs>
  <cellStyles count="35">
    <cellStyle name="Accent" xfId="7" xr:uid="{3EF36A46-DE03-4312-A11F-DDD5041009D4}"/>
    <cellStyle name="Accent 1" xfId="8" xr:uid="{DBFCCA0F-424C-4362-B942-CD587E22486D}"/>
    <cellStyle name="Accent 2" xfId="9" xr:uid="{E827B2A4-9ADF-44D3-8F4C-9AD6C0F0FECD}"/>
    <cellStyle name="Accent 3" xfId="10" xr:uid="{82C70305-1ABE-46E4-9429-D9E52AB138E0}"/>
    <cellStyle name="Bad" xfId="4" builtinId="27" customBuiltin="1"/>
    <cellStyle name="biruu" xfId="11" xr:uid="{B90259E9-251D-4C67-8023-0F4DC8F51F5F}"/>
    <cellStyle name="Default" xfId="12" xr:uid="{1A496A92-AB78-448C-B0D1-7EA6CEEC6765}"/>
    <cellStyle name="Error" xfId="13" xr:uid="{5569B375-8CDA-4EED-9C1E-09B3DBDAA3B6}"/>
    <cellStyle name="Footnote" xfId="14" xr:uid="{CC89CD08-C156-41AE-AF20-066A7E066D69}"/>
    <cellStyle name="garis item" xfId="15" xr:uid="{3BA2CA3A-C757-496B-96F4-D28C99E2F073}"/>
    <cellStyle name="garis kuning" xfId="16" xr:uid="{EFA04DDD-585C-4634-8F7E-E1D1B3674600}"/>
    <cellStyle name="GARISTOK" xfId="17" xr:uid="{2B40B6FD-BCD4-445C-AE7B-85880805C73E}"/>
    <cellStyle name="Good" xfId="3" builtinId="26" customBuiltin="1"/>
    <cellStyle name="Heading" xfId="18" xr:uid="{0BAC7F52-99F9-441A-BBFD-EFAE7BF49C0D}"/>
    <cellStyle name="Heading 1" xfId="1" builtinId="16" customBuiltin="1"/>
    <cellStyle name="Heading 2" xfId="2" builtinId="17" customBuiltin="1"/>
    <cellStyle name="Hyperlink" xfId="19" xr:uid="{2F8A6601-ED56-430C-9250-E5C4D8403E63}"/>
    <cellStyle name="kuning2" xfId="20" xr:uid="{BC440342-B9DA-488D-B253-02AE0E61B69D}"/>
    <cellStyle name="Neutral" xfId="5" builtinId="28" customBuiltin="1"/>
    <cellStyle name="Normal" xfId="0" builtinId="0" customBuiltin="1"/>
    <cellStyle name="Note" xfId="6" builtinId="10" customBuiltin="1"/>
    <cellStyle name="pink" xfId="21" xr:uid="{C270B0AF-71DE-4789-85F3-753AAC834961}"/>
    <cellStyle name="Pivot Table Category" xfId="22" xr:uid="{10233A81-289D-4A4B-8A2D-C5BADE3E7A28}"/>
    <cellStyle name="Pivot Table Corner" xfId="23" xr:uid="{78DED7E2-1CA5-44F3-AF98-788FDBF7AD69}"/>
    <cellStyle name="Pivot Table Field" xfId="24" xr:uid="{ACA46ABE-AC21-492D-A81C-E931BACEB06A}"/>
    <cellStyle name="Pivot Table Result" xfId="25" xr:uid="{AE44F403-7060-4C6C-B1AF-965A28C28B29}"/>
    <cellStyle name="Pivot Table Title" xfId="26" xr:uid="{6AB10D50-9171-4FF8-A8D8-A438C6739C45}"/>
    <cellStyle name="Pivot Table Value" xfId="27" xr:uid="{B90FCB2F-8D4A-4120-BEA0-900C07CA5314}"/>
    <cellStyle name="Result" xfId="28" xr:uid="{FFC3092B-40FA-44A7-B554-F60B62949D40}"/>
    <cellStyle name="Status" xfId="29" xr:uid="{9B501764-40C3-469A-8595-4C82BAE5DAAA}"/>
    <cellStyle name="Text" xfId="30" xr:uid="{8062C32C-8779-4F18-B810-064BCA85A7DB}"/>
    <cellStyle name="tglbiru" xfId="31" xr:uid="{6CF60ABC-8330-4349-9A54-7990CD0F8F0C}"/>
    <cellStyle name="Tglkuning" xfId="32" xr:uid="{8F67C7DA-4BB6-42D9-B258-28F4F28A49AB}"/>
    <cellStyle name="uitem" xfId="33" xr:uid="{A4E820A7-17BD-49DA-8868-B7DEA909CEF9}"/>
    <cellStyle name="Warning" xfId="34" xr:uid="{93D89887-2BB9-4114-A819-C199917E58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36784A-7A7B-49CA-BA79-7B272F8F83E1}" name="__Anonymous_Sheet_DB__0" displayName="__Anonymous_Sheet_DB__0" ref="A1:O462" totalsRowShown="0">
  <autoFilter ref="A1:O462" xr:uid="{F636784A-7A7B-49CA-BA79-7B272F8F83E1}"/>
  <tableColumns count="15">
    <tableColumn id="1" xr3:uid="{1FBA7AA6-10C0-4E6C-9537-3D1133E8C02E}" name="Tgl kegiatan"/>
    <tableColumn id="2" xr3:uid="{BE7FC439-976E-4CCE-9FC9-622C87C47017}" name="Tujuan"/>
    <tableColumn id="3" xr3:uid="{29894A6A-481E-4211-8883-078115736942}" name="Pekerjaan"/>
    <tableColumn id="4" xr3:uid="{567132C3-F7B1-4CEF-A10A-5580F90AA2AC}" name="Lokasi_x000a_Depo"/>
    <tableColumn id="5" xr3:uid="{31C289FC-0C12-4E52-AB9E-8D862C9C85F0}" name="Tonase Angkutan Sampah"/>
    <tableColumn id="6" xr3:uid="{FCBEB9B9-F091-4062-BC91-B94D79B930D2}" name="Brt kotor"/>
    <tableColumn id="7" xr3:uid="{90CF4D72-6D6D-4BCF-8084-B2422AC1ADB1}" name="Brt Kosong"/>
    <tableColumn id="8" xr3:uid="{DF1CDEF7-D0A6-40EC-A62E-D47EAD8846CF}" name="Brt Bersih"/>
    <tableColumn id="9" xr3:uid="{A5C2B520-DE5B-43EB-B9CB-398B91EA51CE}" name="Debit"/>
    <tableColumn id="10" xr3:uid="{2C86AF6C-0B1D-4CEA-9A6E-9DBA644BFA6B}" name="Nominal_x000a_Parkir"/>
    <tableColumn id="11" xr3:uid="{4E5A4DBB-3178-4D55-85E9-F0E4EC259F0C}" name="Nominal_x000a_Tol"/>
    <tableColumn id="12" xr3:uid="{F380BE82-2A2A-4659-A951-B611148A2EE7}" name="Nominal_x000a_Tambal ban /_x000a_Tambah angin"/>
    <tableColumn id="13" xr3:uid="{AD8B954C-4144-48B6-B1BC-3350C0FDFFC1}" name="Biaya Retribusi_x000a_Masuk TPS"/>
    <tableColumn id="14" xr3:uid="{14AE20FA-8B6B-4B9E-93C5-09167761555F}" name="BS"/>
    <tableColumn id="15" xr3:uid="{AFDE352E-6E2B-4ECF-902A-9DAD27355988}" name="V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28F644-77D3-40F5-A18B-BA4DC97B82E9}" name="__Anonymous_Sheet_DB__3" displayName="__Anonymous_Sheet_DB__3" ref="B9:J10000" totalsRowShown="0">
  <autoFilter ref="B9:J10000" xr:uid="{5968FA9E-8164-45B5-B9F6-10BEABB7D35E}"/>
  <tableColumns count="9">
    <tableColumn id="1" xr3:uid="{46081462-0478-4DF9-91DF-4014B67F1603}" name="NO"/>
    <tableColumn id="2" xr3:uid="{D33CD238-3FD3-48E7-8717-3D6BB8876D5A}" name="TANGGAL"/>
    <tableColumn id="3" xr3:uid="{D2D6B423-6D55-459A-A09E-CFA68E643018}" name="BLN"/>
    <tableColumn id="4" xr3:uid="{EF9F0DA0-623E-4E29-92CC-10B575B3F2CF}" name="TRUCK"/>
    <tableColumn id="5" xr3:uid="{B56B082E-9ED7-4EF8-972B-8BA8E5B16A4B}" name="VOLUME"/>
    <tableColumn id="6" xr3:uid="{E6F5E291-9465-4757-802E-DF42E64287CB}" name="Jam"/>
    <tableColumn id="7" xr3:uid="{F6B26688-2AED-4024-8F7A-A7023683DEF6}" name="YEAR"/>
    <tableColumn id="8" xr3:uid="{B90130A1-3681-4142-A8C7-DED98CECE200}" name="LOKASI"/>
    <tableColumn id="9" xr3:uid="{EABCB7C1-0E98-477A-A7BA-7B6E2090EAB1}" name="ID V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9670-B6F3-4314-A36A-007B68001EED}">
  <dimension ref="A1:XEU861"/>
  <sheetViews>
    <sheetView workbookViewId="0">
      <pane ySplit="1" topLeftCell="A672" activePane="bottomLeft" state="frozen"/>
      <selection pane="bottomLeft" activeCell="J680" sqref="J680"/>
    </sheetView>
  </sheetViews>
  <sheetFormatPr defaultRowHeight="12"/>
  <cols>
    <col min="1" max="1" width="14.140625" style="6" customWidth="1"/>
    <col min="2" max="2" width="12.140625" style="6" customWidth="1"/>
    <col min="3" max="3" width="14.85546875" style="6" customWidth="1"/>
    <col min="4" max="4" width="19.85546875" style="6" customWidth="1"/>
    <col min="5" max="5" width="17.28515625" style="6" customWidth="1"/>
    <col min="6" max="8" width="12.140625" style="6" customWidth="1"/>
    <col min="9" max="9" width="10.85546875" style="44" customWidth="1"/>
    <col min="10" max="10" width="14.5703125" style="44" customWidth="1"/>
    <col min="11" max="11" width="12.42578125" style="44" customWidth="1"/>
    <col min="12" max="12" width="14.140625" style="44" customWidth="1"/>
    <col min="13" max="13" width="17" style="44" customWidth="1"/>
    <col min="14" max="16375" width="12.140625" style="6" customWidth="1"/>
    <col min="16376" max="16384" width="12.140625" style="7" customWidth="1"/>
  </cols>
  <sheetData>
    <row r="1" spans="1:1019" s="7" customFormat="1" ht="36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2" t="s">
        <v>13</v>
      </c>
      <c r="O1" s="2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6"/>
      <c r="AME1" s="6"/>
    </row>
    <row r="2" spans="1:1019" s="7" customFormat="1">
      <c r="A2" s="8">
        <v>45350</v>
      </c>
      <c r="B2" s="9"/>
      <c r="C2" s="9"/>
      <c r="D2" s="10"/>
      <c r="E2" s="11"/>
      <c r="F2" s="11"/>
      <c r="G2" s="11"/>
      <c r="H2" s="11"/>
      <c r="I2" s="12">
        <v>1000000</v>
      </c>
      <c r="J2" s="12"/>
      <c r="K2" s="12"/>
      <c r="L2" s="12"/>
      <c r="M2" s="12"/>
      <c r="N2" s="11" t="s">
        <v>15</v>
      </c>
      <c r="O2" s="11" t="s">
        <v>16</v>
      </c>
    </row>
    <row r="3" spans="1:1019">
      <c r="A3" s="13">
        <v>45346</v>
      </c>
      <c r="B3" s="14" t="s">
        <v>17</v>
      </c>
      <c r="C3" s="14" t="s">
        <v>18</v>
      </c>
      <c r="D3" s="15" t="s">
        <v>19</v>
      </c>
      <c r="E3" s="16"/>
      <c r="F3" s="16"/>
      <c r="G3" s="16"/>
      <c r="H3" s="16"/>
      <c r="I3" s="17"/>
      <c r="J3" s="17"/>
      <c r="K3" s="17">
        <v>42500</v>
      </c>
      <c r="L3" s="17"/>
      <c r="M3" s="17">
        <v>14000</v>
      </c>
      <c r="N3" s="16"/>
      <c r="O3" s="16"/>
    </row>
    <row r="4" spans="1:1019">
      <c r="A4" s="13">
        <v>45347</v>
      </c>
      <c r="B4" s="14" t="s">
        <v>17</v>
      </c>
      <c r="C4" s="14" t="s">
        <v>18</v>
      </c>
      <c r="D4" s="15"/>
      <c r="E4" s="16"/>
      <c r="F4" s="16"/>
      <c r="G4" s="16"/>
      <c r="H4" s="16"/>
      <c r="I4" s="17"/>
      <c r="J4" s="17"/>
      <c r="K4" s="17"/>
      <c r="L4" s="17"/>
      <c r="M4" s="17"/>
      <c r="N4" s="16"/>
      <c r="O4" s="16"/>
    </row>
    <row r="5" spans="1:1019">
      <c r="A5" s="13">
        <v>45348</v>
      </c>
      <c r="B5" s="14" t="s">
        <v>17</v>
      </c>
      <c r="C5" s="14" t="s">
        <v>18</v>
      </c>
      <c r="D5" s="15" t="s">
        <v>20</v>
      </c>
      <c r="E5" s="16"/>
      <c r="F5" s="16"/>
      <c r="G5" s="16"/>
      <c r="H5" s="16"/>
      <c r="I5" s="17"/>
      <c r="J5" s="17"/>
      <c r="K5" s="17">
        <v>42500</v>
      </c>
      <c r="L5" s="17"/>
      <c r="M5" s="17">
        <v>14000</v>
      </c>
      <c r="N5" s="16"/>
      <c r="O5" s="16"/>
    </row>
    <row r="6" spans="1:1019">
      <c r="A6" s="13">
        <v>45349</v>
      </c>
      <c r="B6" s="14" t="s">
        <v>17</v>
      </c>
      <c r="C6" s="14" t="s">
        <v>18</v>
      </c>
      <c r="D6" s="15" t="s">
        <v>21</v>
      </c>
      <c r="E6" s="16"/>
      <c r="F6" s="16"/>
      <c r="G6" s="16"/>
      <c r="H6" s="16"/>
      <c r="I6" s="17"/>
      <c r="J6" s="17"/>
      <c r="K6" s="17">
        <v>42500</v>
      </c>
      <c r="L6" s="17"/>
      <c r="M6" s="17">
        <v>7000</v>
      </c>
      <c r="N6" s="16"/>
      <c r="O6" s="16"/>
    </row>
    <row r="7" spans="1:1019">
      <c r="A7" s="13">
        <v>45350</v>
      </c>
      <c r="B7" s="14" t="s">
        <v>17</v>
      </c>
      <c r="C7" s="14" t="s">
        <v>18</v>
      </c>
      <c r="D7" s="15" t="s">
        <v>22</v>
      </c>
      <c r="E7" s="16"/>
      <c r="F7" s="16"/>
      <c r="G7" s="16"/>
      <c r="H7" s="16"/>
      <c r="I7" s="17"/>
      <c r="J7" s="17"/>
      <c r="K7" s="17">
        <v>69000</v>
      </c>
      <c r="L7" s="17"/>
      <c r="M7" s="17">
        <v>14000</v>
      </c>
      <c r="N7" s="16"/>
      <c r="O7" s="16"/>
    </row>
    <row r="8" spans="1:1019">
      <c r="A8" s="13">
        <v>45351</v>
      </c>
      <c r="B8" s="14" t="s">
        <v>17</v>
      </c>
      <c r="C8" s="14" t="s">
        <v>18</v>
      </c>
      <c r="D8" s="15" t="s">
        <v>23</v>
      </c>
      <c r="E8" s="16"/>
      <c r="F8" s="16"/>
      <c r="G8" s="16"/>
      <c r="H8" s="16"/>
      <c r="I8" s="17"/>
      <c r="J8" s="17"/>
      <c r="K8" s="17">
        <v>85000</v>
      </c>
      <c r="L8" s="17"/>
      <c r="M8" s="17">
        <v>14000</v>
      </c>
      <c r="N8" s="16"/>
      <c r="O8" s="16"/>
    </row>
    <row r="9" spans="1:1019">
      <c r="A9" s="13">
        <v>45352</v>
      </c>
      <c r="B9" s="14" t="s">
        <v>17</v>
      </c>
      <c r="C9" s="14" t="s">
        <v>18</v>
      </c>
      <c r="D9" s="15" t="s">
        <v>24</v>
      </c>
      <c r="E9" s="16"/>
      <c r="F9" s="16"/>
      <c r="G9" s="16"/>
      <c r="H9" s="16"/>
      <c r="I9" s="17"/>
      <c r="J9" s="17"/>
      <c r="K9" s="17">
        <v>86500</v>
      </c>
      <c r="L9" s="17"/>
      <c r="M9" s="17">
        <v>14000</v>
      </c>
      <c r="N9" s="16"/>
      <c r="O9" s="16"/>
    </row>
    <row r="10" spans="1:1019">
      <c r="A10" s="13">
        <v>45353</v>
      </c>
      <c r="B10" s="14" t="s">
        <v>17</v>
      </c>
      <c r="C10" s="14" t="s">
        <v>18</v>
      </c>
      <c r="D10" s="15" t="s">
        <v>25</v>
      </c>
      <c r="E10" s="16"/>
      <c r="F10" s="16"/>
      <c r="G10" s="16"/>
      <c r="H10" s="16"/>
      <c r="I10" s="17"/>
      <c r="J10" s="17"/>
      <c r="K10" s="17">
        <v>42500</v>
      </c>
      <c r="L10" s="17"/>
      <c r="M10" s="17">
        <v>7000</v>
      </c>
      <c r="N10" s="16"/>
      <c r="O10" s="16"/>
    </row>
    <row r="11" spans="1:1019">
      <c r="A11" s="13">
        <v>45354</v>
      </c>
      <c r="B11" s="14" t="s">
        <v>17</v>
      </c>
      <c r="C11" s="14" t="s">
        <v>18</v>
      </c>
      <c r="D11" s="15"/>
      <c r="E11" s="16"/>
      <c r="F11" s="16"/>
      <c r="G11" s="16"/>
      <c r="H11" s="16"/>
      <c r="I11" s="17"/>
      <c r="J11" s="17"/>
      <c r="K11" s="17"/>
      <c r="L11" s="17"/>
      <c r="M11" s="17"/>
      <c r="N11" s="16"/>
      <c r="O11" s="16"/>
    </row>
    <row r="12" spans="1:1019">
      <c r="A12" s="13">
        <v>45355</v>
      </c>
      <c r="B12" s="14" t="s">
        <v>17</v>
      </c>
      <c r="C12" s="14" t="s">
        <v>18</v>
      </c>
      <c r="D12" s="15" t="s">
        <v>26</v>
      </c>
      <c r="E12" s="16"/>
      <c r="F12" s="16"/>
      <c r="G12" s="16"/>
      <c r="H12" s="16"/>
      <c r="I12" s="17"/>
      <c r="J12" s="17"/>
      <c r="K12" s="17">
        <v>69000</v>
      </c>
      <c r="L12" s="17"/>
      <c r="M12" s="17">
        <v>4000</v>
      </c>
      <c r="N12" s="16"/>
      <c r="O12" s="16"/>
    </row>
    <row r="13" spans="1:1019">
      <c r="A13" s="13">
        <v>45356</v>
      </c>
      <c r="B13" s="14" t="s">
        <v>17</v>
      </c>
      <c r="C13" s="14" t="s">
        <v>18</v>
      </c>
      <c r="D13" s="15" t="s">
        <v>27</v>
      </c>
      <c r="E13" s="16"/>
      <c r="F13" s="16"/>
      <c r="G13" s="16"/>
      <c r="H13" s="16"/>
      <c r="I13" s="17"/>
      <c r="J13" s="17"/>
      <c r="K13" s="17">
        <v>85000</v>
      </c>
      <c r="L13" s="17"/>
      <c r="M13" s="17">
        <v>14000</v>
      </c>
      <c r="N13" s="16"/>
      <c r="O13" s="16"/>
    </row>
    <row r="14" spans="1:1019">
      <c r="A14" s="13">
        <v>45357</v>
      </c>
      <c r="B14" s="14" t="s">
        <v>17</v>
      </c>
      <c r="C14" s="14" t="s">
        <v>18</v>
      </c>
      <c r="D14" s="15" t="s">
        <v>28</v>
      </c>
      <c r="E14" s="16"/>
      <c r="F14" s="16"/>
      <c r="G14" s="16"/>
      <c r="H14" s="16"/>
      <c r="I14" s="17"/>
      <c r="J14" s="17"/>
      <c r="K14" s="17">
        <v>74500</v>
      </c>
      <c r="L14" s="17"/>
      <c r="M14" s="17">
        <v>14000</v>
      </c>
      <c r="N14" s="16"/>
      <c r="O14" s="16"/>
    </row>
    <row r="15" spans="1:1019">
      <c r="A15" s="13">
        <v>45358</v>
      </c>
      <c r="B15" s="14" t="s">
        <v>17</v>
      </c>
      <c r="C15" s="14" t="s">
        <v>18</v>
      </c>
      <c r="D15" s="15"/>
      <c r="E15" s="16"/>
      <c r="F15" s="16"/>
      <c r="G15" s="16"/>
      <c r="H15" s="16"/>
      <c r="I15" s="17"/>
      <c r="J15" s="17"/>
      <c r="K15" s="17"/>
      <c r="L15" s="17"/>
      <c r="M15" s="17"/>
      <c r="N15" s="16"/>
      <c r="O15" s="16"/>
    </row>
    <row r="16" spans="1:1019">
      <c r="A16" s="13">
        <v>45359</v>
      </c>
      <c r="B16" s="14" t="s">
        <v>17</v>
      </c>
      <c r="C16" s="14" t="s">
        <v>18</v>
      </c>
      <c r="D16" s="15" t="s">
        <v>29</v>
      </c>
      <c r="E16" s="16"/>
      <c r="F16" s="16"/>
      <c r="G16" s="16"/>
      <c r="H16" s="16"/>
      <c r="I16" s="17"/>
      <c r="J16" s="17"/>
      <c r="K16" s="17">
        <v>69000</v>
      </c>
      <c r="L16" s="17"/>
      <c r="M16" s="17">
        <v>14000</v>
      </c>
      <c r="N16" s="16"/>
      <c r="O16" s="16"/>
    </row>
    <row r="17" spans="1:15">
      <c r="A17" s="13">
        <v>45360</v>
      </c>
      <c r="B17" s="14" t="s">
        <v>17</v>
      </c>
      <c r="C17" s="14" t="s">
        <v>18</v>
      </c>
      <c r="D17" s="15" t="s">
        <v>30</v>
      </c>
      <c r="E17" s="16"/>
      <c r="F17" s="16"/>
      <c r="G17" s="16"/>
      <c r="H17" s="16"/>
      <c r="I17" s="17"/>
      <c r="J17" s="17"/>
      <c r="K17" s="17">
        <v>74500</v>
      </c>
      <c r="L17" s="17"/>
      <c r="M17" s="17">
        <v>7000</v>
      </c>
      <c r="N17" s="16"/>
      <c r="O17" s="16"/>
    </row>
    <row r="18" spans="1:15">
      <c r="A18" s="8">
        <v>45365</v>
      </c>
      <c r="B18" s="9"/>
      <c r="C18" s="9"/>
      <c r="D18" s="10"/>
      <c r="E18" s="16"/>
      <c r="F18" s="16"/>
      <c r="G18" s="16"/>
      <c r="H18" s="16"/>
      <c r="I18" s="17">
        <v>1000000</v>
      </c>
      <c r="J18" s="17"/>
      <c r="K18" s="17"/>
      <c r="L18" s="17"/>
      <c r="M18" s="17"/>
      <c r="N18" s="16" t="s">
        <v>31</v>
      </c>
      <c r="O18" s="16"/>
    </row>
    <row r="19" spans="1:15">
      <c r="A19" s="13">
        <v>45361</v>
      </c>
      <c r="B19" s="14" t="s">
        <v>17</v>
      </c>
      <c r="C19" s="14" t="s">
        <v>18</v>
      </c>
      <c r="D19" s="15"/>
      <c r="E19" s="16"/>
      <c r="F19" s="16"/>
      <c r="G19" s="16"/>
      <c r="H19" s="16"/>
      <c r="I19" s="17"/>
      <c r="J19" s="17"/>
      <c r="K19" s="17"/>
      <c r="L19" s="17"/>
      <c r="M19" s="17"/>
      <c r="N19" s="16"/>
      <c r="O19" s="16"/>
    </row>
    <row r="20" spans="1:15">
      <c r="A20" s="13">
        <v>45362</v>
      </c>
      <c r="B20" s="14" t="s">
        <v>17</v>
      </c>
      <c r="C20" s="14" t="s">
        <v>18</v>
      </c>
      <c r="D20" s="15"/>
      <c r="E20" s="16"/>
      <c r="F20" s="16"/>
      <c r="G20" s="16"/>
      <c r="H20" s="16"/>
      <c r="I20" s="17"/>
      <c r="J20" s="17"/>
      <c r="K20" s="17"/>
      <c r="L20" s="17"/>
      <c r="M20" s="17"/>
      <c r="N20" s="16"/>
      <c r="O20" s="16"/>
    </row>
    <row r="21" spans="1:15">
      <c r="A21" s="13">
        <v>45363</v>
      </c>
      <c r="B21" s="14" t="s">
        <v>17</v>
      </c>
      <c r="C21" s="14" t="s">
        <v>18</v>
      </c>
      <c r="D21" s="15" t="s">
        <v>29</v>
      </c>
      <c r="E21" s="16"/>
      <c r="F21" s="16"/>
      <c r="G21" s="16"/>
      <c r="H21" s="16"/>
      <c r="I21" s="17"/>
      <c r="J21" s="17"/>
      <c r="K21" s="17">
        <v>85000</v>
      </c>
      <c r="L21" s="17"/>
      <c r="M21" s="17">
        <v>14000</v>
      </c>
      <c r="N21" s="16"/>
      <c r="O21" s="16"/>
    </row>
    <row r="22" spans="1:15">
      <c r="A22" s="13">
        <v>45364</v>
      </c>
      <c r="B22" s="14" t="s">
        <v>17</v>
      </c>
      <c r="C22" s="14" t="s">
        <v>18</v>
      </c>
      <c r="D22" s="15" t="s">
        <v>32</v>
      </c>
      <c r="E22" s="16"/>
      <c r="F22" s="16"/>
      <c r="G22" s="16"/>
      <c r="H22" s="16"/>
      <c r="I22" s="17"/>
      <c r="J22" s="17"/>
      <c r="K22" s="17">
        <v>69000</v>
      </c>
      <c r="L22" s="17"/>
      <c r="M22" s="17">
        <v>14000</v>
      </c>
      <c r="N22" s="16"/>
      <c r="O22" s="16"/>
    </row>
    <row r="23" spans="1:15">
      <c r="A23" s="13">
        <v>45365</v>
      </c>
      <c r="B23" s="14" t="s">
        <v>17</v>
      </c>
      <c r="C23" s="14" t="s">
        <v>18</v>
      </c>
      <c r="D23" s="15" t="s">
        <v>33</v>
      </c>
      <c r="E23" s="16"/>
      <c r="F23" s="16"/>
      <c r="G23" s="16"/>
      <c r="H23" s="16"/>
      <c r="I23" s="17"/>
      <c r="J23" s="17"/>
      <c r="K23" s="17">
        <v>85000</v>
      </c>
      <c r="L23" s="17"/>
      <c r="M23" s="17">
        <v>14000</v>
      </c>
      <c r="N23" s="16"/>
      <c r="O23" s="16"/>
    </row>
    <row r="24" spans="1:15">
      <c r="A24" s="13">
        <v>45366</v>
      </c>
      <c r="B24" s="14" t="s">
        <v>17</v>
      </c>
      <c r="C24" s="14" t="s">
        <v>18</v>
      </c>
      <c r="D24" s="15" t="s">
        <v>26</v>
      </c>
      <c r="E24" s="16"/>
      <c r="F24" s="16"/>
      <c r="G24" s="16"/>
      <c r="H24" s="16"/>
      <c r="I24" s="17"/>
      <c r="J24" s="17"/>
      <c r="K24" s="17">
        <v>86500</v>
      </c>
      <c r="L24" s="17"/>
      <c r="M24" s="17">
        <v>14000</v>
      </c>
      <c r="N24" s="16"/>
      <c r="O24" s="16"/>
    </row>
    <row r="25" spans="1:15">
      <c r="A25" s="13">
        <v>45367</v>
      </c>
      <c r="B25" s="14" t="s">
        <v>17</v>
      </c>
      <c r="C25" s="14" t="s">
        <v>18</v>
      </c>
      <c r="D25" s="15" t="s">
        <v>34</v>
      </c>
      <c r="E25" s="16"/>
      <c r="F25" s="16"/>
      <c r="G25" s="16"/>
      <c r="H25" s="16"/>
      <c r="I25" s="17"/>
      <c r="J25" s="17"/>
      <c r="K25" s="17">
        <v>42500</v>
      </c>
      <c r="L25" s="17"/>
      <c r="M25" s="17">
        <v>14000</v>
      </c>
      <c r="N25" s="16"/>
      <c r="O25" s="16"/>
    </row>
    <row r="26" spans="1:15">
      <c r="A26" s="13">
        <v>45368</v>
      </c>
      <c r="B26" s="14" t="s">
        <v>17</v>
      </c>
      <c r="C26" s="14" t="s">
        <v>18</v>
      </c>
      <c r="D26" s="15"/>
      <c r="E26" s="16"/>
      <c r="F26" s="16"/>
      <c r="G26" s="16"/>
      <c r="H26" s="16"/>
      <c r="I26" s="17"/>
      <c r="J26" s="17"/>
      <c r="K26" s="17"/>
      <c r="L26" s="17"/>
      <c r="M26" s="17"/>
      <c r="N26" s="16"/>
      <c r="O26" s="16"/>
    </row>
    <row r="27" spans="1:15">
      <c r="A27" s="13">
        <v>45369</v>
      </c>
      <c r="B27" s="14" t="s">
        <v>17</v>
      </c>
      <c r="C27" s="14" t="s">
        <v>18</v>
      </c>
      <c r="D27" s="15" t="s">
        <v>29</v>
      </c>
      <c r="E27" s="16"/>
      <c r="F27" s="16"/>
      <c r="G27" s="16"/>
      <c r="H27" s="16"/>
      <c r="I27" s="17"/>
      <c r="J27" s="17"/>
      <c r="K27" s="17">
        <v>69000</v>
      </c>
      <c r="L27" s="17"/>
      <c r="M27" s="17">
        <v>7000</v>
      </c>
      <c r="N27" s="16"/>
      <c r="O27" s="16"/>
    </row>
    <row r="28" spans="1:15">
      <c r="A28" s="13">
        <v>45370</v>
      </c>
      <c r="B28" s="14" t="s">
        <v>17</v>
      </c>
      <c r="C28" s="14" t="s">
        <v>18</v>
      </c>
      <c r="D28" s="15" t="s">
        <v>20</v>
      </c>
      <c r="E28" s="16"/>
      <c r="F28" s="16"/>
      <c r="G28" s="16"/>
      <c r="H28" s="16"/>
      <c r="I28" s="17"/>
      <c r="J28" s="17"/>
      <c r="K28" s="17">
        <v>42500</v>
      </c>
      <c r="L28" s="17"/>
      <c r="M28" s="17">
        <v>14000</v>
      </c>
      <c r="N28" s="16"/>
      <c r="O28" s="16"/>
    </row>
    <row r="29" spans="1:15">
      <c r="A29" s="13">
        <v>45371</v>
      </c>
      <c r="B29" s="14" t="s">
        <v>17</v>
      </c>
      <c r="C29" s="14" t="s">
        <v>18</v>
      </c>
      <c r="D29" s="15" t="s">
        <v>29</v>
      </c>
      <c r="E29" s="16"/>
      <c r="F29" s="16"/>
      <c r="G29" s="16"/>
      <c r="H29" s="16"/>
      <c r="I29" s="17"/>
      <c r="J29" s="17"/>
      <c r="K29" s="17">
        <v>85000</v>
      </c>
      <c r="L29" s="17"/>
      <c r="M29" s="17">
        <v>14000</v>
      </c>
      <c r="N29" s="16"/>
      <c r="O29" s="16"/>
    </row>
    <row r="30" spans="1:15">
      <c r="A30" s="13">
        <v>45372</v>
      </c>
      <c r="B30" s="14" t="s">
        <v>17</v>
      </c>
      <c r="C30" s="14" t="s">
        <v>18</v>
      </c>
      <c r="D30" s="15" t="s">
        <v>32</v>
      </c>
      <c r="E30" s="16"/>
      <c r="F30" s="16"/>
      <c r="G30" s="16"/>
      <c r="H30" s="16"/>
      <c r="I30" s="17"/>
      <c r="J30" s="17"/>
      <c r="K30" s="17">
        <v>82000</v>
      </c>
      <c r="L30" s="17"/>
      <c r="M30" s="17">
        <v>14000</v>
      </c>
      <c r="N30" s="16"/>
      <c r="O30" s="16"/>
    </row>
    <row r="31" spans="1:15">
      <c r="A31" s="13">
        <v>45373</v>
      </c>
      <c r="B31" s="14" t="s">
        <v>17</v>
      </c>
      <c r="C31" s="14" t="s">
        <v>18</v>
      </c>
      <c r="D31" s="15" t="s">
        <v>32</v>
      </c>
      <c r="E31" s="16"/>
      <c r="F31" s="16"/>
      <c r="G31" s="16"/>
      <c r="H31" s="16"/>
      <c r="I31" s="17"/>
      <c r="J31" s="17"/>
      <c r="K31" s="17">
        <v>69000</v>
      </c>
      <c r="L31" s="17"/>
      <c r="M31" s="17">
        <v>14000</v>
      </c>
      <c r="N31" s="16"/>
      <c r="O31" s="16"/>
    </row>
    <row r="32" spans="1:15">
      <c r="A32" s="13">
        <v>45374</v>
      </c>
      <c r="B32" s="14" t="s">
        <v>17</v>
      </c>
      <c r="C32" s="14" t="s">
        <v>18</v>
      </c>
      <c r="D32" s="15" t="s">
        <v>35</v>
      </c>
      <c r="E32" s="16"/>
      <c r="F32" s="16"/>
      <c r="G32" s="16"/>
      <c r="H32" s="16"/>
      <c r="I32" s="17"/>
      <c r="J32" s="17"/>
      <c r="K32" s="17">
        <v>42500</v>
      </c>
      <c r="L32" s="17"/>
      <c r="M32" s="17">
        <v>7000</v>
      </c>
      <c r="N32" s="16"/>
      <c r="O32" s="16"/>
    </row>
    <row r="33" spans="1:15">
      <c r="A33" s="13">
        <v>45375</v>
      </c>
      <c r="B33" s="14" t="s">
        <v>17</v>
      </c>
      <c r="C33" s="14" t="s">
        <v>18</v>
      </c>
      <c r="D33" s="15"/>
      <c r="E33" s="16"/>
      <c r="F33" s="16"/>
      <c r="G33" s="16"/>
      <c r="H33" s="16"/>
      <c r="I33" s="17"/>
      <c r="J33" s="17"/>
      <c r="K33" s="17"/>
      <c r="L33" s="17"/>
      <c r="M33" s="17"/>
      <c r="N33" s="16"/>
      <c r="O33" s="16"/>
    </row>
    <row r="34" spans="1:15">
      <c r="A34" s="8">
        <v>45376</v>
      </c>
      <c r="B34" s="9"/>
      <c r="C34" s="9"/>
      <c r="D34" s="10"/>
      <c r="E34" s="16"/>
      <c r="F34" s="16"/>
      <c r="G34" s="16"/>
      <c r="H34" s="16"/>
      <c r="I34" s="17">
        <v>1000000</v>
      </c>
      <c r="J34" s="17"/>
      <c r="K34" s="17"/>
      <c r="L34" s="17"/>
      <c r="M34" s="17"/>
      <c r="N34" s="16" t="s">
        <v>36</v>
      </c>
      <c r="O34" s="16" t="s">
        <v>37</v>
      </c>
    </row>
    <row r="35" spans="1:15">
      <c r="A35" s="18">
        <v>45376</v>
      </c>
      <c r="B35" s="14" t="s">
        <v>17</v>
      </c>
      <c r="C35" s="19" t="s">
        <v>18</v>
      </c>
      <c r="D35" s="15" t="s">
        <v>29</v>
      </c>
      <c r="E35" s="16"/>
      <c r="F35" s="16"/>
      <c r="G35" s="16"/>
      <c r="H35" s="16"/>
      <c r="I35" s="17"/>
      <c r="J35" s="17"/>
      <c r="K35" s="17">
        <v>85000</v>
      </c>
      <c r="L35" s="17"/>
      <c r="M35" s="17">
        <v>14000</v>
      </c>
      <c r="N35" s="16"/>
      <c r="O35" s="16"/>
    </row>
    <row r="36" spans="1:15">
      <c r="A36" s="13">
        <v>45377</v>
      </c>
      <c r="B36" s="14" t="s">
        <v>17</v>
      </c>
      <c r="C36" s="14" t="s">
        <v>18</v>
      </c>
      <c r="D36" s="15" t="s">
        <v>38</v>
      </c>
      <c r="E36" s="16"/>
      <c r="F36" s="16"/>
      <c r="G36" s="16"/>
      <c r="H36" s="16"/>
      <c r="I36" s="17"/>
      <c r="J36" s="17"/>
      <c r="K36" s="17">
        <v>69000</v>
      </c>
      <c r="L36" s="17"/>
      <c r="M36" s="17">
        <v>14000</v>
      </c>
      <c r="N36" s="16"/>
      <c r="O36" s="16"/>
    </row>
    <row r="37" spans="1:15">
      <c r="A37" s="13">
        <v>45378</v>
      </c>
      <c r="B37" s="14" t="s">
        <v>17</v>
      </c>
      <c r="C37" s="14" t="s">
        <v>18</v>
      </c>
      <c r="D37" s="15" t="s">
        <v>39</v>
      </c>
      <c r="E37" s="16"/>
      <c r="F37" s="16"/>
      <c r="G37" s="16"/>
      <c r="H37" s="16"/>
      <c r="I37" s="17"/>
      <c r="J37" s="17"/>
      <c r="K37" s="17">
        <v>42500</v>
      </c>
      <c r="L37" s="17">
        <v>115000</v>
      </c>
      <c r="M37" s="17">
        <v>14000</v>
      </c>
      <c r="N37" s="16"/>
      <c r="O37" s="16"/>
    </row>
    <row r="38" spans="1:15">
      <c r="A38" s="13">
        <v>45379</v>
      </c>
      <c r="B38" s="14" t="s">
        <v>17</v>
      </c>
      <c r="C38" s="14" t="s">
        <v>18</v>
      </c>
      <c r="D38" s="15" t="s">
        <v>40</v>
      </c>
      <c r="E38" s="16"/>
      <c r="F38" s="16"/>
      <c r="G38" s="16"/>
      <c r="H38" s="16"/>
      <c r="I38" s="17"/>
      <c r="J38" s="17"/>
      <c r="K38" s="17">
        <v>85000</v>
      </c>
      <c r="L38" s="17"/>
      <c r="M38" s="17">
        <v>14000</v>
      </c>
      <c r="N38" s="16"/>
      <c r="O38" s="16"/>
    </row>
    <row r="39" spans="1:15">
      <c r="A39" s="13">
        <v>45380</v>
      </c>
      <c r="B39" s="14" t="s">
        <v>17</v>
      </c>
      <c r="C39" s="14" t="s">
        <v>18</v>
      </c>
      <c r="D39" s="15"/>
      <c r="E39" s="16"/>
      <c r="F39" s="16"/>
      <c r="G39" s="16"/>
      <c r="H39" s="16"/>
      <c r="I39" s="17"/>
      <c r="J39" s="17"/>
      <c r="K39" s="17"/>
      <c r="L39" s="17"/>
      <c r="M39" s="17"/>
      <c r="N39" s="16"/>
      <c r="O39" s="16"/>
    </row>
    <row r="40" spans="1:15">
      <c r="A40" s="13">
        <v>45381</v>
      </c>
      <c r="B40" s="14" t="s">
        <v>17</v>
      </c>
      <c r="C40" s="14" t="s">
        <v>18</v>
      </c>
      <c r="D40" s="15" t="s">
        <v>35</v>
      </c>
      <c r="E40" s="16"/>
      <c r="F40" s="16"/>
      <c r="G40" s="16"/>
      <c r="H40" s="16"/>
      <c r="I40" s="17"/>
      <c r="J40" s="17"/>
      <c r="K40" s="17">
        <v>53000</v>
      </c>
      <c r="L40" s="17"/>
      <c r="M40" s="17">
        <v>7000</v>
      </c>
      <c r="N40" s="16"/>
      <c r="O40" s="16"/>
    </row>
    <row r="41" spans="1:15">
      <c r="A41" s="8">
        <v>45382</v>
      </c>
      <c r="B41" s="9"/>
      <c r="C41" s="9"/>
      <c r="D41" s="10"/>
      <c r="E41" s="16"/>
      <c r="F41" s="16"/>
      <c r="G41" s="16"/>
      <c r="H41" s="16"/>
      <c r="I41" s="17">
        <v>1000000</v>
      </c>
      <c r="J41" s="17"/>
      <c r="K41" s="17"/>
      <c r="L41" s="17"/>
      <c r="M41" s="17"/>
      <c r="N41" s="16" t="s">
        <v>41</v>
      </c>
      <c r="O41" s="16" t="s">
        <v>42</v>
      </c>
    </row>
    <row r="42" spans="1:15">
      <c r="A42" s="13">
        <v>45383</v>
      </c>
      <c r="B42" s="14" t="s">
        <v>17</v>
      </c>
      <c r="C42" s="14" t="s">
        <v>18</v>
      </c>
      <c r="D42" s="15"/>
      <c r="E42" s="16"/>
      <c r="F42" s="16"/>
      <c r="G42" s="16"/>
      <c r="H42" s="16"/>
      <c r="I42" s="17"/>
      <c r="J42" s="17"/>
      <c r="K42" s="17">
        <v>69000</v>
      </c>
      <c r="L42" s="17"/>
      <c r="M42" s="17">
        <v>14000</v>
      </c>
      <c r="N42" s="16"/>
      <c r="O42" s="16"/>
    </row>
    <row r="43" spans="1:15">
      <c r="A43" s="13">
        <v>45384</v>
      </c>
      <c r="B43" s="14" t="s">
        <v>17</v>
      </c>
      <c r="C43" s="14" t="s">
        <v>18</v>
      </c>
      <c r="D43" s="15"/>
      <c r="E43" s="16"/>
      <c r="F43" s="16"/>
      <c r="G43" s="16"/>
      <c r="H43" s="16"/>
      <c r="I43" s="17"/>
      <c r="J43" s="17"/>
      <c r="K43" s="17">
        <v>85000</v>
      </c>
      <c r="L43" s="17"/>
      <c r="M43" s="17">
        <v>14000</v>
      </c>
      <c r="N43" s="16"/>
      <c r="O43" s="16"/>
    </row>
    <row r="44" spans="1:15">
      <c r="A44" s="13">
        <v>45385</v>
      </c>
      <c r="B44" s="14" t="s">
        <v>17</v>
      </c>
      <c r="C44" s="14" t="s">
        <v>18</v>
      </c>
      <c r="D44" s="15"/>
      <c r="E44" s="16"/>
      <c r="F44" s="16"/>
      <c r="G44" s="16"/>
      <c r="H44" s="16"/>
      <c r="I44" s="17"/>
      <c r="J44" s="17"/>
      <c r="K44" s="17">
        <v>42500</v>
      </c>
      <c r="L44" s="17"/>
      <c r="M44" s="17">
        <v>14000</v>
      </c>
      <c r="N44" s="16"/>
      <c r="O44" s="16"/>
    </row>
    <row r="45" spans="1:15">
      <c r="A45" s="13">
        <v>45386</v>
      </c>
      <c r="B45" s="14" t="s">
        <v>17</v>
      </c>
      <c r="C45" s="14" t="s">
        <v>18</v>
      </c>
      <c r="D45" s="15"/>
      <c r="E45" s="16"/>
      <c r="F45" s="16"/>
      <c r="G45" s="16"/>
      <c r="H45" s="16"/>
      <c r="I45" s="17"/>
      <c r="J45" s="17"/>
      <c r="K45" s="17">
        <v>85000</v>
      </c>
      <c r="L45" s="17"/>
      <c r="M45" s="17">
        <v>14000</v>
      </c>
      <c r="N45" s="16"/>
      <c r="O45" s="16"/>
    </row>
    <row r="46" spans="1:15">
      <c r="A46" s="13">
        <v>45387</v>
      </c>
      <c r="B46" s="14" t="s">
        <v>17</v>
      </c>
      <c r="C46" s="14" t="s">
        <v>18</v>
      </c>
      <c r="D46" s="15"/>
      <c r="E46" s="16"/>
      <c r="F46" s="16"/>
      <c r="G46" s="16"/>
      <c r="H46" s="16"/>
      <c r="I46" s="17"/>
      <c r="J46" s="17"/>
      <c r="K46" s="17">
        <v>69000</v>
      </c>
      <c r="L46" s="17"/>
      <c r="M46" s="17">
        <v>14000</v>
      </c>
      <c r="N46" s="16"/>
      <c r="O46" s="16"/>
    </row>
    <row r="47" spans="1:15">
      <c r="A47" s="8">
        <v>45399</v>
      </c>
      <c r="B47" s="9"/>
      <c r="C47" s="9"/>
      <c r="D47" s="10"/>
      <c r="E47" s="16"/>
      <c r="F47" s="16"/>
      <c r="G47" s="16"/>
      <c r="H47" s="16"/>
      <c r="I47" s="17">
        <v>1000000</v>
      </c>
      <c r="J47" s="17"/>
      <c r="K47" s="17"/>
      <c r="L47" s="17"/>
      <c r="M47" s="17"/>
      <c r="N47" s="16" t="s">
        <v>43</v>
      </c>
      <c r="O47" s="16" t="s">
        <v>44</v>
      </c>
    </row>
    <row r="48" spans="1:15">
      <c r="A48" s="13">
        <v>45388</v>
      </c>
      <c r="B48" s="14" t="s">
        <v>17</v>
      </c>
      <c r="C48" s="14" t="s">
        <v>18</v>
      </c>
      <c r="D48" s="15" t="s">
        <v>40</v>
      </c>
      <c r="E48" s="16"/>
      <c r="F48" s="16"/>
      <c r="G48" s="16"/>
      <c r="H48" s="16"/>
      <c r="I48" s="17"/>
      <c r="J48" s="17"/>
      <c r="K48" s="17">
        <v>85000</v>
      </c>
      <c r="L48" s="17"/>
      <c r="M48" s="17">
        <v>7000</v>
      </c>
      <c r="N48" s="16"/>
      <c r="O48" s="16"/>
    </row>
    <row r="49" spans="1:15">
      <c r="A49" s="13">
        <v>45389</v>
      </c>
      <c r="B49" s="14" t="s">
        <v>17</v>
      </c>
      <c r="C49" s="14" t="s">
        <v>18</v>
      </c>
      <c r="D49" s="15"/>
      <c r="E49" s="16"/>
      <c r="F49" s="16"/>
      <c r="G49" s="16"/>
      <c r="H49" s="16"/>
      <c r="I49" s="17"/>
      <c r="J49" s="17"/>
      <c r="K49" s="17"/>
      <c r="L49" s="17"/>
      <c r="M49" s="17"/>
      <c r="N49" s="16"/>
      <c r="O49" s="16"/>
    </row>
    <row r="50" spans="1:15">
      <c r="A50" s="13">
        <v>45390</v>
      </c>
      <c r="B50" s="14" t="s">
        <v>17</v>
      </c>
      <c r="C50" s="14" t="s">
        <v>18</v>
      </c>
      <c r="D50" s="15" t="s">
        <v>45</v>
      </c>
      <c r="E50" s="16"/>
      <c r="F50" s="16"/>
      <c r="G50" s="16"/>
      <c r="H50" s="16"/>
      <c r="I50" s="17"/>
      <c r="J50" s="17"/>
      <c r="K50" s="17">
        <v>26500</v>
      </c>
      <c r="L50" s="17"/>
      <c r="M50" s="17">
        <v>14000</v>
      </c>
      <c r="N50" s="16"/>
      <c r="O50" s="16"/>
    </row>
    <row r="51" spans="1:15">
      <c r="A51" s="13">
        <v>45391</v>
      </c>
      <c r="B51" s="14" t="s">
        <v>17</v>
      </c>
      <c r="C51" s="14" t="s">
        <v>18</v>
      </c>
      <c r="D51" s="15"/>
      <c r="E51" s="16"/>
      <c r="F51" s="16"/>
      <c r="G51" s="16"/>
      <c r="H51" s="16"/>
      <c r="I51" s="17"/>
      <c r="J51" s="17"/>
      <c r="K51" s="17"/>
      <c r="L51" s="17"/>
      <c r="M51" s="17"/>
      <c r="N51" s="16"/>
      <c r="O51" s="16"/>
    </row>
    <row r="52" spans="1:15">
      <c r="A52" s="13">
        <v>45392</v>
      </c>
      <c r="B52" s="14" t="s">
        <v>17</v>
      </c>
      <c r="C52" s="14" t="s">
        <v>18</v>
      </c>
      <c r="D52" s="15"/>
      <c r="E52" s="16"/>
      <c r="F52" s="16"/>
      <c r="G52" s="16"/>
      <c r="H52" s="16"/>
      <c r="I52" s="17"/>
      <c r="J52" s="17"/>
      <c r="K52" s="17"/>
      <c r="L52" s="17"/>
      <c r="M52" s="17"/>
      <c r="N52" s="16"/>
      <c r="O52" s="16"/>
    </row>
    <row r="53" spans="1:15">
      <c r="A53" s="13">
        <v>45393</v>
      </c>
      <c r="B53" s="14" t="s">
        <v>17</v>
      </c>
      <c r="C53" s="14" t="s">
        <v>18</v>
      </c>
      <c r="D53" s="15"/>
      <c r="E53" s="16"/>
      <c r="F53" s="16"/>
      <c r="G53" s="16"/>
      <c r="H53" s="16"/>
      <c r="I53" s="17"/>
      <c r="J53" s="17"/>
      <c r="K53" s="17"/>
      <c r="L53" s="17"/>
      <c r="M53" s="17"/>
      <c r="N53" s="16"/>
      <c r="O53" s="16"/>
    </row>
    <row r="54" spans="1:15">
      <c r="A54" s="13">
        <v>45394</v>
      </c>
      <c r="B54" s="14" t="s">
        <v>17</v>
      </c>
      <c r="C54" s="14" t="s">
        <v>18</v>
      </c>
      <c r="D54" s="15"/>
      <c r="E54" s="16"/>
      <c r="F54" s="16"/>
      <c r="G54" s="16"/>
      <c r="H54" s="16"/>
      <c r="I54" s="17"/>
      <c r="J54" s="17"/>
      <c r="K54" s="17"/>
      <c r="L54" s="17"/>
      <c r="M54" s="17"/>
      <c r="N54" s="16"/>
      <c r="O54" s="16"/>
    </row>
    <row r="55" spans="1:15">
      <c r="A55" s="13">
        <v>45395</v>
      </c>
      <c r="B55" s="14" t="s">
        <v>17</v>
      </c>
      <c r="C55" s="14" t="s">
        <v>18</v>
      </c>
      <c r="D55" s="15"/>
      <c r="E55" s="16"/>
      <c r="F55" s="16"/>
      <c r="G55" s="16"/>
      <c r="H55" s="16"/>
      <c r="I55" s="17"/>
      <c r="J55" s="17"/>
      <c r="K55" s="17"/>
      <c r="L55" s="17"/>
      <c r="M55" s="17"/>
      <c r="N55" s="16"/>
      <c r="O55" s="16"/>
    </row>
    <row r="56" spans="1:15">
      <c r="A56" s="13">
        <v>45396</v>
      </c>
      <c r="B56" s="14" t="s">
        <v>17</v>
      </c>
      <c r="C56" s="14" t="s">
        <v>18</v>
      </c>
      <c r="D56" s="15"/>
      <c r="E56" s="16"/>
      <c r="F56" s="16"/>
      <c r="G56" s="16"/>
      <c r="H56" s="16"/>
      <c r="I56" s="17"/>
      <c r="J56" s="17"/>
      <c r="K56" s="17"/>
      <c r="L56" s="17"/>
      <c r="M56" s="17"/>
      <c r="N56" s="16"/>
      <c r="O56" s="16"/>
    </row>
    <row r="57" spans="1:15">
      <c r="A57" s="13">
        <v>45397</v>
      </c>
      <c r="B57" s="14" t="s">
        <v>17</v>
      </c>
      <c r="C57" s="14" t="s">
        <v>18</v>
      </c>
      <c r="D57" s="15" t="s">
        <v>46</v>
      </c>
      <c r="E57" s="16"/>
      <c r="F57" s="16"/>
      <c r="G57" s="16"/>
      <c r="H57" s="16"/>
      <c r="I57" s="17"/>
      <c r="J57" s="17"/>
      <c r="K57" s="17">
        <v>85000</v>
      </c>
      <c r="L57" s="17"/>
      <c r="M57" s="17">
        <v>14000</v>
      </c>
      <c r="N57" s="16"/>
      <c r="O57" s="16"/>
    </row>
    <row r="58" spans="1:15">
      <c r="A58" s="13">
        <v>45398</v>
      </c>
      <c r="B58" s="14" t="s">
        <v>17</v>
      </c>
      <c r="C58" s="14" t="s">
        <v>18</v>
      </c>
      <c r="D58" s="15" t="s">
        <v>25</v>
      </c>
      <c r="E58" s="16"/>
      <c r="F58" s="16"/>
      <c r="G58" s="16"/>
      <c r="H58" s="16"/>
      <c r="I58" s="17"/>
      <c r="J58" s="17"/>
      <c r="K58" s="17">
        <v>26500</v>
      </c>
      <c r="L58" s="17"/>
      <c r="M58" s="17">
        <v>7000</v>
      </c>
      <c r="N58" s="16"/>
      <c r="O58" s="16"/>
    </row>
    <row r="59" spans="1:15">
      <c r="A59" s="13">
        <v>45399</v>
      </c>
      <c r="B59" s="14" t="s">
        <v>17</v>
      </c>
      <c r="C59" s="14" t="s">
        <v>18</v>
      </c>
      <c r="D59" s="15" t="s">
        <v>47</v>
      </c>
      <c r="E59" s="16"/>
      <c r="F59" s="16"/>
      <c r="G59" s="16"/>
      <c r="H59" s="16"/>
      <c r="I59" s="17"/>
      <c r="J59" s="17"/>
      <c r="K59" s="17">
        <v>53000</v>
      </c>
      <c r="L59" s="17"/>
      <c r="M59" s="17">
        <v>14000</v>
      </c>
      <c r="N59" s="16"/>
      <c r="O59" s="16"/>
    </row>
    <row r="60" spans="1:15">
      <c r="A60" s="18">
        <v>45400</v>
      </c>
      <c r="B60" s="19" t="s">
        <v>17</v>
      </c>
      <c r="C60" s="19" t="s">
        <v>18</v>
      </c>
      <c r="D60" s="20" t="s">
        <v>48</v>
      </c>
      <c r="E60" s="16"/>
      <c r="F60" s="16"/>
      <c r="G60" s="16"/>
      <c r="H60" s="16"/>
      <c r="I60" s="17"/>
      <c r="J60" s="17"/>
      <c r="K60" s="17">
        <v>42500</v>
      </c>
      <c r="L60" s="17"/>
      <c r="M60" s="17">
        <v>7000</v>
      </c>
      <c r="N60" s="16"/>
      <c r="O60" s="16"/>
    </row>
    <row r="61" spans="1:15">
      <c r="A61" s="13">
        <v>45401</v>
      </c>
      <c r="B61" s="14" t="s">
        <v>17</v>
      </c>
      <c r="C61" s="14" t="s">
        <v>18</v>
      </c>
      <c r="D61" s="15" t="s">
        <v>49</v>
      </c>
      <c r="E61" s="16"/>
      <c r="F61" s="16"/>
      <c r="G61" s="16"/>
      <c r="H61" s="16"/>
      <c r="I61" s="17"/>
      <c r="J61" s="17"/>
      <c r="K61" s="17">
        <v>85000</v>
      </c>
      <c r="L61" s="17"/>
      <c r="M61" s="17">
        <v>11000</v>
      </c>
      <c r="N61" s="16"/>
      <c r="O61" s="16"/>
    </row>
    <row r="62" spans="1:15">
      <c r="A62" s="13">
        <v>45402</v>
      </c>
      <c r="B62" s="14" t="s">
        <v>17</v>
      </c>
      <c r="C62" s="14" t="s">
        <v>18</v>
      </c>
      <c r="D62" s="15" t="s">
        <v>29</v>
      </c>
      <c r="E62" s="16"/>
      <c r="F62" s="16"/>
      <c r="G62" s="16"/>
      <c r="H62" s="16"/>
      <c r="I62" s="17"/>
      <c r="J62" s="17"/>
      <c r="K62" s="17">
        <v>85000</v>
      </c>
      <c r="L62" s="17"/>
      <c r="M62" s="17">
        <v>11000</v>
      </c>
      <c r="N62" s="16"/>
      <c r="O62" s="16"/>
    </row>
    <row r="63" spans="1:15">
      <c r="A63" s="8">
        <v>45407</v>
      </c>
      <c r="B63" s="9"/>
      <c r="C63" s="9"/>
      <c r="D63" s="10"/>
      <c r="E63" s="16"/>
      <c r="F63" s="16"/>
      <c r="G63" s="16"/>
      <c r="H63" s="16"/>
      <c r="I63" s="17">
        <v>1000000</v>
      </c>
      <c r="J63" s="17"/>
      <c r="K63" s="17"/>
      <c r="L63" s="17"/>
      <c r="M63" s="17"/>
      <c r="N63" s="16" t="s">
        <v>50</v>
      </c>
      <c r="O63" s="16" t="s">
        <v>51</v>
      </c>
    </row>
    <row r="64" spans="1:15">
      <c r="A64" s="13">
        <v>45404</v>
      </c>
      <c r="B64" s="14" t="s">
        <v>17</v>
      </c>
      <c r="C64" s="14" t="s">
        <v>18</v>
      </c>
      <c r="D64" s="15" t="s">
        <v>29</v>
      </c>
      <c r="E64" s="16"/>
      <c r="F64" s="16"/>
      <c r="G64" s="16"/>
      <c r="H64" s="16"/>
      <c r="I64" s="17"/>
      <c r="J64" s="17"/>
      <c r="K64" s="17">
        <v>69000</v>
      </c>
      <c r="L64" s="17">
        <v>70000</v>
      </c>
      <c r="M64" s="17">
        <v>14000</v>
      </c>
      <c r="N64" s="16"/>
      <c r="O64" s="16"/>
    </row>
    <row r="65" spans="1:15">
      <c r="A65" s="13">
        <v>45405</v>
      </c>
      <c r="B65" s="14" t="s">
        <v>17</v>
      </c>
      <c r="C65" s="14" t="s">
        <v>18</v>
      </c>
      <c r="D65" s="15" t="s">
        <v>32</v>
      </c>
      <c r="E65" s="16"/>
      <c r="F65" s="16"/>
      <c r="G65" s="16"/>
      <c r="H65" s="16"/>
      <c r="I65" s="17"/>
      <c r="J65" s="17"/>
      <c r="K65" s="17">
        <v>95500</v>
      </c>
      <c r="L65" s="17"/>
      <c r="M65" s="17">
        <v>14000</v>
      </c>
      <c r="N65" s="16"/>
      <c r="O65" s="16"/>
    </row>
    <row r="66" spans="1:15">
      <c r="A66" s="13">
        <v>45406</v>
      </c>
      <c r="B66" s="14" t="s">
        <v>17</v>
      </c>
      <c r="C66" s="14" t="s">
        <v>18</v>
      </c>
      <c r="D66" s="15" t="s">
        <v>52</v>
      </c>
      <c r="E66" s="16"/>
      <c r="F66" s="16"/>
      <c r="G66" s="16"/>
      <c r="H66" s="16"/>
      <c r="I66" s="17"/>
      <c r="J66" s="17"/>
      <c r="K66" s="17">
        <v>39500</v>
      </c>
      <c r="L66" s="17"/>
      <c r="M66" s="17">
        <v>14000</v>
      </c>
      <c r="N66" s="16"/>
      <c r="O66" s="16"/>
    </row>
    <row r="67" spans="1:15">
      <c r="A67" s="13">
        <v>45407</v>
      </c>
      <c r="B67" s="14" t="s">
        <v>17</v>
      </c>
      <c r="C67" s="14" t="s">
        <v>18</v>
      </c>
      <c r="D67" s="15" t="s">
        <v>53</v>
      </c>
      <c r="E67" s="16"/>
      <c r="F67" s="16"/>
      <c r="G67" s="16"/>
      <c r="H67" s="16"/>
      <c r="I67" s="17"/>
      <c r="J67" s="17"/>
      <c r="K67" s="17">
        <v>85000</v>
      </c>
      <c r="L67" s="17"/>
      <c r="M67" s="17">
        <v>7000</v>
      </c>
      <c r="N67" s="16"/>
      <c r="O67" s="16"/>
    </row>
    <row r="68" spans="1:15">
      <c r="A68" s="13">
        <v>45408</v>
      </c>
      <c r="B68" s="14" t="s">
        <v>17</v>
      </c>
      <c r="C68" s="14" t="s">
        <v>18</v>
      </c>
      <c r="D68" s="15" t="s">
        <v>29</v>
      </c>
      <c r="E68" s="16"/>
      <c r="F68" s="16"/>
      <c r="G68" s="16"/>
      <c r="H68" s="16"/>
      <c r="I68" s="17"/>
      <c r="J68" s="17"/>
      <c r="K68" s="17">
        <v>69000</v>
      </c>
      <c r="L68" s="17"/>
      <c r="M68" s="17">
        <v>11000</v>
      </c>
      <c r="N68" s="16"/>
      <c r="O68" s="16"/>
    </row>
    <row r="69" spans="1:15">
      <c r="A69" s="13">
        <v>45409</v>
      </c>
      <c r="B69" s="14" t="s">
        <v>17</v>
      </c>
      <c r="C69" s="14" t="s">
        <v>18</v>
      </c>
      <c r="D69" s="15" t="s">
        <v>40</v>
      </c>
      <c r="E69" s="16"/>
      <c r="F69" s="16"/>
      <c r="G69" s="16"/>
      <c r="H69" s="16"/>
      <c r="I69" s="17"/>
      <c r="J69" s="17"/>
      <c r="K69" s="17">
        <v>85000</v>
      </c>
      <c r="L69" s="17"/>
      <c r="M69" s="17">
        <v>14000</v>
      </c>
      <c r="N69" s="16"/>
      <c r="O69" s="16"/>
    </row>
    <row r="70" spans="1:15">
      <c r="A70" s="13">
        <v>45410</v>
      </c>
      <c r="B70" s="14" t="s">
        <v>17</v>
      </c>
      <c r="C70" s="14" t="s">
        <v>18</v>
      </c>
      <c r="D70" s="15"/>
      <c r="E70" s="16"/>
      <c r="F70" s="16"/>
      <c r="G70" s="16"/>
      <c r="H70" s="16"/>
      <c r="I70" s="17"/>
      <c r="J70" s="17"/>
      <c r="K70" s="17"/>
      <c r="L70" s="17"/>
      <c r="M70" s="17"/>
      <c r="N70" s="16"/>
      <c r="O70" s="16"/>
    </row>
    <row r="71" spans="1:15">
      <c r="A71" s="13">
        <v>45411</v>
      </c>
      <c r="B71" s="14" t="s">
        <v>17</v>
      </c>
      <c r="C71" s="14" t="s">
        <v>18</v>
      </c>
      <c r="D71" s="15" t="s">
        <v>32</v>
      </c>
      <c r="E71" s="16"/>
      <c r="F71" s="16"/>
      <c r="G71" s="16"/>
      <c r="H71" s="16"/>
      <c r="I71" s="17"/>
      <c r="J71" s="17"/>
      <c r="K71" s="17">
        <v>85000</v>
      </c>
      <c r="L71" s="17"/>
      <c r="M71" s="17">
        <v>14000</v>
      </c>
      <c r="N71" s="16"/>
      <c r="O71" s="16"/>
    </row>
    <row r="72" spans="1:15">
      <c r="A72" s="8" t="s">
        <v>54</v>
      </c>
      <c r="B72" s="9"/>
      <c r="C72" s="9"/>
      <c r="D72" s="10"/>
      <c r="E72" s="16"/>
      <c r="F72" s="16"/>
      <c r="G72" s="16"/>
      <c r="H72" s="16"/>
      <c r="I72" s="17">
        <v>1000000</v>
      </c>
      <c r="J72" s="17"/>
      <c r="K72" s="17"/>
      <c r="L72" s="17"/>
      <c r="M72" s="17"/>
      <c r="N72" s="16" t="s">
        <v>55</v>
      </c>
      <c r="O72" s="16" t="s">
        <v>56</v>
      </c>
    </row>
    <row r="73" spans="1:15">
      <c r="A73" s="13">
        <v>45412</v>
      </c>
      <c r="B73" s="14" t="s">
        <v>17</v>
      </c>
      <c r="C73" s="14" t="s">
        <v>18</v>
      </c>
      <c r="D73" s="15" t="s">
        <v>29</v>
      </c>
      <c r="E73" s="16"/>
      <c r="F73" s="16"/>
      <c r="G73" s="16"/>
      <c r="H73" s="16"/>
      <c r="I73" s="17"/>
      <c r="J73" s="17"/>
      <c r="K73" s="17">
        <v>69000</v>
      </c>
      <c r="L73" s="17"/>
      <c r="M73" s="17">
        <v>14000</v>
      </c>
      <c r="N73" s="16"/>
      <c r="O73" s="16"/>
    </row>
    <row r="74" spans="1:15">
      <c r="A74" s="13">
        <v>45413</v>
      </c>
      <c r="B74" s="14" t="s">
        <v>17</v>
      </c>
      <c r="C74" s="14" t="s">
        <v>18</v>
      </c>
      <c r="D74" s="15"/>
      <c r="E74" s="16"/>
      <c r="F74" s="16"/>
      <c r="G74" s="16"/>
      <c r="H74" s="16"/>
      <c r="I74" s="17"/>
      <c r="J74" s="17"/>
      <c r="K74" s="17"/>
      <c r="L74" s="17"/>
      <c r="M74" s="17"/>
      <c r="N74" s="16"/>
      <c r="O74" s="16"/>
    </row>
    <row r="75" spans="1:15">
      <c r="A75" s="13">
        <v>45414</v>
      </c>
      <c r="B75" s="14" t="s">
        <v>17</v>
      </c>
      <c r="C75" s="14" t="s">
        <v>18</v>
      </c>
      <c r="D75" s="15" t="s">
        <v>29</v>
      </c>
      <c r="E75" s="16"/>
      <c r="F75" s="16"/>
      <c r="G75" s="16"/>
      <c r="H75" s="16"/>
      <c r="I75" s="17"/>
      <c r="J75" s="17"/>
      <c r="K75" s="17">
        <v>95500</v>
      </c>
      <c r="L75" s="17"/>
      <c r="M75" s="17">
        <v>14000</v>
      </c>
      <c r="N75" s="16"/>
      <c r="O75" s="16"/>
    </row>
    <row r="76" spans="1:15">
      <c r="A76" s="13">
        <v>45415</v>
      </c>
      <c r="B76" s="14" t="s">
        <v>17</v>
      </c>
      <c r="C76" s="14" t="s">
        <v>18</v>
      </c>
      <c r="D76" s="15" t="s">
        <v>29</v>
      </c>
      <c r="E76" s="16"/>
      <c r="F76" s="16"/>
      <c r="G76" s="16"/>
      <c r="H76" s="16"/>
      <c r="I76" s="17"/>
      <c r="J76" s="17"/>
      <c r="K76" s="17">
        <v>83000</v>
      </c>
      <c r="L76" s="17"/>
      <c r="M76" s="17">
        <v>14000</v>
      </c>
      <c r="N76" s="16"/>
      <c r="O76" s="16"/>
    </row>
    <row r="77" spans="1:15">
      <c r="A77" s="13">
        <v>45416</v>
      </c>
      <c r="B77" s="14" t="s">
        <v>17</v>
      </c>
      <c r="C77" s="14" t="s">
        <v>18</v>
      </c>
      <c r="D77" s="15" t="s">
        <v>47</v>
      </c>
      <c r="E77" s="16"/>
      <c r="F77" s="16"/>
      <c r="G77" s="16"/>
      <c r="H77" s="16"/>
      <c r="I77" s="17"/>
      <c r="J77" s="17"/>
      <c r="K77" s="17">
        <v>26500</v>
      </c>
      <c r="L77" s="17"/>
      <c r="M77" s="17">
        <v>14000</v>
      </c>
      <c r="N77" s="16"/>
      <c r="O77" s="16"/>
    </row>
    <row r="78" spans="1:15">
      <c r="A78" s="13">
        <v>45417</v>
      </c>
      <c r="B78" s="14" t="s">
        <v>17</v>
      </c>
      <c r="C78" s="14" t="s">
        <v>18</v>
      </c>
      <c r="D78" s="15"/>
      <c r="E78" s="16"/>
      <c r="F78" s="16"/>
      <c r="G78" s="16"/>
      <c r="H78" s="16"/>
      <c r="I78" s="17"/>
      <c r="J78" s="17"/>
      <c r="K78" s="17"/>
      <c r="L78" s="17"/>
      <c r="M78" s="17"/>
      <c r="N78" s="16"/>
      <c r="O78" s="16"/>
    </row>
    <row r="79" spans="1:15">
      <c r="A79" s="13">
        <v>45418</v>
      </c>
      <c r="B79" s="14" t="s">
        <v>17</v>
      </c>
      <c r="C79" s="14" t="s">
        <v>18</v>
      </c>
      <c r="D79" s="15" t="s">
        <v>29</v>
      </c>
      <c r="E79" s="16"/>
      <c r="F79" s="16"/>
      <c r="G79" s="16"/>
      <c r="H79" s="16"/>
      <c r="I79" s="17"/>
      <c r="J79" s="17"/>
      <c r="K79" s="17">
        <v>85000</v>
      </c>
      <c r="L79" s="17"/>
      <c r="M79" s="17">
        <v>14000</v>
      </c>
      <c r="N79" s="16"/>
      <c r="O79" s="16"/>
    </row>
    <row r="80" spans="1:15">
      <c r="A80" s="13">
        <v>45419</v>
      </c>
      <c r="B80" s="14" t="s">
        <v>17</v>
      </c>
      <c r="C80" s="14" t="s">
        <v>18</v>
      </c>
      <c r="D80" s="15" t="s">
        <v>29</v>
      </c>
      <c r="E80" s="16"/>
      <c r="F80" s="16"/>
      <c r="G80" s="16"/>
      <c r="H80" s="16"/>
      <c r="I80" s="17"/>
      <c r="J80" s="17"/>
      <c r="K80" s="17">
        <v>85000</v>
      </c>
      <c r="L80" s="17"/>
      <c r="M80" s="17">
        <v>14000</v>
      </c>
      <c r="N80" s="16"/>
      <c r="O80" s="16"/>
    </row>
    <row r="81" spans="1:15">
      <c r="A81" s="13">
        <v>45420</v>
      </c>
      <c r="B81" s="14" t="s">
        <v>17</v>
      </c>
      <c r="C81" s="14" t="s">
        <v>18</v>
      </c>
      <c r="D81" s="15" t="s">
        <v>47</v>
      </c>
      <c r="E81" s="16"/>
      <c r="F81" s="16"/>
      <c r="G81" s="16"/>
      <c r="H81" s="16"/>
      <c r="I81" s="17"/>
      <c r="J81" s="17"/>
      <c r="K81" s="17">
        <v>42500</v>
      </c>
      <c r="L81" s="17"/>
      <c r="M81" s="17">
        <v>14000</v>
      </c>
      <c r="N81" s="16"/>
      <c r="O81" s="16"/>
    </row>
    <row r="82" spans="1:15">
      <c r="A82" s="8" t="s">
        <v>57</v>
      </c>
      <c r="B82" s="9"/>
      <c r="C82" s="9"/>
      <c r="D82" s="10"/>
      <c r="E82" s="16"/>
      <c r="F82" s="16"/>
      <c r="G82" s="16"/>
      <c r="H82" s="16"/>
      <c r="I82" s="17">
        <v>1000000</v>
      </c>
      <c r="J82" s="17"/>
      <c r="K82" s="17"/>
      <c r="L82" s="17"/>
      <c r="M82" s="17"/>
      <c r="N82" s="16" t="s">
        <v>58</v>
      </c>
      <c r="O82" s="16" t="s">
        <v>59</v>
      </c>
    </row>
    <row r="83" spans="1:15">
      <c r="A83" s="13">
        <v>45422</v>
      </c>
      <c r="B83" s="14" t="s">
        <v>17</v>
      </c>
      <c r="C83" s="14" t="s">
        <v>18</v>
      </c>
      <c r="D83" s="15" t="s">
        <v>29</v>
      </c>
      <c r="E83" s="16"/>
      <c r="F83" s="16"/>
      <c r="G83" s="16"/>
      <c r="H83" s="16"/>
      <c r="I83" s="17"/>
      <c r="J83" s="17"/>
      <c r="K83" s="17">
        <v>69000</v>
      </c>
      <c r="L83" s="17"/>
      <c r="M83" s="17">
        <v>14000</v>
      </c>
      <c r="N83" s="16"/>
      <c r="O83" s="16"/>
    </row>
    <row r="84" spans="1:15">
      <c r="A84" s="13">
        <v>45423</v>
      </c>
      <c r="B84" s="14" t="s">
        <v>17</v>
      </c>
      <c r="C84" s="14" t="s">
        <v>18</v>
      </c>
      <c r="D84" s="15" t="s">
        <v>29</v>
      </c>
      <c r="E84" s="16"/>
      <c r="F84" s="16"/>
      <c r="G84" s="16"/>
      <c r="H84" s="16"/>
      <c r="I84" s="17"/>
      <c r="J84" s="17"/>
      <c r="K84" s="17">
        <v>85000</v>
      </c>
      <c r="L84" s="17"/>
      <c r="M84" s="17">
        <v>14000</v>
      </c>
      <c r="N84" s="16"/>
      <c r="O84" s="16"/>
    </row>
    <row r="85" spans="1:15">
      <c r="A85" s="13">
        <v>45424</v>
      </c>
      <c r="B85" s="14" t="s">
        <v>17</v>
      </c>
      <c r="C85" s="14" t="s">
        <v>18</v>
      </c>
      <c r="D85" s="15"/>
      <c r="E85" s="16"/>
      <c r="F85" s="16"/>
      <c r="G85" s="16"/>
      <c r="H85" s="16"/>
      <c r="I85" s="17"/>
      <c r="J85" s="17"/>
      <c r="K85" s="17"/>
      <c r="L85" s="17"/>
      <c r="M85" s="17"/>
      <c r="N85" s="16"/>
      <c r="O85" s="16"/>
    </row>
    <row r="86" spans="1:15">
      <c r="A86" s="13">
        <v>45425</v>
      </c>
      <c r="B86" s="14" t="s">
        <v>17</v>
      </c>
      <c r="C86" s="14" t="s">
        <v>18</v>
      </c>
      <c r="D86" s="15"/>
      <c r="E86" s="16"/>
      <c r="F86" s="16"/>
      <c r="G86" s="16"/>
      <c r="H86" s="16"/>
      <c r="I86" s="17"/>
      <c r="J86" s="17"/>
      <c r="K86" s="17"/>
      <c r="L86" s="17"/>
      <c r="M86" s="17"/>
      <c r="N86" s="16"/>
      <c r="O86" s="16"/>
    </row>
    <row r="87" spans="1:15">
      <c r="A87" s="13">
        <v>45426</v>
      </c>
      <c r="B87" s="14" t="s">
        <v>17</v>
      </c>
      <c r="C87" s="14" t="s">
        <v>18</v>
      </c>
      <c r="D87" s="15" t="s">
        <v>40</v>
      </c>
      <c r="E87" s="16"/>
      <c r="F87" s="16"/>
      <c r="G87" s="16"/>
      <c r="H87" s="16"/>
      <c r="I87" s="17"/>
      <c r="J87" s="17"/>
      <c r="K87" s="17">
        <v>85000</v>
      </c>
      <c r="L87" s="17">
        <v>30000</v>
      </c>
      <c r="M87" s="17">
        <v>14000</v>
      </c>
      <c r="N87" s="16"/>
      <c r="O87" s="16"/>
    </row>
    <row r="88" spans="1:15">
      <c r="A88" s="13">
        <v>45427</v>
      </c>
      <c r="B88" s="14" t="s">
        <v>17</v>
      </c>
      <c r="C88" s="14" t="s">
        <v>18</v>
      </c>
      <c r="D88" s="15" t="s">
        <v>29</v>
      </c>
      <c r="E88" s="16"/>
      <c r="F88" s="16"/>
      <c r="G88" s="16"/>
      <c r="H88" s="16"/>
      <c r="I88" s="17"/>
      <c r="J88" s="17"/>
      <c r="K88" s="17">
        <v>85000</v>
      </c>
      <c r="L88" s="17"/>
      <c r="M88" s="17">
        <v>14000</v>
      </c>
      <c r="N88" s="16"/>
      <c r="O88" s="16"/>
    </row>
    <row r="89" spans="1:15">
      <c r="A89" s="13">
        <v>45428</v>
      </c>
      <c r="B89" s="14" t="s">
        <v>17</v>
      </c>
      <c r="C89" s="14" t="s">
        <v>18</v>
      </c>
      <c r="D89" s="15" t="s">
        <v>60</v>
      </c>
      <c r="E89" s="16"/>
      <c r="F89" s="16"/>
      <c r="G89" s="16"/>
      <c r="H89" s="16"/>
      <c r="I89" s="17"/>
      <c r="J89" s="17"/>
      <c r="K89" s="17">
        <v>26500</v>
      </c>
      <c r="L89" s="17"/>
      <c r="M89" s="17">
        <v>14000</v>
      </c>
      <c r="N89" s="16"/>
      <c r="O89" s="16"/>
    </row>
    <row r="90" spans="1:15">
      <c r="A90" s="13">
        <v>45429</v>
      </c>
      <c r="B90" s="14" t="s">
        <v>17</v>
      </c>
      <c r="C90" s="14" t="s">
        <v>18</v>
      </c>
      <c r="D90" s="15" t="s">
        <v>29</v>
      </c>
      <c r="E90" s="16"/>
      <c r="F90" s="16"/>
      <c r="G90" s="16"/>
      <c r="H90" s="16"/>
      <c r="I90" s="17"/>
      <c r="J90" s="17"/>
      <c r="K90" s="17">
        <v>85000</v>
      </c>
      <c r="L90" s="17"/>
      <c r="M90" s="17">
        <v>14000</v>
      </c>
      <c r="N90" s="16"/>
      <c r="O90" s="16"/>
    </row>
    <row r="91" spans="1:15">
      <c r="A91" s="13">
        <v>45430</v>
      </c>
      <c r="B91" s="14" t="s">
        <v>17</v>
      </c>
      <c r="C91" s="14" t="s">
        <v>18</v>
      </c>
      <c r="D91" s="15" t="s">
        <v>29</v>
      </c>
      <c r="E91" s="16"/>
      <c r="F91" s="16"/>
      <c r="G91" s="16"/>
      <c r="H91" s="16"/>
      <c r="I91" s="17"/>
      <c r="J91" s="17"/>
      <c r="K91" s="17">
        <v>85000</v>
      </c>
      <c r="L91" s="17"/>
      <c r="M91" s="17">
        <v>14000</v>
      </c>
      <c r="N91" s="16"/>
      <c r="O91" s="16"/>
    </row>
    <row r="92" spans="1:15">
      <c r="A92" s="8" t="s">
        <v>61</v>
      </c>
      <c r="B92" s="9"/>
      <c r="C92" s="9"/>
      <c r="D92" s="10"/>
      <c r="E92" s="16"/>
      <c r="F92" s="16"/>
      <c r="G92" s="16"/>
      <c r="H92" s="16"/>
      <c r="I92" s="17">
        <v>1000000</v>
      </c>
      <c r="J92" s="17"/>
      <c r="K92" s="17"/>
      <c r="L92" s="17"/>
      <c r="M92" s="17"/>
      <c r="N92" s="16" t="s">
        <v>62</v>
      </c>
      <c r="O92" s="16" t="s">
        <v>63</v>
      </c>
    </row>
    <row r="93" spans="1:15">
      <c r="A93" s="13">
        <v>45432</v>
      </c>
      <c r="B93" s="14" t="s">
        <v>17</v>
      </c>
      <c r="C93" s="14" t="s">
        <v>18</v>
      </c>
      <c r="D93" s="15" t="s">
        <v>40</v>
      </c>
      <c r="E93" s="16"/>
      <c r="F93" s="16"/>
      <c r="G93" s="16"/>
      <c r="H93" s="16"/>
      <c r="I93" s="17"/>
      <c r="J93" s="17"/>
      <c r="K93" s="17">
        <v>85000</v>
      </c>
      <c r="L93" s="17"/>
      <c r="M93" s="17">
        <v>14000</v>
      </c>
      <c r="N93" s="16"/>
      <c r="O93" s="16"/>
    </row>
    <row r="94" spans="1:15">
      <c r="A94" s="21">
        <v>45433</v>
      </c>
      <c r="B94" s="22" t="s">
        <v>17</v>
      </c>
      <c r="C94" s="22" t="s">
        <v>18</v>
      </c>
      <c r="D94" s="23" t="s">
        <v>64</v>
      </c>
      <c r="E94" s="16"/>
      <c r="F94" s="16"/>
      <c r="G94" s="16"/>
      <c r="H94" s="16"/>
      <c r="I94" s="17"/>
      <c r="J94" s="17"/>
      <c r="K94" s="17">
        <v>49500</v>
      </c>
      <c r="L94" s="17"/>
      <c r="M94" s="17">
        <v>14000</v>
      </c>
      <c r="N94" s="16"/>
      <c r="O94" s="16"/>
    </row>
    <row r="95" spans="1:15">
      <c r="A95" s="13">
        <v>45434</v>
      </c>
      <c r="B95" s="14" t="s">
        <v>17</v>
      </c>
      <c r="C95" s="14" t="s">
        <v>18</v>
      </c>
      <c r="D95" s="15" t="s">
        <v>45</v>
      </c>
      <c r="E95" s="16"/>
      <c r="F95" s="16"/>
      <c r="G95" s="16"/>
      <c r="H95" s="16"/>
      <c r="I95" s="17"/>
      <c r="J95" s="17"/>
      <c r="K95" s="17">
        <v>42500</v>
      </c>
      <c r="L95" s="17"/>
      <c r="M95" s="17">
        <v>7000</v>
      </c>
      <c r="N95" s="16"/>
      <c r="O95" s="16"/>
    </row>
    <row r="96" spans="1:15">
      <c r="A96" s="13">
        <v>45435</v>
      </c>
      <c r="B96" s="14" t="s">
        <v>17</v>
      </c>
      <c r="C96" s="14" t="s">
        <v>18</v>
      </c>
      <c r="D96" s="15"/>
      <c r="E96" s="16"/>
      <c r="F96" s="16"/>
      <c r="G96" s="16"/>
      <c r="H96" s="16"/>
      <c r="I96" s="17"/>
      <c r="J96" s="17"/>
      <c r="K96" s="17"/>
      <c r="L96" s="17"/>
      <c r="M96" s="17"/>
      <c r="N96" s="16"/>
      <c r="O96" s="16"/>
    </row>
    <row r="97" spans="1:15">
      <c r="A97" s="13">
        <v>45436</v>
      </c>
      <c r="B97" s="14" t="s">
        <v>17</v>
      </c>
      <c r="C97" s="14" t="s">
        <v>18</v>
      </c>
      <c r="D97" s="15" t="s">
        <v>65</v>
      </c>
      <c r="E97" s="16"/>
      <c r="F97" s="16"/>
      <c r="G97" s="16"/>
      <c r="H97" s="16"/>
      <c r="I97" s="17"/>
      <c r="J97" s="17">
        <v>5000</v>
      </c>
      <c r="K97" s="17">
        <v>76000</v>
      </c>
      <c r="L97" s="17"/>
      <c r="M97" s="17">
        <v>14000</v>
      </c>
      <c r="N97" s="16"/>
      <c r="O97" s="16"/>
    </row>
    <row r="98" spans="1:15">
      <c r="A98" s="21">
        <v>45437</v>
      </c>
      <c r="B98" s="14" t="s">
        <v>17</v>
      </c>
      <c r="C98" s="14" t="s">
        <v>18</v>
      </c>
      <c r="D98" s="23"/>
      <c r="E98" s="16"/>
      <c r="F98" s="16"/>
      <c r="G98" s="16"/>
      <c r="H98" s="16"/>
      <c r="I98" s="17"/>
      <c r="J98" s="17"/>
      <c r="K98" s="17"/>
      <c r="L98" s="17"/>
      <c r="M98" s="17"/>
      <c r="N98" s="16"/>
      <c r="O98" s="16"/>
    </row>
    <row r="99" spans="1:15">
      <c r="A99" s="13">
        <v>45438</v>
      </c>
      <c r="B99" s="14" t="s">
        <v>17</v>
      </c>
      <c r="C99" s="14" t="s">
        <v>18</v>
      </c>
      <c r="D99" s="15"/>
      <c r="E99" s="16"/>
      <c r="F99" s="16"/>
      <c r="G99" s="16"/>
      <c r="H99" s="16"/>
      <c r="I99" s="17"/>
      <c r="J99" s="17"/>
      <c r="K99" s="17"/>
      <c r="L99" s="17"/>
      <c r="M99" s="17"/>
      <c r="N99" s="16"/>
      <c r="O99" s="16"/>
    </row>
    <row r="100" spans="1:15">
      <c r="A100" s="13">
        <v>45439</v>
      </c>
      <c r="B100" s="14" t="s">
        <v>17</v>
      </c>
      <c r="C100" s="14" t="s">
        <v>18</v>
      </c>
      <c r="D100" s="15" t="s">
        <v>29</v>
      </c>
      <c r="E100" s="16"/>
      <c r="F100" s="16"/>
      <c r="G100" s="16"/>
      <c r="H100" s="16"/>
      <c r="I100" s="17"/>
      <c r="J100" s="17"/>
      <c r="K100" s="17">
        <v>69000</v>
      </c>
      <c r="L100" s="17"/>
      <c r="M100" s="17">
        <v>14000</v>
      </c>
      <c r="N100" s="16"/>
      <c r="O100" s="16"/>
    </row>
    <row r="101" spans="1:15">
      <c r="A101" s="8">
        <v>45453</v>
      </c>
      <c r="B101" s="9"/>
      <c r="C101" s="9"/>
      <c r="D101" s="10"/>
      <c r="E101" s="16"/>
      <c r="F101" s="16"/>
      <c r="G101" s="16"/>
      <c r="H101" s="16"/>
      <c r="I101" s="17">
        <v>1000000</v>
      </c>
      <c r="J101" s="17"/>
      <c r="K101" s="17"/>
      <c r="L101" s="17"/>
      <c r="M101" s="17"/>
      <c r="N101" s="16" t="s">
        <v>66</v>
      </c>
      <c r="O101" s="16" t="s">
        <v>67</v>
      </c>
    </row>
    <row r="102" spans="1:15">
      <c r="A102" s="13">
        <v>45440</v>
      </c>
      <c r="B102" s="14" t="s">
        <v>17</v>
      </c>
      <c r="C102" s="14" t="s">
        <v>18</v>
      </c>
      <c r="D102" s="15" t="s">
        <v>68</v>
      </c>
      <c r="E102" s="16"/>
      <c r="F102" s="16"/>
      <c r="G102" s="16"/>
      <c r="H102" s="16"/>
      <c r="I102" s="17"/>
      <c r="J102" s="17"/>
      <c r="K102" s="17">
        <v>85000</v>
      </c>
      <c r="L102" s="17"/>
      <c r="M102" s="17">
        <v>11000</v>
      </c>
      <c r="N102" s="16"/>
      <c r="O102" s="16"/>
    </row>
    <row r="103" spans="1:15">
      <c r="A103" s="13">
        <v>45441</v>
      </c>
      <c r="B103" s="14" t="s">
        <v>17</v>
      </c>
      <c r="C103" s="14" t="s">
        <v>18</v>
      </c>
      <c r="D103" s="15" t="s">
        <v>29</v>
      </c>
      <c r="E103" s="16"/>
      <c r="F103" s="16"/>
      <c r="G103" s="16"/>
      <c r="H103" s="16"/>
      <c r="I103" s="17"/>
      <c r="J103" s="17"/>
      <c r="K103" s="17">
        <v>85000</v>
      </c>
      <c r="L103" s="17"/>
      <c r="M103" s="17">
        <v>11000</v>
      </c>
      <c r="N103" s="16"/>
      <c r="O103" s="16"/>
    </row>
    <row r="104" spans="1:15">
      <c r="A104" s="13">
        <v>45442</v>
      </c>
      <c r="B104" s="14" t="s">
        <v>17</v>
      </c>
      <c r="C104" s="14" t="s">
        <v>18</v>
      </c>
      <c r="D104" s="15" t="s">
        <v>69</v>
      </c>
      <c r="E104" s="16"/>
      <c r="F104" s="16"/>
      <c r="G104" s="16"/>
      <c r="H104" s="16"/>
      <c r="I104" s="17"/>
      <c r="J104" s="17"/>
      <c r="K104" s="17">
        <v>26500</v>
      </c>
      <c r="L104" s="17"/>
      <c r="M104" s="17">
        <v>11000</v>
      </c>
      <c r="N104" s="16"/>
      <c r="O104" s="16"/>
    </row>
    <row r="105" spans="1:15">
      <c r="A105" s="13">
        <v>45443</v>
      </c>
      <c r="B105" s="14" t="s">
        <v>17</v>
      </c>
      <c r="C105" s="14" t="s">
        <v>18</v>
      </c>
      <c r="D105" s="15" t="s">
        <v>70</v>
      </c>
      <c r="E105" s="16"/>
      <c r="F105" s="16"/>
      <c r="G105" s="16"/>
      <c r="H105" s="16"/>
      <c r="I105" s="17"/>
      <c r="J105" s="17"/>
      <c r="K105" s="17">
        <v>85000</v>
      </c>
      <c r="L105" s="17"/>
      <c r="M105" s="17">
        <v>11000</v>
      </c>
      <c r="N105" s="16"/>
      <c r="O105" s="16"/>
    </row>
    <row r="106" spans="1:15">
      <c r="A106" s="13">
        <v>45444</v>
      </c>
      <c r="B106" s="14" t="s">
        <v>17</v>
      </c>
      <c r="C106" s="14" t="s">
        <v>18</v>
      </c>
      <c r="D106" s="15"/>
      <c r="E106" s="16"/>
      <c r="F106" s="16"/>
      <c r="G106" s="16"/>
      <c r="H106" s="16"/>
      <c r="I106" s="17"/>
      <c r="J106" s="17"/>
      <c r="K106" s="17"/>
      <c r="L106" s="17"/>
      <c r="M106" s="17"/>
      <c r="N106" s="16"/>
      <c r="O106" s="16"/>
    </row>
    <row r="107" spans="1:15">
      <c r="A107" s="13">
        <v>45445</v>
      </c>
      <c r="B107" s="14" t="s">
        <v>17</v>
      </c>
      <c r="C107" s="14" t="s">
        <v>18</v>
      </c>
      <c r="D107" s="15"/>
      <c r="E107" s="16"/>
      <c r="F107" s="16"/>
      <c r="G107" s="16"/>
      <c r="H107" s="16"/>
      <c r="I107" s="17"/>
      <c r="J107" s="17"/>
      <c r="K107" s="17"/>
      <c r="L107" s="17"/>
      <c r="M107" s="17"/>
      <c r="N107" s="16"/>
      <c r="O107" s="16"/>
    </row>
    <row r="108" spans="1:15">
      <c r="A108" s="13">
        <v>45446</v>
      </c>
      <c r="B108" s="14" t="s">
        <v>17</v>
      </c>
      <c r="C108" s="14" t="s">
        <v>18</v>
      </c>
      <c r="D108" s="15" t="s">
        <v>68</v>
      </c>
      <c r="E108" s="16"/>
      <c r="F108" s="16"/>
      <c r="G108" s="16"/>
      <c r="H108" s="16"/>
      <c r="I108" s="17"/>
      <c r="J108" s="17"/>
      <c r="K108" s="17">
        <v>42500</v>
      </c>
      <c r="L108" s="17"/>
      <c r="M108" s="17">
        <v>7000</v>
      </c>
      <c r="N108" s="16"/>
      <c r="O108" s="16"/>
    </row>
    <row r="109" spans="1:15">
      <c r="A109" s="13">
        <v>45447</v>
      </c>
      <c r="B109" s="14" t="s">
        <v>17</v>
      </c>
      <c r="C109" s="14" t="s">
        <v>18</v>
      </c>
      <c r="D109" s="15" t="s">
        <v>29</v>
      </c>
      <c r="E109" s="16"/>
      <c r="F109" s="16"/>
      <c r="G109" s="16"/>
      <c r="H109" s="16"/>
      <c r="I109" s="17"/>
      <c r="J109" s="17"/>
      <c r="K109" s="17">
        <v>82000</v>
      </c>
      <c r="L109" s="17">
        <v>50000</v>
      </c>
      <c r="M109" s="17">
        <v>7000</v>
      </c>
      <c r="N109" s="16"/>
      <c r="O109" s="16"/>
    </row>
    <row r="110" spans="1:15">
      <c r="A110" s="13">
        <v>45448</v>
      </c>
      <c r="B110" s="14" t="s">
        <v>17</v>
      </c>
      <c r="C110" s="14" t="s">
        <v>18</v>
      </c>
      <c r="D110" s="15" t="s">
        <v>71</v>
      </c>
      <c r="E110" s="16"/>
      <c r="F110" s="16"/>
      <c r="G110" s="16"/>
      <c r="H110" s="16"/>
      <c r="I110" s="17"/>
      <c r="J110" s="17"/>
      <c r="K110" s="17">
        <v>60000</v>
      </c>
      <c r="L110" s="17"/>
      <c r="M110" s="17">
        <v>7000</v>
      </c>
      <c r="N110" s="16"/>
      <c r="O110" s="16"/>
    </row>
    <row r="111" spans="1:15">
      <c r="A111" s="13">
        <v>45449</v>
      </c>
      <c r="B111" s="14" t="s">
        <v>17</v>
      </c>
      <c r="C111" s="14" t="s">
        <v>18</v>
      </c>
      <c r="D111" s="15" t="s">
        <v>40</v>
      </c>
      <c r="E111" s="16"/>
      <c r="F111" s="16"/>
      <c r="G111" s="16"/>
      <c r="H111" s="16"/>
      <c r="I111" s="17"/>
      <c r="J111" s="17"/>
      <c r="K111" s="17">
        <v>95500</v>
      </c>
      <c r="L111" s="17"/>
      <c r="M111" s="17">
        <v>14000</v>
      </c>
      <c r="N111" s="16"/>
      <c r="O111" s="16"/>
    </row>
    <row r="112" spans="1:15">
      <c r="A112" s="13">
        <v>45450</v>
      </c>
      <c r="B112" s="14" t="s">
        <v>17</v>
      </c>
      <c r="C112" s="14" t="s">
        <v>18</v>
      </c>
      <c r="D112" s="15" t="s">
        <v>72</v>
      </c>
      <c r="E112" s="16"/>
      <c r="F112" s="16"/>
      <c r="G112" s="16"/>
      <c r="H112" s="16"/>
      <c r="I112" s="17"/>
      <c r="J112" s="17"/>
      <c r="K112" s="17">
        <v>42500</v>
      </c>
      <c r="L112" s="17"/>
      <c r="M112" s="17">
        <v>14000</v>
      </c>
      <c r="N112" s="16"/>
      <c r="O112" s="16"/>
    </row>
    <row r="113" spans="1:15">
      <c r="A113" s="13">
        <v>45451</v>
      </c>
      <c r="B113" s="14" t="s">
        <v>17</v>
      </c>
      <c r="C113" s="14" t="s">
        <v>18</v>
      </c>
      <c r="D113" s="15" t="s">
        <v>73</v>
      </c>
      <c r="E113" s="16"/>
      <c r="F113" s="16"/>
      <c r="G113" s="16"/>
      <c r="H113" s="16"/>
      <c r="I113" s="17"/>
      <c r="J113" s="17"/>
      <c r="K113" s="17">
        <v>42500</v>
      </c>
      <c r="L113" s="17"/>
      <c r="M113" s="17">
        <v>14000</v>
      </c>
      <c r="N113" s="16"/>
      <c r="O113" s="16"/>
    </row>
    <row r="114" spans="1:15">
      <c r="A114" s="8">
        <v>45462</v>
      </c>
      <c r="B114" s="9"/>
      <c r="C114" s="9"/>
      <c r="D114" s="10"/>
      <c r="E114" s="16"/>
      <c r="F114" s="16"/>
      <c r="G114" s="16"/>
      <c r="H114" s="16"/>
      <c r="I114" s="17">
        <v>1000000</v>
      </c>
      <c r="J114" s="17"/>
      <c r="K114" s="17"/>
      <c r="L114" s="17"/>
      <c r="M114" s="17"/>
      <c r="N114" s="16" t="s">
        <v>74</v>
      </c>
      <c r="O114" s="16" t="s">
        <v>75</v>
      </c>
    </row>
    <row r="115" spans="1:15">
      <c r="A115" s="13">
        <v>45453</v>
      </c>
      <c r="B115" s="14" t="s">
        <v>17</v>
      </c>
      <c r="C115" s="14" t="s">
        <v>18</v>
      </c>
      <c r="D115" s="15" t="s">
        <v>40</v>
      </c>
      <c r="E115" s="16"/>
      <c r="F115" s="16"/>
      <c r="G115" s="16"/>
      <c r="H115" s="16"/>
      <c r="I115" s="17"/>
      <c r="J115" s="17"/>
      <c r="K115" s="17">
        <v>69000</v>
      </c>
      <c r="L115" s="17"/>
      <c r="M115" s="17">
        <v>14000</v>
      </c>
      <c r="N115" s="16"/>
      <c r="O115" s="16"/>
    </row>
    <row r="116" spans="1:15">
      <c r="A116" s="13">
        <v>45454</v>
      </c>
      <c r="B116" s="14" t="s">
        <v>17</v>
      </c>
      <c r="C116" s="14" t="s">
        <v>18</v>
      </c>
      <c r="D116" s="15" t="s">
        <v>65</v>
      </c>
      <c r="E116" s="16"/>
      <c r="F116" s="16"/>
      <c r="G116" s="16"/>
      <c r="H116" s="16"/>
      <c r="I116" s="17"/>
      <c r="J116" s="17"/>
      <c r="K116" s="17">
        <v>85000</v>
      </c>
      <c r="L116" s="17"/>
      <c r="M116" s="17">
        <v>11000</v>
      </c>
      <c r="N116" s="16"/>
      <c r="O116" s="16"/>
    </row>
    <row r="117" spans="1:15">
      <c r="A117" s="13">
        <v>45455</v>
      </c>
      <c r="B117" s="14" t="s">
        <v>17</v>
      </c>
      <c r="C117" s="14" t="s">
        <v>18</v>
      </c>
      <c r="D117" s="15" t="s">
        <v>40</v>
      </c>
      <c r="E117" s="16"/>
      <c r="F117" s="16"/>
      <c r="G117" s="16"/>
      <c r="H117" s="16"/>
      <c r="I117" s="17"/>
      <c r="J117" s="17"/>
      <c r="K117" s="17">
        <v>85000</v>
      </c>
      <c r="L117" s="17"/>
      <c r="M117" s="17">
        <v>14000</v>
      </c>
      <c r="N117" s="16"/>
      <c r="O117" s="16"/>
    </row>
    <row r="118" spans="1:15">
      <c r="A118" s="13">
        <v>45456</v>
      </c>
      <c r="B118" s="14" t="s">
        <v>17</v>
      </c>
      <c r="C118" s="14" t="s">
        <v>18</v>
      </c>
      <c r="D118" s="15" t="s">
        <v>76</v>
      </c>
      <c r="E118" s="16"/>
      <c r="F118" s="16"/>
      <c r="G118" s="16"/>
      <c r="H118" s="16"/>
      <c r="I118" s="17"/>
      <c r="J118" s="17"/>
      <c r="K118" s="17">
        <v>42500</v>
      </c>
      <c r="L118" s="17"/>
      <c r="M118" s="17">
        <v>14000</v>
      </c>
      <c r="N118" s="16"/>
      <c r="O118" s="16"/>
    </row>
    <row r="119" spans="1:15">
      <c r="A119" s="13">
        <v>45457</v>
      </c>
      <c r="B119" s="14" t="s">
        <v>17</v>
      </c>
      <c r="C119" s="14" t="s">
        <v>18</v>
      </c>
      <c r="D119" s="15" t="s">
        <v>68</v>
      </c>
      <c r="E119" s="16"/>
      <c r="F119" s="16"/>
      <c r="G119" s="16"/>
      <c r="H119" s="16"/>
      <c r="I119" s="17"/>
      <c r="J119" s="17"/>
      <c r="K119" s="17">
        <v>26500</v>
      </c>
      <c r="L119" s="17"/>
      <c r="M119" s="17">
        <v>7000</v>
      </c>
      <c r="N119" s="16"/>
      <c r="O119" s="16"/>
    </row>
    <row r="120" spans="1:15">
      <c r="A120" s="13">
        <v>45458</v>
      </c>
      <c r="B120" s="14" t="s">
        <v>17</v>
      </c>
      <c r="C120" s="14" t="s">
        <v>18</v>
      </c>
      <c r="D120" s="15" t="s">
        <v>77</v>
      </c>
      <c r="E120" s="16"/>
      <c r="F120" s="16"/>
      <c r="G120" s="16"/>
      <c r="H120" s="16"/>
      <c r="I120" s="17"/>
      <c r="J120" s="17"/>
      <c r="K120" s="17">
        <v>76000</v>
      </c>
      <c r="L120" s="17"/>
      <c r="M120" s="17">
        <v>7000</v>
      </c>
      <c r="N120" s="16"/>
      <c r="O120" s="16"/>
    </row>
    <row r="121" spans="1:15">
      <c r="A121" s="13">
        <v>45459</v>
      </c>
      <c r="B121" s="14" t="s">
        <v>17</v>
      </c>
      <c r="C121" s="14" t="s">
        <v>18</v>
      </c>
      <c r="D121" s="15"/>
      <c r="E121" s="16"/>
      <c r="F121" s="16"/>
      <c r="G121" s="16"/>
      <c r="H121" s="16"/>
      <c r="I121" s="17"/>
      <c r="J121" s="17"/>
      <c r="K121" s="17"/>
      <c r="L121" s="17"/>
      <c r="M121" s="17"/>
      <c r="N121" s="16"/>
      <c r="O121" s="16"/>
    </row>
    <row r="122" spans="1:15">
      <c r="A122" s="13">
        <v>45460</v>
      </c>
      <c r="B122" s="14" t="s">
        <v>17</v>
      </c>
      <c r="C122" s="14" t="s">
        <v>18</v>
      </c>
      <c r="D122" s="15"/>
      <c r="E122" s="16"/>
      <c r="F122" s="16"/>
      <c r="G122" s="16"/>
      <c r="H122" s="16"/>
      <c r="I122" s="17"/>
      <c r="J122" s="17"/>
      <c r="K122" s="17"/>
      <c r="L122" s="17"/>
      <c r="M122" s="17"/>
      <c r="N122" s="16"/>
      <c r="O122" s="16"/>
    </row>
    <row r="123" spans="1:15">
      <c r="A123" s="13">
        <v>45461</v>
      </c>
      <c r="B123" s="14" t="s">
        <v>17</v>
      </c>
      <c r="C123" s="14" t="s">
        <v>18</v>
      </c>
      <c r="D123" s="15" t="s">
        <v>40</v>
      </c>
      <c r="E123" s="16"/>
      <c r="F123" s="16"/>
      <c r="G123" s="16"/>
      <c r="H123" s="16"/>
      <c r="I123" s="17"/>
      <c r="J123" s="17"/>
      <c r="K123" s="17">
        <v>95500</v>
      </c>
      <c r="L123" s="17"/>
      <c r="M123" s="17">
        <v>11000</v>
      </c>
      <c r="N123" s="16"/>
      <c r="O123" s="16"/>
    </row>
    <row r="124" spans="1:15">
      <c r="A124" s="13">
        <v>45462</v>
      </c>
      <c r="B124" s="14" t="s">
        <v>17</v>
      </c>
      <c r="C124" s="14" t="s">
        <v>18</v>
      </c>
      <c r="D124" s="15" t="s">
        <v>78</v>
      </c>
      <c r="E124" s="16"/>
      <c r="F124" s="16"/>
      <c r="G124" s="16"/>
      <c r="H124" s="16"/>
      <c r="I124" s="17"/>
      <c r="J124" s="17"/>
      <c r="K124" s="17">
        <v>85000</v>
      </c>
      <c r="L124" s="17"/>
      <c r="M124" s="17">
        <v>14000</v>
      </c>
      <c r="N124" s="16"/>
      <c r="O124" s="16"/>
    </row>
    <row r="125" spans="1:15">
      <c r="A125" s="13">
        <v>45463</v>
      </c>
      <c r="B125" s="14" t="s">
        <v>17</v>
      </c>
      <c r="C125" s="14" t="s">
        <v>18</v>
      </c>
      <c r="D125" s="15" t="s">
        <v>69</v>
      </c>
      <c r="E125" s="16"/>
      <c r="F125" s="16"/>
      <c r="G125" s="16"/>
      <c r="H125" s="16"/>
      <c r="I125" s="17"/>
      <c r="J125" s="17"/>
      <c r="K125" s="17">
        <v>26500</v>
      </c>
      <c r="L125" s="17"/>
      <c r="M125" s="17">
        <v>14000</v>
      </c>
      <c r="N125" s="16"/>
      <c r="O125" s="16"/>
    </row>
    <row r="126" spans="1:15">
      <c r="A126" s="8" t="s">
        <v>79</v>
      </c>
      <c r="B126" s="9"/>
      <c r="C126" s="9"/>
      <c r="D126" s="10"/>
      <c r="E126" s="16"/>
      <c r="F126" s="16"/>
      <c r="G126" s="16"/>
      <c r="H126" s="16"/>
      <c r="I126" s="17">
        <v>1000000</v>
      </c>
      <c r="J126" s="17"/>
      <c r="K126" s="17"/>
      <c r="L126" s="17"/>
      <c r="M126" s="17"/>
      <c r="N126" s="16" t="s">
        <v>80</v>
      </c>
      <c r="O126" s="16" t="s">
        <v>81</v>
      </c>
    </row>
    <row r="127" spans="1:15">
      <c r="A127" s="13">
        <v>45464</v>
      </c>
      <c r="B127" s="14" t="s">
        <v>17</v>
      </c>
      <c r="C127" s="14" t="s">
        <v>18</v>
      </c>
      <c r="D127" s="15" t="s">
        <v>29</v>
      </c>
      <c r="E127" s="16"/>
      <c r="F127" s="16"/>
      <c r="G127" s="16"/>
      <c r="H127" s="16"/>
      <c r="I127" s="17"/>
      <c r="J127" s="17"/>
      <c r="K127" s="17">
        <v>85000</v>
      </c>
      <c r="L127" s="17"/>
      <c r="M127" s="17">
        <v>14000</v>
      </c>
      <c r="N127" s="16"/>
      <c r="O127" s="16"/>
    </row>
    <row r="128" spans="1:15">
      <c r="A128" s="13">
        <v>45465</v>
      </c>
      <c r="B128" s="14" t="s">
        <v>17</v>
      </c>
      <c r="C128" s="14" t="s">
        <v>18</v>
      </c>
      <c r="D128" s="15"/>
      <c r="E128" s="16"/>
      <c r="F128" s="16"/>
      <c r="G128" s="16"/>
      <c r="H128" s="16"/>
      <c r="I128" s="17"/>
      <c r="J128" s="17"/>
      <c r="K128" s="17"/>
      <c r="L128" s="17"/>
      <c r="M128" s="17"/>
      <c r="N128" s="16"/>
      <c r="O128" s="16"/>
    </row>
    <row r="129" spans="1:15">
      <c r="A129" s="13">
        <v>45466</v>
      </c>
      <c r="B129" s="14" t="s">
        <v>17</v>
      </c>
      <c r="C129" s="14" t="s">
        <v>18</v>
      </c>
      <c r="D129" s="15"/>
      <c r="E129" s="16"/>
      <c r="F129" s="16"/>
      <c r="G129" s="16"/>
      <c r="H129" s="16"/>
      <c r="I129" s="17"/>
      <c r="J129" s="17"/>
      <c r="K129" s="17"/>
      <c r="L129" s="17"/>
      <c r="M129" s="17"/>
      <c r="N129" s="16"/>
      <c r="O129" s="16"/>
    </row>
    <row r="130" spans="1:15">
      <c r="A130" s="13">
        <v>45467</v>
      </c>
      <c r="B130" s="14" t="s">
        <v>17</v>
      </c>
      <c r="C130" s="14" t="s">
        <v>18</v>
      </c>
      <c r="D130" s="15"/>
      <c r="E130" s="16"/>
      <c r="F130" s="16"/>
      <c r="G130" s="16"/>
      <c r="H130" s="16"/>
      <c r="I130" s="17"/>
      <c r="J130" s="17"/>
      <c r="K130" s="17"/>
      <c r="L130" s="17"/>
      <c r="M130" s="17"/>
      <c r="N130" s="16"/>
      <c r="O130" s="16"/>
    </row>
    <row r="131" spans="1:15">
      <c r="A131" s="13">
        <v>45468</v>
      </c>
      <c r="B131" s="14" t="s">
        <v>17</v>
      </c>
      <c r="C131" s="14" t="s">
        <v>18</v>
      </c>
      <c r="D131" s="15" t="s">
        <v>40</v>
      </c>
      <c r="E131" s="16"/>
      <c r="F131" s="16"/>
      <c r="G131" s="16"/>
      <c r="H131" s="16"/>
      <c r="I131" s="17"/>
      <c r="J131" s="17"/>
      <c r="K131" s="17">
        <v>85000</v>
      </c>
      <c r="L131" s="17"/>
      <c r="M131" s="17">
        <v>14000</v>
      </c>
      <c r="N131" s="16"/>
      <c r="O131" s="16"/>
    </row>
    <row r="132" spans="1:15">
      <c r="A132" s="13">
        <v>45469</v>
      </c>
      <c r="B132" s="14" t="s">
        <v>17</v>
      </c>
      <c r="C132" s="14" t="s">
        <v>18</v>
      </c>
      <c r="D132" s="15" t="s">
        <v>29</v>
      </c>
      <c r="E132" s="16"/>
      <c r="F132" s="16"/>
      <c r="G132" s="16"/>
      <c r="H132" s="16"/>
      <c r="I132" s="17"/>
      <c r="J132" s="17"/>
      <c r="K132" s="17">
        <v>85000</v>
      </c>
      <c r="L132" s="17"/>
      <c r="M132" s="17">
        <v>14000</v>
      </c>
      <c r="N132" s="16"/>
      <c r="O132" s="16"/>
    </row>
    <row r="133" spans="1:15">
      <c r="A133" s="13">
        <v>45470</v>
      </c>
      <c r="B133" s="14" t="s">
        <v>17</v>
      </c>
      <c r="C133" s="14" t="s">
        <v>18</v>
      </c>
      <c r="D133" s="15" t="s">
        <v>40</v>
      </c>
      <c r="E133" s="16"/>
      <c r="F133" s="16"/>
      <c r="G133" s="16"/>
      <c r="H133" s="16"/>
      <c r="I133" s="17"/>
      <c r="J133" s="17"/>
      <c r="K133" s="17">
        <v>69000</v>
      </c>
      <c r="L133" s="17"/>
      <c r="M133" s="17">
        <v>14000</v>
      </c>
      <c r="N133" s="16"/>
      <c r="O133" s="16"/>
    </row>
    <row r="134" spans="1:15">
      <c r="A134" s="13">
        <v>45471</v>
      </c>
      <c r="B134" s="14" t="s">
        <v>17</v>
      </c>
      <c r="C134" s="14" t="s">
        <v>18</v>
      </c>
      <c r="D134" s="15" t="s">
        <v>76</v>
      </c>
      <c r="E134" s="16"/>
      <c r="F134" s="16"/>
      <c r="G134" s="16"/>
      <c r="H134" s="16"/>
      <c r="I134" s="17"/>
      <c r="J134" s="17"/>
      <c r="K134" s="17">
        <v>42500</v>
      </c>
      <c r="L134" s="17"/>
      <c r="M134" s="17">
        <v>14000</v>
      </c>
      <c r="N134" s="16"/>
      <c r="O134" s="16"/>
    </row>
    <row r="135" spans="1:15">
      <c r="A135" s="13">
        <v>45472</v>
      </c>
      <c r="B135" s="14" t="s">
        <v>17</v>
      </c>
      <c r="C135" s="14" t="s">
        <v>18</v>
      </c>
      <c r="D135" s="15"/>
      <c r="E135" s="16"/>
      <c r="F135" s="16"/>
      <c r="G135" s="16"/>
      <c r="H135" s="16"/>
      <c r="I135" s="17"/>
      <c r="J135" s="17"/>
      <c r="K135" s="17"/>
      <c r="L135" s="17"/>
      <c r="M135" s="17"/>
      <c r="N135" s="16"/>
      <c r="O135" s="16"/>
    </row>
    <row r="136" spans="1:15">
      <c r="A136" s="13">
        <v>45473</v>
      </c>
      <c r="B136" s="14" t="s">
        <v>17</v>
      </c>
      <c r="C136" s="14" t="s">
        <v>18</v>
      </c>
      <c r="D136" s="15"/>
      <c r="E136" s="16"/>
      <c r="F136" s="16"/>
      <c r="G136" s="16"/>
      <c r="H136" s="16"/>
      <c r="I136" s="17"/>
      <c r="J136" s="17"/>
      <c r="K136" s="17"/>
      <c r="L136" s="17"/>
      <c r="M136" s="17"/>
      <c r="N136" s="16"/>
      <c r="O136" s="16"/>
    </row>
    <row r="137" spans="1:15">
      <c r="A137" s="13">
        <v>45474</v>
      </c>
      <c r="B137" s="14" t="s">
        <v>17</v>
      </c>
      <c r="C137" s="14" t="s">
        <v>18</v>
      </c>
      <c r="D137" s="15" t="s">
        <v>29</v>
      </c>
      <c r="E137" s="16"/>
      <c r="F137" s="16"/>
      <c r="G137" s="16"/>
      <c r="H137" s="16"/>
      <c r="I137" s="17"/>
      <c r="J137" s="17"/>
      <c r="K137" s="17">
        <v>85000</v>
      </c>
      <c r="L137" s="17"/>
      <c r="M137" s="17">
        <v>14000</v>
      </c>
      <c r="N137" s="16"/>
      <c r="O137" s="16"/>
    </row>
    <row r="138" spans="1:15">
      <c r="A138" s="13">
        <v>45475</v>
      </c>
      <c r="B138" s="14" t="s">
        <v>17</v>
      </c>
      <c r="C138" s="14" t="s">
        <v>18</v>
      </c>
      <c r="D138" s="15" t="s">
        <v>29</v>
      </c>
      <c r="E138" s="16"/>
      <c r="F138" s="16"/>
      <c r="G138" s="16"/>
      <c r="H138" s="16"/>
      <c r="I138" s="17"/>
      <c r="J138" s="17"/>
      <c r="K138" s="17">
        <v>85000</v>
      </c>
      <c r="L138" s="17"/>
      <c r="M138" s="17">
        <v>14000</v>
      </c>
      <c r="N138" s="16"/>
      <c r="O138" s="16"/>
    </row>
    <row r="139" spans="1:15">
      <c r="A139" s="8" t="s">
        <v>82</v>
      </c>
      <c r="B139" s="9"/>
      <c r="C139" s="9"/>
      <c r="D139" s="10"/>
      <c r="E139" s="16"/>
      <c r="F139" s="16"/>
      <c r="G139" s="16"/>
      <c r="H139" s="16"/>
      <c r="I139" s="17">
        <v>1000000</v>
      </c>
      <c r="J139" s="17"/>
      <c r="K139" s="17"/>
      <c r="L139" s="17"/>
      <c r="M139" s="17"/>
      <c r="N139" s="16" t="s">
        <v>83</v>
      </c>
      <c r="O139" s="16" t="s">
        <v>84</v>
      </c>
    </row>
    <row r="140" spans="1:15">
      <c r="A140" s="13">
        <v>45477</v>
      </c>
      <c r="B140" s="14" t="s">
        <v>17</v>
      </c>
      <c r="C140" s="14" t="s">
        <v>18</v>
      </c>
      <c r="D140" s="15" t="s">
        <v>29</v>
      </c>
      <c r="E140" s="16"/>
      <c r="F140" s="16"/>
      <c r="G140" s="16"/>
      <c r="H140" s="16"/>
      <c r="I140" s="17"/>
      <c r="J140" s="17"/>
      <c r="K140" s="17">
        <v>69000</v>
      </c>
      <c r="L140" s="17"/>
      <c r="M140" s="17">
        <v>11000</v>
      </c>
      <c r="N140" s="16"/>
      <c r="O140" s="16"/>
    </row>
    <row r="141" spans="1:15">
      <c r="A141" s="13">
        <v>45478</v>
      </c>
      <c r="B141" s="14" t="s">
        <v>17</v>
      </c>
      <c r="C141" s="14" t="s">
        <v>18</v>
      </c>
      <c r="D141" s="15" t="s">
        <v>68</v>
      </c>
      <c r="E141" s="16"/>
      <c r="F141" s="16"/>
      <c r="G141" s="16"/>
      <c r="H141" s="16"/>
      <c r="I141" s="17"/>
      <c r="J141" s="17"/>
      <c r="K141" s="17">
        <v>42500</v>
      </c>
      <c r="L141" s="17"/>
      <c r="M141" s="17">
        <v>7000</v>
      </c>
      <c r="N141" s="16"/>
      <c r="O141" s="16"/>
    </row>
    <row r="142" spans="1:15">
      <c r="A142" s="13">
        <v>45479</v>
      </c>
      <c r="B142" s="14" t="s">
        <v>17</v>
      </c>
      <c r="C142" s="14" t="s">
        <v>18</v>
      </c>
      <c r="D142" s="15" t="s">
        <v>85</v>
      </c>
      <c r="E142" s="16"/>
      <c r="F142" s="16"/>
      <c r="G142" s="16"/>
      <c r="H142" s="16"/>
      <c r="I142" s="17"/>
      <c r="J142" s="17"/>
      <c r="K142" s="17">
        <v>85000</v>
      </c>
      <c r="L142" s="17"/>
      <c r="M142" s="17">
        <v>11000</v>
      </c>
      <c r="N142" s="16"/>
      <c r="O142" s="16"/>
    </row>
    <row r="143" spans="1:15">
      <c r="A143" s="13">
        <v>45480</v>
      </c>
      <c r="B143" s="14" t="s">
        <v>17</v>
      </c>
      <c r="C143" s="14" t="s">
        <v>18</v>
      </c>
      <c r="D143" s="15"/>
      <c r="E143" s="16"/>
      <c r="F143" s="16"/>
      <c r="G143" s="16"/>
      <c r="H143" s="16"/>
      <c r="I143" s="17"/>
      <c r="J143" s="17"/>
      <c r="K143" s="17"/>
      <c r="L143" s="17"/>
      <c r="M143" s="17"/>
      <c r="N143" s="16"/>
      <c r="O143" s="16"/>
    </row>
    <row r="144" spans="1:15">
      <c r="A144" s="13">
        <v>45481</v>
      </c>
      <c r="B144" s="14" t="s">
        <v>17</v>
      </c>
      <c r="C144" s="14" t="s">
        <v>18</v>
      </c>
      <c r="D144" s="15" t="s">
        <v>47</v>
      </c>
      <c r="E144" s="16"/>
      <c r="F144" s="16"/>
      <c r="G144" s="16"/>
      <c r="H144" s="16"/>
      <c r="I144" s="17"/>
      <c r="J144" s="17"/>
      <c r="K144" s="17">
        <v>42500</v>
      </c>
      <c r="L144" s="17"/>
      <c r="M144" s="17">
        <v>14000</v>
      </c>
      <c r="N144" s="16"/>
      <c r="O144" s="16"/>
    </row>
    <row r="145" spans="1:15">
      <c r="A145" s="13">
        <v>45482</v>
      </c>
      <c r="B145" s="14" t="s">
        <v>17</v>
      </c>
      <c r="C145" s="14" t="s">
        <v>18</v>
      </c>
      <c r="D145" s="15" t="s">
        <v>29</v>
      </c>
      <c r="E145" s="16"/>
      <c r="F145" s="16"/>
      <c r="G145" s="16"/>
      <c r="H145" s="16"/>
      <c r="I145" s="17"/>
      <c r="J145" s="17"/>
      <c r="K145" s="17">
        <v>69000</v>
      </c>
      <c r="L145" s="17"/>
      <c r="M145" s="17">
        <v>14000</v>
      </c>
      <c r="N145" s="16"/>
      <c r="O145" s="16"/>
    </row>
    <row r="146" spans="1:15">
      <c r="A146" s="13">
        <v>45483</v>
      </c>
      <c r="B146" s="14" t="s">
        <v>17</v>
      </c>
      <c r="C146" s="14" t="s">
        <v>18</v>
      </c>
      <c r="D146" s="15" t="s">
        <v>86</v>
      </c>
      <c r="E146" s="16"/>
      <c r="F146" s="16"/>
      <c r="G146" s="16"/>
      <c r="H146" s="16"/>
      <c r="I146" s="17"/>
      <c r="J146" s="17"/>
      <c r="K146" s="17">
        <v>82000</v>
      </c>
      <c r="L146" s="17"/>
      <c r="M146" s="17">
        <v>14000</v>
      </c>
      <c r="N146" s="16"/>
      <c r="O146" s="16"/>
    </row>
    <row r="147" spans="1:15">
      <c r="A147" s="13">
        <v>45484</v>
      </c>
      <c r="B147" s="14" t="s">
        <v>17</v>
      </c>
      <c r="C147" s="14" t="s">
        <v>18</v>
      </c>
      <c r="D147" s="15" t="s">
        <v>45</v>
      </c>
      <c r="E147" s="16"/>
      <c r="F147" s="16"/>
      <c r="G147" s="16"/>
      <c r="H147" s="16"/>
      <c r="I147" s="17"/>
      <c r="J147" s="17"/>
      <c r="K147" s="17">
        <v>42500</v>
      </c>
      <c r="L147" s="17"/>
      <c r="M147" s="17">
        <v>7000</v>
      </c>
      <c r="N147" s="16"/>
      <c r="O147" s="16"/>
    </row>
    <row r="148" spans="1:15">
      <c r="A148" s="13">
        <v>45485</v>
      </c>
      <c r="B148" s="14" t="s">
        <v>17</v>
      </c>
      <c r="C148" s="14" t="s">
        <v>18</v>
      </c>
      <c r="D148" s="15" t="s">
        <v>85</v>
      </c>
      <c r="E148" s="16"/>
      <c r="F148" s="16"/>
      <c r="G148" s="16"/>
      <c r="H148" s="16"/>
      <c r="I148" s="17"/>
      <c r="J148" s="17"/>
      <c r="K148" s="17">
        <v>85000</v>
      </c>
      <c r="L148" s="17"/>
      <c r="M148" s="17">
        <v>14000</v>
      </c>
      <c r="N148" s="16"/>
      <c r="O148" s="16"/>
    </row>
    <row r="149" spans="1:15">
      <c r="A149" s="13">
        <v>45486</v>
      </c>
      <c r="B149" s="14" t="s">
        <v>17</v>
      </c>
      <c r="C149" s="14" t="s">
        <v>18</v>
      </c>
      <c r="D149" s="15" t="s">
        <v>40</v>
      </c>
      <c r="E149" s="16"/>
      <c r="F149" s="16"/>
      <c r="G149" s="16"/>
      <c r="H149" s="16"/>
      <c r="I149" s="17"/>
      <c r="J149" s="17"/>
      <c r="K149" s="17">
        <v>69000</v>
      </c>
      <c r="L149" s="17"/>
      <c r="M149" s="17">
        <v>14000</v>
      </c>
      <c r="N149" s="16"/>
      <c r="O149" s="16"/>
    </row>
    <row r="150" spans="1:15">
      <c r="A150" s="13">
        <v>45487</v>
      </c>
      <c r="B150" s="14" t="s">
        <v>17</v>
      </c>
      <c r="C150" s="14" t="s">
        <v>18</v>
      </c>
      <c r="D150" s="15" t="s">
        <v>40</v>
      </c>
      <c r="E150" s="16"/>
      <c r="F150" s="16"/>
      <c r="G150" s="16"/>
      <c r="H150" s="16"/>
      <c r="I150" s="17"/>
      <c r="J150" s="17"/>
      <c r="K150" s="17">
        <v>79500</v>
      </c>
      <c r="L150" s="17"/>
      <c r="M150" s="17">
        <v>14000</v>
      </c>
      <c r="N150" s="16"/>
      <c r="O150" s="16"/>
    </row>
    <row r="151" spans="1:15">
      <c r="A151" s="8" t="s">
        <v>87</v>
      </c>
      <c r="B151" s="9"/>
      <c r="C151" s="9"/>
      <c r="D151" s="10"/>
      <c r="E151" s="16"/>
      <c r="F151" s="16"/>
      <c r="G151" s="16"/>
      <c r="H151" s="16"/>
      <c r="I151" s="17">
        <v>1000000</v>
      </c>
      <c r="J151" s="17"/>
      <c r="K151" s="17"/>
      <c r="L151" s="17"/>
      <c r="M151" s="17"/>
      <c r="N151" s="16" t="s">
        <v>88</v>
      </c>
      <c r="O151" s="16" t="s">
        <v>89</v>
      </c>
    </row>
    <row r="152" spans="1:15">
      <c r="A152" s="13">
        <v>45489</v>
      </c>
      <c r="B152" s="14" t="s">
        <v>17</v>
      </c>
      <c r="C152" s="14" t="s">
        <v>18</v>
      </c>
      <c r="D152" s="15" t="s">
        <v>85</v>
      </c>
      <c r="E152" s="16"/>
      <c r="F152" s="16"/>
      <c r="G152" s="16"/>
      <c r="H152" s="16"/>
      <c r="I152" s="17"/>
      <c r="J152" s="17"/>
      <c r="K152" s="17">
        <v>85000</v>
      </c>
      <c r="L152" s="17"/>
      <c r="M152" s="17">
        <v>11000</v>
      </c>
      <c r="N152" s="16"/>
      <c r="O152" s="16"/>
    </row>
    <row r="153" spans="1:15">
      <c r="A153" s="13">
        <v>45490</v>
      </c>
      <c r="B153" s="14" t="s">
        <v>17</v>
      </c>
      <c r="C153" s="14" t="s">
        <v>18</v>
      </c>
      <c r="D153" s="15" t="s">
        <v>40</v>
      </c>
      <c r="E153" s="16"/>
      <c r="F153" s="16"/>
      <c r="G153" s="16"/>
      <c r="H153" s="16"/>
      <c r="I153" s="17"/>
      <c r="J153" s="17"/>
      <c r="K153" s="17">
        <v>85000</v>
      </c>
      <c r="L153" s="17"/>
      <c r="M153" s="17">
        <v>14000</v>
      </c>
      <c r="N153" s="16"/>
      <c r="O153" s="16"/>
    </row>
    <row r="154" spans="1:15">
      <c r="A154" s="13">
        <v>45491</v>
      </c>
      <c r="B154" s="14" t="s">
        <v>17</v>
      </c>
      <c r="C154" s="14" t="s">
        <v>18</v>
      </c>
      <c r="D154" s="15" t="s">
        <v>85</v>
      </c>
      <c r="E154" s="16"/>
      <c r="F154" s="16"/>
      <c r="G154" s="16"/>
      <c r="H154" s="16"/>
      <c r="I154" s="17"/>
      <c r="J154" s="17"/>
      <c r="K154" s="17">
        <v>69000</v>
      </c>
      <c r="L154" s="17"/>
      <c r="M154" s="17">
        <v>14000</v>
      </c>
      <c r="N154" s="16"/>
      <c r="O154" s="16"/>
    </row>
    <row r="155" spans="1:15">
      <c r="A155" s="13">
        <v>45492</v>
      </c>
      <c r="B155" s="14" t="s">
        <v>17</v>
      </c>
      <c r="C155" s="14" t="s">
        <v>18</v>
      </c>
      <c r="D155" s="15" t="s">
        <v>85</v>
      </c>
      <c r="E155" s="16"/>
      <c r="F155" s="16"/>
      <c r="G155" s="16"/>
      <c r="H155" s="16"/>
      <c r="I155" s="17"/>
      <c r="J155" s="17"/>
      <c r="K155" s="17">
        <v>42500</v>
      </c>
      <c r="L155" s="17"/>
      <c r="M155" s="17">
        <v>7000</v>
      </c>
      <c r="N155" s="16"/>
      <c r="O155" s="16"/>
    </row>
    <row r="156" spans="1:15">
      <c r="A156" s="13">
        <v>45493</v>
      </c>
      <c r="B156" s="14" t="s">
        <v>17</v>
      </c>
      <c r="C156" s="14" t="s">
        <v>18</v>
      </c>
      <c r="D156" s="15" t="s">
        <v>69</v>
      </c>
      <c r="E156" s="16"/>
      <c r="F156" s="16"/>
      <c r="G156" s="16"/>
      <c r="H156" s="16"/>
      <c r="I156" s="17"/>
      <c r="J156" s="17"/>
      <c r="K156" s="17">
        <v>69000</v>
      </c>
      <c r="L156" s="17"/>
      <c r="M156" s="17">
        <v>11000</v>
      </c>
      <c r="N156" s="16"/>
      <c r="O156" s="16"/>
    </row>
    <row r="157" spans="1:15">
      <c r="A157" s="13">
        <v>45494</v>
      </c>
      <c r="B157" s="14" t="s">
        <v>17</v>
      </c>
      <c r="C157" s="14" t="s">
        <v>18</v>
      </c>
      <c r="D157" s="15"/>
      <c r="E157" s="16"/>
      <c r="F157" s="16"/>
      <c r="G157" s="16"/>
      <c r="H157" s="16"/>
      <c r="I157" s="17"/>
      <c r="J157" s="17"/>
      <c r="K157" s="17"/>
      <c r="L157" s="17"/>
      <c r="M157" s="17"/>
      <c r="N157" s="16"/>
      <c r="O157" s="16"/>
    </row>
    <row r="158" spans="1:15">
      <c r="A158" s="13">
        <v>45495</v>
      </c>
      <c r="B158" s="14" t="s">
        <v>17</v>
      </c>
      <c r="C158" s="14" t="s">
        <v>18</v>
      </c>
      <c r="D158" s="15" t="s">
        <v>45</v>
      </c>
      <c r="E158" s="16"/>
      <c r="F158" s="16"/>
      <c r="G158" s="16"/>
      <c r="H158" s="16"/>
      <c r="I158" s="17"/>
      <c r="J158" s="17"/>
      <c r="K158" s="17">
        <v>42500</v>
      </c>
      <c r="L158" s="17"/>
      <c r="M158" s="17">
        <v>7000</v>
      </c>
      <c r="N158" s="16"/>
      <c r="O158" s="16"/>
    </row>
    <row r="159" spans="1:15">
      <c r="A159" s="13">
        <v>45496</v>
      </c>
      <c r="B159" s="14" t="s">
        <v>17</v>
      </c>
      <c r="C159" s="14" t="s">
        <v>18</v>
      </c>
      <c r="D159" s="15" t="s">
        <v>68</v>
      </c>
      <c r="E159" s="16"/>
      <c r="F159" s="16"/>
      <c r="G159" s="16"/>
      <c r="H159" s="16"/>
      <c r="I159" s="17"/>
      <c r="J159" s="17"/>
      <c r="K159" s="17">
        <v>42500</v>
      </c>
      <c r="L159" s="17"/>
      <c r="M159" s="17">
        <v>4000</v>
      </c>
      <c r="N159" s="16"/>
      <c r="O159" s="16"/>
    </row>
    <row r="160" spans="1:15">
      <c r="A160" s="13">
        <v>45497</v>
      </c>
      <c r="B160" s="14" t="s">
        <v>17</v>
      </c>
      <c r="C160" s="14" t="s">
        <v>18</v>
      </c>
      <c r="D160" s="15" t="s">
        <v>68</v>
      </c>
      <c r="E160" s="16"/>
      <c r="F160" s="16"/>
      <c r="G160" s="16"/>
      <c r="H160" s="16"/>
      <c r="I160" s="17"/>
      <c r="J160" s="17"/>
      <c r="K160" s="17">
        <v>26500</v>
      </c>
      <c r="L160" s="17"/>
      <c r="M160" s="17">
        <v>7000</v>
      </c>
      <c r="N160" s="16"/>
      <c r="O160" s="16"/>
    </row>
    <row r="161" spans="1:15">
      <c r="A161" s="13">
        <v>45498</v>
      </c>
      <c r="B161" s="14" t="s">
        <v>17</v>
      </c>
      <c r="C161" s="14" t="s">
        <v>18</v>
      </c>
      <c r="D161" s="15" t="s">
        <v>45</v>
      </c>
      <c r="E161" s="16"/>
      <c r="F161" s="16"/>
      <c r="G161" s="16"/>
      <c r="H161" s="16"/>
      <c r="I161" s="17"/>
      <c r="J161" s="17"/>
      <c r="K161" s="17">
        <v>26500</v>
      </c>
      <c r="L161" s="17"/>
      <c r="M161" s="17">
        <v>7000</v>
      </c>
      <c r="N161" s="16"/>
      <c r="O161" s="16"/>
    </row>
    <row r="162" spans="1:15">
      <c r="A162" s="13">
        <v>45499</v>
      </c>
      <c r="B162" s="14" t="s">
        <v>17</v>
      </c>
      <c r="C162" s="14" t="s">
        <v>18</v>
      </c>
      <c r="D162" s="15" t="s">
        <v>45</v>
      </c>
      <c r="E162" s="16"/>
      <c r="F162" s="16"/>
      <c r="G162" s="16"/>
      <c r="H162" s="16"/>
      <c r="I162" s="17"/>
      <c r="J162" s="17"/>
      <c r="K162" s="17">
        <v>26500</v>
      </c>
      <c r="L162" s="17"/>
      <c r="M162" s="17">
        <v>7000</v>
      </c>
      <c r="N162" s="16"/>
      <c r="O162" s="16"/>
    </row>
    <row r="163" spans="1:15">
      <c r="A163" s="13">
        <v>45500</v>
      </c>
      <c r="B163" s="14" t="s">
        <v>17</v>
      </c>
      <c r="C163" s="14" t="s">
        <v>18</v>
      </c>
      <c r="D163" s="15"/>
      <c r="E163" s="16"/>
      <c r="F163" s="16"/>
      <c r="G163" s="16"/>
      <c r="H163" s="16"/>
      <c r="I163" s="17"/>
      <c r="J163" s="17"/>
      <c r="K163" s="17"/>
      <c r="L163" s="17"/>
      <c r="M163" s="17"/>
      <c r="N163" s="16"/>
      <c r="O163" s="16"/>
    </row>
    <row r="164" spans="1:15">
      <c r="A164" s="13">
        <v>45501</v>
      </c>
      <c r="B164" s="14" t="s">
        <v>17</v>
      </c>
      <c r="C164" s="14" t="s">
        <v>18</v>
      </c>
      <c r="D164" s="15"/>
      <c r="E164" s="16"/>
      <c r="F164" s="16"/>
      <c r="G164" s="16"/>
      <c r="H164" s="16"/>
      <c r="I164" s="17"/>
      <c r="J164" s="17"/>
      <c r="K164" s="17"/>
      <c r="L164" s="17"/>
      <c r="M164" s="17"/>
      <c r="N164" s="16"/>
      <c r="O164" s="16"/>
    </row>
    <row r="165" spans="1:15">
      <c r="A165" s="13">
        <v>45502</v>
      </c>
      <c r="B165" s="14" t="s">
        <v>17</v>
      </c>
      <c r="C165" s="14" t="s">
        <v>18</v>
      </c>
      <c r="D165" s="15"/>
      <c r="E165" s="16"/>
      <c r="F165" s="16"/>
      <c r="G165" s="16"/>
      <c r="H165" s="16"/>
      <c r="I165" s="17"/>
      <c r="J165" s="17"/>
      <c r="K165" s="17"/>
      <c r="L165" s="17"/>
      <c r="M165" s="17"/>
      <c r="N165" s="16"/>
      <c r="O165" s="16"/>
    </row>
    <row r="166" spans="1:15">
      <c r="A166" s="13">
        <v>45503</v>
      </c>
      <c r="B166" s="14" t="s">
        <v>17</v>
      </c>
      <c r="C166" s="14" t="s">
        <v>18</v>
      </c>
      <c r="D166" s="15" t="s">
        <v>47</v>
      </c>
      <c r="E166" s="16"/>
      <c r="F166" s="16"/>
      <c r="G166" s="16"/>
      <c r="H166" s="16"/>
      <c r="I166" s="17"/>
      <c r="J166" s="17"/>
      <c r="K166" s="17">
        <v>42500</v>
      </c>
      <c r="L166" s="17">
        <v>100000</v>
      </c>
      <c r="M166" s="17">
        <v>14000</v>
      </c>
      <c r="N166" s="16"/>
      <c r="O166" s="16"/>
    </row>
    <row r="167" spans="1:15">
      <c r="A167" s="13">
        <v>45504</v>
      </c>
      <c r="B167" s="14" t="s">
        <v>17</v>
      </c>
      <c r="C167" s="14" t="s">
        <v>18</v>
      </c>
      <c r="D167" s="15" t="s">
        <v>29</v>
      </c>
      <c r="E167" s="16"/>
      <c r="F167" s="16"/>
      <c r="G167" s="16"/>
      <c r="H167" s="16"/>
      <c r="I167" s="17"/>
      <c r="J167" s="17"/>
      <c r="K167" s="17">
        <v>69000</v>
      </c>
      <c r="L167" s="17"/>
      <c r="M167" s="17">
        <v>14000</v>
      </c>
      <c r="N167" s="16"/>
      <c r="O167" s="16"/>
    </row>
    <row r="168" spans="1:15">
      <c r="A168" s="13">
        <v>45505</v>
      </c>
      <c r="B168" s="14" t="s">
        <v>17</v>
      </c>
      <c r="C168" s="14" t="s">
        <v>18</v>
      </c>
      <c r="D168" s="15" t="s">
        <v>40</v>
      </c>
      <c r="E168" s="16"/>
      <c r="F168" s="16"/>
      <c r="G168" s="16"/>
      <c r="H168" s="16"/>
      <c r="I168" s="17"/>
      <c r="J168" s="17"/>
      <c r="K168" s="17">
        <v>85000</v>
      </c>
      <c r="L168" s="17">
        <v>50000</v>
      </c>
      <c r="M168" s="17">
        <v>14000</v>
      </c>
      <c r="N168" s="16"/>
      <c r="O168" s="16"/>
    </row>
    <row r="169" spans="1:15">
      <c r="A169" s="8" t="s">
        <v>90</v>
      </c>
      <c r="B169" s="9"/>
      <c r="C169" s="9"/>
      <c r="D169" s="10"/>
      <c r="E169" s="16"/>
      <c r="F169" s="16"/>
      <c r="G169" s="16"/>
      <c r="H169" s="16"/>
      <c r="I169" s="17">
        <v>1000000</v>
      </c>
      <c r="J169" s="17"/>
      <c r="K169" s="17"/>
      <c r="L169" s="17"/>
      <c r="M169" s="17"/>
      <c r="N169" s="16" t="s">
        <v>91</v>
      </c>
      <c r="O169" s="16" t="s">
        <v>92</v>
      </c>
    </row>
    <row r="170" spans="1:15">
      <c r="A170" s="13">
        <v>45506</v>
      </c>
      <c r="B170" s="14" t="s">
        <v>17</v>
      </c>
      <c r="C170" s="14" t="s">
        <v>18</v>
      </c>
      <c r="D170" s="15" t="s">
        <v>40</v>
      </c>
      <c r="E170" s="16"/>
      <c r="F170" s="16"/>
      <c r="G170" s="16"/>
      <c r="H170" s="16"/>
      <c r="I170" s="17"/>
      <c r="J170" s="17"/>
      <c r="K170" s="17">
        <v>85000</v>
      </c>
      <c r="L170" s="17"/>
      <c r="M170" s="17">
        <v>14000</v>
      </c>
      <c r="N170" s="16"/>
      <c r="O170" s="16"/>
    </row>
    <row r="171" spans="1:15">
      <c r="A171" s="13">
        <v>45507</v>
      </c>
      <c r="B171" s="14" t="s">
        <v>17</v>
      </c>
      <c r="C171" s="14" t="s">
        <v>18</v>
      </c>
      <c r="D171" s="15" t="s">
        <v>29</v>
      </c>
      <c r="E171" s="16"/>
      <c r="F171" s="16"/>
      <c r="G171" s="16"/>
      <c r="H171" s="16"/>
      <c r="I171" s="17"/>
      <c r="J171" s="17"/>
      <c r="K171" s="17">
        <v>69000</v>
      </c>
      <c r="L171" s="17"/>
      <c r="M171" s="17">
        <v>14000</v>
      </c>
      <c r="N171" s="16"/>
      <c r="O171" s="16"/>
    </row>
    <row r="172" spans="1:15">
      <c r="A172" s="13">
        <v>45508</v>
      </c>
      <c r="B172" s="14" t="s">
        <v>17</v>
      </c>
      <c r="C172" s="14" t="s">
        <v>18</v>
      </c>
      <c r="D172" s="15"/>
      <c r="E172" s="16"/>
      <c r="F172" s="16"/>
      <c r="G172" s="16"/>
      <c r="H172" s="16"/>
      <c r="I172" s="17"/>
      <c r="J172" s="17"/>
      <c r="K172" s="17"/>
      <c r="L172" s="17"/>
      <c r="M172" s="17"/>
      <c r="N172" s="16"/>
      <c r="O172" s="16"/>
    </row>
    <row r="173" spans="1:15">
      <c r="A173" s="13">
        <v>45509</v>
      </c>
      <c r="B173" s="14" t="s">
        <v>17</v>
      </c>
      <c r="C173" s="14" t="s">
        <v>18</v>
      </c>
      <c r="D173" s="15" t="s">
        <v>29</v>
      </c>
      <c r="E173" s="16"/>
      <c r="F173" s="16"/>
      <c r="G173" s="16"/>
      <c r="H173" s="16"/>
      <c r="I173" s="17"/>
      <c r="J173" s="17"/>
      <c r="K173" s="17">
        <v>85000</v>
      </c>
      <c r="L173" s="17"/>
      <c r="M173" s="17">
        <v>14000</v>
      </c>
      <c r="N173" s="16"/>
      <c r="O173" s="16"/>
    </row>
    <row r="174" spans="1:15">
      <c r="A174" s="13">
        <v>45510</v>
      </c>
      <c r="B174" s="14" t="s">
        <v>17</v>
      </c>
      <c r="C174" s="14" t="s">
        <v>18</v>
      </c>
      <c r="D174" s="15" t="s">
        <v>45</v>
      </c>
      <c r="E174" s="16"/>
      <c r="F174" s="16"/>
      <c r="G174" s="16"/>
      <c r="H174" s="16"/>
      <c r="I174" s="17"/>
      <c r="J174" s="17"/>
      <c r="K174" s="17">
        <v>42500</v>
      </c>
      <c r="L174" s="17"/>
      <c r="M174" s="17">
        <v>7000</v>
      </c>
      <c r="N174" s="16"/>
      <c r="O174" s="16"/>
    </row>
    <row r="175" spans="1:15">
      <c r="A175" s="13">
        <v>45511</v>
      </c>
      <c r="B175" s="14" t="s">
        <v>17</v>
      </c>
      <c r="C175" s="14" t="s">
        <v>18</v>
      </c>
      <c r="D175" s="15" t="s">
        <v>34</v>
      </c>
      <c r="E175" s="16"/>
      <c r="F175" s="16"/>
      <c r="G175" s="16"/>
      <c r="H175" s="16"/>
      <c r="I175" s="17"/>
      <c r="J175" s="17"/>
      <c r="K175" s="17">
        <v>53000</v>
      </c>
      <c r="L175" s="17">
        <v>50000</v>
      </c>
      <c r="M175" s="17">
        <v>14000</v>
      </c>
      <c r="N175" s="16"/>
      <c r="O175" s="16"/>
    </row>
    <row r="176" spans="1:15">
      <c r="A176" s="13">
        <v>45512</v>
      </c>
      <c r="B176" s="14" t="s">
        <v>17</v>
      </c>
      <c r="C176" s="14" t="s">
        <v>18</v>
      </c>
      <c r="D176" s="15" t="s">
        <v>40</v>
      </c>
      <c r="E176" s="16"/>
      <c r="F176" s="16"/>
      <c r="G176" s="16"/>
      <c r="H176" s="16"/>
      <c r="I176" s="17"/>
      <c r="J176" s="17"/>
      <c r="K176" s="17">
        <v>85000</v>
      </c>
      <c r="L176" s="17"/>
      <c r="M176" s="17">
        <v>14000</v>
      </c>
      <c r="N176" s="16"/>
      <c r="O176" s="16"/>
    </row>
    <row r="177" spans="1:15">
      <c r="A177" s="13">
        <v>45513</v>
      </c>
      <c r="B177" s="14" t="s">
        <v>17</v>
      </c>
      <c r="C177" s="14" t="s">
        <v>18</v>
      </c>
      <c r="D177" s="15" t="s">
        <v>29</v>
      </c>
      <c r="E177" s="16"/>
      <c r="F177" s="16"/>
      <c r="G177" s="16"/>
      <c r="H177" s="16"/>
      <c r="I177" s="17"/>
      <c r="J177" s="17"/>
      <c r="K177" s="17">
        <v>53000</v>
      </c>
      <c r="L177" s="17"/>
      <c r="M177" s="17">
        <v>14000</v>
      </c>
      <c r="N177" s="16"/>
      <c r="O177" s="16"/>
    </row>
    <row r="178" spans="1:15">
      <c r="A178" s="13">
        <v>45514</v>
      </c>
      <c r="B178" s="14" t="s">
        <v>17</v>
      </c>
      <c r="C178" s="14" t="s">
        <v>18</v>
      </c>
      <c r="D178" s="15" t="s">
        <v>29</v>
      </c>
      <c r="E178" s="16"/>
      <c r="F178" s="16"/>
      <c r="G178" s="16"/>
      <c r="H178" s="16"/>
      <c r="I178" s="17"/>
      <c r="J178" s="17"/>
      <c r="K178" s="17">
        <v>90000</v>
      </c>
      <c r="L178" s="17"/>
      <c r="M178" s="17">
        <v>14000</v>
      </c>
      <c r="N178" s="16"/>
      <c r="O178" s="16"/>
    </row>
    <row r="179" spans="1:15">
      <c r="A179" s="8" t="s">
        <v>93</v>
      </c>
      <c r="B179" s="9"/>
      <c r="C179" s="9"/>
      <c r="D179" s="10"/>
      <c r="E179" s="16"/>
      <c r="F179" s="16"/>
      <c r="G179" s="16"/>
      <c r="H179" s="16"/>
      <c r="I179" s="17">
        <v>1000000</v>
      </c>
      <c r="J179" s="17"/>
      <c r="K179" s="17"/>
      <c r="L179" s="17"/>
      <c r="M179" s="17"/>
      <c r="N179" s="16" t="s">
        <v>94</v>
      </c>
      <c r="O179" s="16" t="s">
        <v>95</v>
      </c>
    </row>
    <row r="180" spans="1:15">
      <c r="A180" s="13">
        <v>45515</v>
      </c>
      <c r="B180" s="14" t="s">
        <v>17</v>
      </c>
      <c r="C180" s="14" t="s">
        <v>18</v>
      </c>
      <c r="D180" s="15"/>
      <c r="E180" s="16"/>
      <c r="F180" s="16"/>
      <c r="G180" s="16"/>
      <c r="H180" s="16"/>
      <c r="I180" s="17"/>
      <c r="J180" s="17"/>
      <c r="K180" s="17"/>
      <c r="L180" s="17"/>
      <c r="M180" s="17"/>
      <c r="N180" s="16"/>
      <c r="O180" s="16"/>
    </row>
    <row r="181" spans="1:15">
      <c r="A181" s="13">
        <v>45516</v>
      </c>
      <c r="B181" s="14" t="s">
        <v>17</v>
      </c>
      <c r="C181" s="14" t="s">
        <v>18</v>
      </c>
      <c r="D181" s="15" t="s">
        <v>40</v>
      </c>
      <c r="E181" s="16"/>
      <c r="F181" s="16"/>
      <c r="G181" s="16"/>
      <c r="H181" s="16"/>
      <c r="I181" s="17"/>
      <c r="J181" s="17"/>
      <c r="K181" s="17">
        <v>85000</v>
      </c>
      <c r="L181" s="17"/>
      <c r="M181" s="17">
        <v>14000</v>
      </c>
      <c r="N181" s="16"/>
      <c r="O181" s="16"/>
    </row>
    <row r="182" spans="1:15">
      <c r="A182" s="13">
        <v>45517</v>
      </c>
      <c r="B182" s="14" t="s">
        <v>17</v>
      </c>
      <c r="C182" s="14" t="s">
        <v>18</v>
      </c>
      <c r="D182" s="15" t="s">
        <v>29</v>
      </c>
      <c r="E182" s="16"/>
      <c r="F182" s="16"/>
      <c r="G182" s="16"/>
      <c r="H182" s="16"/>
      <c r="I182" s="17"/>
      <c r="J182" s="17"/>
      <c r="K182" s="17">
        <v>85000</v>
      </c>
      <c r="L182" s="17"/>
      <c r="M182" s="17">
        <v>14000</v>
      </c>
      <c r="N182" s="16"/>
      <c r="O182" s="16"/>
    </row>
    <row r="183" spans="1:15">
      <c r="A183" s="13">
        <v>45518</v>
      </c>
      <c r="B183" s="14" t="s">
        <v>17</v>
      </c>
      <c r="C183" s="14" t="s">
        <v>18</v>
      </c>
      <c r="D183" s="15" t="s">
        <v>86</v>
      </c>
      <c r="E183" s="16"/>
      <c r="F183" s="16"/>
      <c r="G183" s="16"/>
      <c r="H183" s="16"/>
      <c r="I183" s="17"/>
      <c r="J183" s="17"/>
      <c r="K183" s="17">
        <v>69000</v>
      </c>
      <c r="L183" s="17"/>
      <c r="M183" s="17">
        <v>14000</v>
      </c>
      <c r="N183" s="16"/>
      <c r="O183" s="16"/>
    </row>
    <row r="184" spans="1:15">
      <c r="A184" s="13">
        <v>45519</v>
      </c>
      <c r="B184" s="14" t="s">
        <v>17</v>
      </c>
      <c r="C184" s="14" t="s">
        <v>18</v>
      </c>
      <c r="D184" s="15" t="s">
        <v>40</v>
      </c>
      <c r="E184" s="16"/>
      <c r="F184" s="16"/>
      <c r="G184" s="16"/>
      <c r="H184" s="16"/>
      <c r="I184" s="17"/>
      <c r="J184" s="17"/>
      <c r="K184" s="17">
        <v>85000</v>
      </c>
      <c r="L184" s="17"/>
      <c r="M184" s="17">
        <v>14000</v>
      </c>
      <c r="N184" s="16"/>
      <c r="O184" s="16"/>
    </row>
    <row r="185" spans="1:15">
      <c r="A185" s="13">
        <v>45520</v>
      </c>
      <c r="B185" s="14" t="s">
        <v>17</v>
      </c>
      <c r="C185" s="14" t="s">
        <v>18</v>
      </c>
      <c r="D185" s="15" t="s">
        <v>72</v>
      </c>
      <c r="E185" s="16"/>
      <c r="F185" s="16"/>
      <c r="G185" s="16"/>
      <c r="H185" s="16"/>
      <c r="I185" s="17"/>
      <c r="J185" s="17"/>
      <c r="K185" s="17">
        <v>42500</v>
      </c>
      <c r="L185" s="17"/>
      <c r="M185" s="17">
        <v>14000</v>
      </c>
      <c r="N185" s="16"/>
      <c r="O185" s="16"/>
    </row>
    <row r="186" spans="1:15">
      <c r="A186" s="13">
        <v>45521</v>
      </c>
      <c r="B186" s="14" t="s">
        <v>17</v>
      </c>
      <c r="C186" s="14" t="s">
        <v>18</v>
      </c>
      <c r="D186" s="15"/>
      <c r="E186" s="16"/>
      <c r="F186" s="16"/>
      <c r="G186" s="16"/>
      <c r="H186" s="16"/>
      <c r="I186" s="17"/>
      <c r="J186" s="17"/>
      <c r="K186" s="17"/>
      <c r="L186" s="17"/>
      <c r="M186" s="17"/>
      <c r="N186" s="16"/>
      <c r="O186" s="16"/>
    </row>
    <row r="187" spans="1:15">
      <c r="A187" s="13">
        <v>45522</v>
      </c>
      <c r="B187" s="14" t="s">
        <v>17</v>
      </c>
      <c r="C187" s="14" t="s">
        <v>18</v>
      </c>
      <c r="D187" s="15"/>
      <c r="E187" s="16"/>
      <c r="F187" s="16"/>
      <c r="G187" s="16"/>
      <c r="H187" s="16"/>
      <c r="I187" s="17"/>
      <c r="J187" s="17"/>
      <c r="K187" s="17"/>
      <c r="L187" s="17"/>
      <c r="M187" s="17"/>
      <c r="N187" s="16"/>
      <c r="O187" s="16"/>
    </row>
    <row r="188" spans="1:15">
      <c r="A188" s="13">
        <v>45523</v>
      </c>
      <c r="B188" s="14" t="s">
        <v>17</v>
      </c>
      <c r="C188" s="14" t="s">
        <v>18</v>
      </c>
      <c r="D188" s="15" t="s">
        <v>40</v>
      </c>
      <c r="E188" s="16"/>
      <c r="F188" s="16"/>
      <c r="G188" s="16"/>
      <c r="H188" s="16"/>
      <c r="I188" s="17"/>
      <c r="J188" s="17"/>
      <c r="K188" s="17">
        <v>69000</v>
      </c>
      <c r="L188" s="17"/>
      <c r="M188" s="17">
        <v>14000</v>
      </c>
      <c r="N188" s="16"/>
      <c r="O188" s="16"/>
    </row>
    <row r="189" spans="1:15">
      <c r="A189" s="13">
        <v>45524</v>
      </c>
      <c r="B189" s="14" t="s">
        <v>17</v>
      </c>
      <c r="C189" s="14" t="s">
        <v>18</v>
      </c>
      <c r="D189" s="15" t="s">
        <v>65</v>
      </c>
      <c r="E189" s="16"/>
      <c r="F189" s="16"/>
      <c r="G189" s="16"/>
      <c r="H189" s="16"/>
      <c r="I189" s="17"/>
      <c r="J189" s="17"/>
      <c r="K189" s="17">
        <v>85000</v>
      </c>
      <c r="L189" s="17"/>
      <c r="M189" s="17">
        <v>14000</v>
      </c>
      <c r="N189" s="16"/>
      <c r="O189" s="16"/>
    </row>
    <row r="190" spans="1:15">
      <c r="A190" s="8" t="s">
        <v>96</v>
      </c>
      <c r="B190" s="9"/>
      <c r="C190" s="9"/>
      <c r="D190" s="10"/>
      <c r="E190" s="16"/>
      <c r="F190" s="16"/>
      <c r="G190" s="16"/>
      <c r="H190" s="16"/>
      <c r="I190" s="17">
        <v>1000000</v>
      </c>
      <c r="J190" s="17"/>
      <c r="K190" s="17"/>
      <c r="L190" s="17"/>
      <c r="M190" s="17"/>
      <c r="N190" s="16" t="s">
        <v>97</v>
      </c>
      <c r="O190" s="16" t="s">
        <v>98</v>
      </c>
    </row>
    <row r="191" spans="1:15">
      <c r="A191" s="13">
        <v>45525</v>
      </c>
      <c r="B191" s="14" t="s">
        <v>17</v>
      </c>
      <c r="C191" s="14" t="s">
        <v>18</v>
      </c>
      <c r="D191" s="15" t="s">
        <v>99</v>
      </c>
      <c r="E191" s="16"/>
      <c r="F191" s="16"/>
      <c r="G191" s="16"/>
      <c r="H191" s="16"/>
      <c r="I191" s="17"/>
      <c r="J191" s="17"/>
      <c r="K191" s="17">
        <v>42500</v>
      </c>
      <c r="L191" s="17"/>
      <c r="M191" s="17">
        <v>7000</v>
      </c>
      <c r="N191" s="16"/>
      <c r="O191" s="16"/>
    </row>
    <row r="192" spans="1:15">
      <c r="A192" s="13">
        <v>45526</v>
      </c>
      <c r="B192" s="14" t="s">
        <v>17</v>
      </c>
      <c r="C192" s="14" t="s">
        <v>18</v>
      </c>
      <c r="D192" s="15" t="s">
        <v>100</v>
      </c>
      <c r="E192" s="16"/>
      <c r="F192" s="16"/>
      <c r="G192" s="16"/>
      <c r="H192" s="16"/>
      <c r="I192" s="17"/>
      <c r="J192" s="17"/>
      <c r="K192" s="17">
        <v>17500</v>
      </c>
      <c r="L192" s="17"/>
      <c r="M192" s="17">
        <v>7000</v>
      </c>
      <c r="N192" s="16"/>
      <c r="O192" s="16"/>
    </row>
    <row r="193" spans="1:15">
      <c r="A193" s="13">
        <v>45527</v>
      </c>
      <c r="B193" s="14" t="s">
        <v>17</v>
      </c>
      <c r="C193" s="14" t="s">
        <v>18</v>
      </c>
      <c r="D193" s="15" t="s">
        <v>45</v>
      </c>
      <c r="E193" s="16"/>
      <c r="F193" s="16"/>
      <c r="G193" s="16"/>
      <c r="H193" s="16"/>
      <c r="I193" s="17"/>
      <c r="J193" s="17"/>
      <c r="K193" s="17">
        <v>42500</v>
      </c>
      <c r="L193" s="17"/>
      <c r="M193" s="17">
        <v>7000</v>
      </c>
      <c r="N193" s="16"/>
      <c r="O193" s="16"/>
    </row>
    <row r="194" spans="1:15">
      <c r="A194" s="13">
        <v>45528</v>
      </c>
      <c r="B194" s="14" t="s">
        <v>17</v>
      </c>
      <c r="C194" s="14" t="s">
        <v>18</v>
      </c>
      <c r="D194" s="15" t="s">
        <v>69</v>
      </c>
      <c r="E194" s="16"/>
      <c r="F194" s="16"/>
      <c r="G194" s="16"/>
      <c r="H194" s="16"/>
      <c r="I194" s="17"/>
      <c r="J194" s="17"/>
      <c r="K194" s="17">
        <v>42500</v>
      </c>
      <c r="L194" s="17"/>
      <c r="M194" s="17">
        <v>14000</v>
      </c>
      <c r="N194" s="16"/>
      <c r="O194" s="16"/>
    </row>
    <row r="195" spans="1:15">
      <c r="A195" s="13">
        <v>45529</v>
      </c>
      <c r="B195" s="14" t="s">
        <v>17</v>
      </c>
      <c r="C195" s="14" t="s">
        <v>18</v>
      </c>
      <c r="D195" s="15"/>
      <c r="E195" s="16"/>
      <c r="F195" s="16"/>
      <c r="G195" s="16"/>
      <c r="H195" s="16"/>
      <c r="I195" s="17"/>
      <c r="J195" s="17"/>
      <c r="K195" s="17"/>
      <c r="L195" s="17"/>
      <c r="M195" s="17"/>
      <c r="N195" s="16"/>
      <c r="O195" s="16"/>
    </row>
    <row r="196" spans="1:15">
      <c r="A196" s="13">
        <v>45530</v>
      </c>
      <c r="B196" s="14" t="s">
        <v>17</v>
      </c>
      <c r="C196" s="14" t="s">
        <v>18</v>
      </c>
      <c r="D196" s="15" t="s">
        <v>68</v>
      </c>
      <c r="E196" s="16"/>
      <c r="F196" s="16"/>
      <c r="G196" s="16"/>
      <c r="H196" s="16"/>
      <c r="I196" s="17"/>
      <c r="J196" s="17"/>
      <c r="K196" s="17">
        <v>26500</v>
      </c>
      <c r="L196" s="17"/>
      <c r="M196" s="17">
        <v>7000</v>
      </c>
      <c r="N196" s="16"/>
      <c r="O196" s="16"/>
    </row>
    <row r="197" spans="1:15">
      <c r="A197" s="13">
        <v>45531</v>
      </c>
      <c r="B197" s="14" t="s">
        <v>17</v>
      </c>
      <c r="C197" s="14" t="s">
        <v>18</v>
      </c>
      <c r="D197" s="15" t="s">
        <v>68</v>
      </c>
      <c r="E197" s="16"/>
      <c r="F197" s="16"/>
      <c r="G197" s="16"/>
      <c r="H197" s="16"/>
      <c r="I197" s="17"/>
      <c r="J197" s="17"/>
      <c r="K197" s="17">
        <v>42500</v>
      </c>
      <c r="L197" s="17"/>
      <c r="M197" s="17">
        <v>7000</v>
      </c>
      <c r="N197" s="16"/>
      <c r="O197" s="16"/>
    </row>
    <row r="198" spans="1:15">
      <c r="A198" s="13">
        <v>45532</v>
      </c>
      <c r="B198" s="14" t="s">
        <v>17</v>
      </c>
      <c r="C198" s="14" t="s">
        <v>18</v>
      </c>
      <c r="D198" s="15" t="s">
        <v>29</v>
      </c>
      <c r="E198" s="16"/>
      <c r="F198" s="16"/>
      <c r="G198" s="16"/>
      <c r="H198" s="16"/>
      <c r="I198" s="17"/>
      <c r="J198" s="17"/>
      <c r="K198" s="17">
        <v>85000</v>
      </c>
      <c r="L198" s="17"/>
      <c r="M198" s="17">
        <v>14000</v>
      </c>
      <c r="N198" s="16"/>
      <c r="O198" s="16"/>
    </row>
    <row r="199" spans="1:15">
      <c r="A199" s="13">
        <v>45533</v>
      </c>
      <c r="B199" s="14" t="s">
        <v>17</v>
      </c>
      <c r="C199" s="14" t="s">
        <v>18</v>
      </c>
      <c r="D199" s="15" t="s">
        <v>29</v>
      </c>
      <c r="E199" s="16"/>
      <c r="F199" s="16"/>
      <c r="G199" s="16"/>
      <c r="H199" s="16"/>
      <c r="I199" s="17"/>
      <c r="J199" s="17"/>
      <c r="K199" s="17">
        <v>85000</v>
      </c>
      <c r="L199" s="17"/>
      <c r="M199" s="17">
        <v>14000</v>
      </c>
      <c r="N199" s="16"/>
      <c r="O199" s="16"/>
    </row>
    <row r="200" spans="1:15">
      <c r="A200" s="13">
        <v>45534</v>
      </c>
      <c r="B200" s="14" t="s">
        <v>17</v>
      </c>
      <c r="C200" s="14" t="s">
        <v>18</v>
      </c>
      <c r="D200" s="15" t="s">
        <v>47</v>
      </c>
      <c r="E200" s="16"/>
      <c r="F200" s="16"/>
      <c r="G200" s="16"/>
      <c r="H200" s="16"/>
      <c r="I200" s="17"/>
      <c r="J200" s="17"/>
      <c r="K200" s="17">
        <v>26500</v>
      </c>
      <c r="L200" s="17"/>
      <c r="M200" s="17">
        <v>14000</v>
      </c>
      <c r="N200" s="16"/>
      <c r="O200" s="16"/>
    </row>
    <row r="201" spans="1:15">
      <c r="A201" s="13">
        <v>45535</v>
      </c>
      <c r="B201" s="14" t="s">
        <v>17</v>
      </c>
      <c r="C201" s="14" t="s">
        <v>18</v>
      </c>
      <c r="D201" s="15" t="s">
        <v>40</v>
      </c>
      <c r="E201" s="16"/>
      <c r="F201" s="16"/>
      <c r="G201" s="16"/>
      <c r="H201" s="16"/>
      <c r="I201" s="17"/>
      <c r="J201" s="17"/>
      <c r="K201" s="17">
        <v>85000</v>
      </c>
      <c r="L201" s="17"/>
      <c r="M201" s="17">
        <v>11000</v>
      </c>
      <c r="N201" s="16"/>
      <c r="O201" s="16"/>
    </row>
    <row r="202" spans="1:15">
      <c r="A202" s="8">
        <v>45544</v>
      </c>
      <c r="B202" s="9"/>
      <c r="C202" s="9"/>
      <c r="D202" s="10"/>
      <c r="E202" s="16"/>
      <c r="F202" s="16"/>
      <c r="G202" s="16"/>
      <c r="H202" s="16"/>
      <c r="I202" s="17">
        <v>1000000</v>
      </c>
      <c r="J202" s="17"/>
      <c r="K202" s="17"/>
      <c r="L202" s="17"/>
      <c r="M202" s="17"/>
      <c r="N202" s="16" t="s">
        <v>101</v>
      </c>
      <c r="O202" s="16" t="s">
        <v>102</v>
      </c>
    </row>
    <row r="203" spans="1:15">
      <c r="A203" s="13">
        <v>45538</v>
      </c>
      <c r="B203" s="14" t="s">
        <v>17</v>
      </c>
      <c r="C203" s="14" t="s">
        <v>18</v>
      </c>
      <c r="D203" s="15" t="s">
        <v>29</v>
      </c>
      <c r="E203" s="16"/>
      <c r="F203" s="16"/>
      <c r="G203" s="16"/>
      <c r="H203" s="16"/>
      <c r="I203" s="17"/>
      <c r="J203" s="17"/>
      <c r="K203" s="17">
        <v>85000</v>
      </c>
      <c r="L203" s="17"/>
      <c r="M203" s="17">
        <v>14000</v>
      </c>
      <c r="N203" s="16"/>
      <c r="O203" s="16"/>
    </row>
    <row r="204" spans="1:15">
      <c r="A204" s="13">
        <v>45539</v>
      </c>
      <c r="B204" s="14" t="s">
        <v>17</v>
      </c>
      <c r="C204" s="14" t="s">
        <v>18</v>
      </c>
      <c r="D204" s="15" t="s">
        <v>47</v>
      </c>
      <c r="E204" s="16"/>
      <c r="F204" s="16"/>
      <c r="G204" s="16"/>
      <c r="H204" s="16"/>
      <c r="I204" s="17"/>
      <c r="J204" s="17"/>
      <c r="K204" s="17">
        <v>69000</v>
      </c>
      <c r="L204" s="17"/>
      <c r="M204" s="17">
        <v>14000</v>
      </c>
      <c r="N204" s="16"/>
      <c r="O204" s="16"/>
    </row>
    <row r="205" spans="1:15">
      <c r="A205" s="13">
        <v>45540</v>
      </c>
      <c r="B205" s="14" t="s">
        <v>17</v>
      </c>
      <c r="C205" s="14" t="s">
        <v>18</v>
      </c>
      <c r="D205" s="15" t="s">
        <v>47</v>
      </c>
      <c r="E205" s="16"/>
      <c r="F205" s="16"/>
      <c r="G205" s="16"/>
      <c r="H205" s="16"/>
      <c r="I205" s="17"/>
      <c r="J205" s="17"/>
      <c r="K205" s="17">
        <v>53000</v>
      </c>
      <c r="L205" s="17"/>
      <c r="M205" s="17">
        <v>14000</v>
      </c>
      <c r="N205" s="16"/>
      <c r="O205" s="16"/>
    </row>
    <row r="206" spans="1:15">
      <c r="A206" s="13">
        <v>45541</v>
      </c>
      <c r="B206" s="14" t="s">
        <v>17</v>
      </c>
      <c r="C206" s="14" t="s">
        <v>18</v>
      </c>
      <c r="D206" s="15" t="s">
        <v>40</v>
      </c>
      <c r="E206" s="16"/>
      <c r="F206" s="16"/>
      <c r="G206" s="16"/>
      <c r="H206" s="16"/>
      <c r="I206" s="17"/>
      <c r="J206" s="17"/>
      <c r="K206" s="17">
        <v>85000</v>
      </c>
      <c r="L206" s="17"/>
      <c r="M206" s="17">
        <v>14000</v>
      </c>
      <c r="N206" s="16"/>
      <c r="O206" s="16"/>
    </row>
    <row r="207" spans="1:15">
      <c r="A207" s="13">
        <v>45542</v>
      </c>
      <c r="B207" s="14" t="s">
        <v>17</v>
      </c>
      <c r="C207" s="14" t="s">
        <v>18</v>
      </c>
      <c r="D207" s="15" t="s">
        <v>103</v>
      </c>
      <c r="E207" s="16"/>
      <c r="F207" s="16"/>
      <c r="G207" s="16"/>
      <c r="H207" s="16"/>
      <c r="I207" s="17"/>
      <c r="J207" s="17"/>
      <c r="K207" s="17">
        <v>53000</v>
      </c>
      <c r="L207" s="17"/>
      <c r="M207" s="17">
        <v>14000</v>
      </c>
      <c r="N207" s="16"/>
      <c r="O207" s="16"/>
    </row>
    <row r="208" spans="1:15">
      <c r="A208" s="13">
        <v>45543</v>
      </c>
      <c r="B208" s="14" t="s">
        <v>17</v>
      </c>
      <c r="C208" s="14" t="s">
        <v>18</v>
      </c>
      <c r="D208" s="15"/>
      <c r="E208" s="16"/>
      <c r="F208" s="16"/>
      <c r="G208" s="16"/>
      <c r="H208" s="16"/>
      <c r="I208" s="17"/>
      <c r="J208" s="17"/>
      <c r="K208" s="17"/>
      <c r="L208" s="17"/>
      <c r="M208" s="17"/>
      <c r="N208" s="16"/>
      <c r="O208" s="16"/>
    </row>
    <row r="209" spans="1:15">
      <c r="A209" s="13">
        <v>45544</v>
      </c>
      <c r="B209" s="14" t="s">
        <v>17</v>
      </c>
      <c r="C209" s="14" t="s">
        <v>18</v>
      </c>
      <c r="D209" s="15" t="s">
        <v>40</v>
      </c>
      <c r="E209" s="16"/>
      <c r="F209" s="16"/>
      <c r="G209" s="16"/>
      <c r="H209" s="16"/>
      <c r="I209" s="17"/>
      <c r="J209" s="17"/>
      <c r="K209" s="17">
        <v>75000</v>
      </c>
      <c r="L209" s="17"/>
      <c r="M209" s="17">
        <v>14000</v>
      </c>
      <c r="N209" s="16"/>
      <c r="O209" s="16"/>
    </row>
    <row r="210" spans="1:15">
      <c r="A210" s="13">
        <v>45545</v>
      </c>
      <c r="B210" s="14" t="s">
        <v>17</v>
      </c>
      <c r="C210" s="14" t="s">
        <v>18</v>
      </c>
      <c r="D210" s="15" t="s">
        <v>47</v>
      </c>
      <c r="E210" s="16"/>
      <c r="F210" s="16"/>
      <c r="G210" s="16"/>
      <c r="H210" s="16"/>
      <c r="I210" s="17"/>
      <c r="J210" s="17"/>
      <c r="K210" s="17">
        <v>74500</v>
      </c>
      <c r="L210" s="17"/>
      <c r="M210" s="17">
        <v>14000</v>
      </c>
      <c r="N210" s="16"/>
      <c r="O210" s="16"/>
    </row>
    <row r="211" spans="1:15">
      <c r="A211" s="13">
        <v>45546</v>
      </c>
      <c r="B211" s="14" t="s">
        <v>17</v>
      </c>
      <c r="C211" s="14" t="s">
        <v>18</v>
      </c>
      <c r="D211" s="15" t="s">
        <v>29</v>
      </c>
      <c r="E211" s="16"/>
      <c r="F211" s="16"/>
      <c r="G211" s="16"/>
      <c r="H211" s="16"/>
      <c r="I211" s="17"/>
      <c r="J211" s="17"/>
      <c r="K211" s="17">
        <v>85000</v>
      </c>
      <c r="L211" s="17"/>
      <c r="M211" s="17">
        <v>14000</v>
      </c>
      <c r="N211" s="16"/>
      <c r="O211" s="16"/>
    </row>
    <row r="212" spans="1:15">
      <c r="A212" s="13">
        <v>45547</v>
      </c>
      <c r="B212" s="14" t="s">
        <v>17</v>
      </c>
      <c r="C212" s="14" t="s">
        <v>18</v>
      </c>
      <c r="D212" s="15" t="s">
        <v>68</v>
      </c>
      <c r="E212" s="16"/>
      <c r="F212" s="16"/>
      <c r="G212" s="16"/>
      <c r="H212" s="16"/>
      <c r="I212" s="17"/>
      <c r="J212" s="17"/>
      <c r="K212" s="17">
        <v>42500</v>
      </c>
      <c r="L212" s="17"/>
      <c r="M212" s="17">
        <v>7000</v>
      </c>
      <c r="N212" s="16"/>
      <c r="O212" s="16"/>
    </row>
    <row r="213" spans="1:15">
      <c r="A213" s="13">
        <v>45548</v>
      </c>
      <c r="B213" s="14" t="s">
        <v>17</v>
      </c>
      <c r="C213" s="14" t="s">
        <v>18</v>
      </c>
      <c r="D213" s="15" t="s">
        <v>40</v>
      </c>
      <c r="E213" s="16"/>
      <c r="F213" s="16"/>
      <c r="G213" s="16"/>
      <c r="H213" s="16"/>
      <c r="I213" s="17"/>
      <c r="J213" s="17"/>
      <c r="K213" s="17">
        <v>85000</v>
      </c>
      <c r="L213" s="17"/>
      <c r="M213" s="17">
        <v>14000</v>
      </c>
      <c r="N213" s="16"/>
      <c r="O213" s="16"/>
    </row>
    <row r="214" spans="1:15">
      <c r="A214" s="8">
        <v>45559</v>
      </c>
      <c r="B214" s="9"/>
      <c r="C214" s="9"/>
      <c r="D214" s="10"/>
      <c r="E214" s="16"/>
      <c r="F214" s="16"/>
      <c r="G214" s="16"/>
      <c r="H214" s="16"/>
      <c r="I214" s="17">
        <v>1000000</v>
      </c>
      <c r="J214" s="17"/>
      <c r="K214" s="17"/>
      <c r="L214" s="17"/>
      <c r="M214" s="17"/>
      <c r="N214" s="16" t="s">
        <v>104</v>
      </c>
      <c r="O214" s="16" t="s">
        <v>105</v>
      </c>
    </row>
    <row r="215" spans="1:15">
      <c r="A215" s="13">
        <v>45549</v>
      </c>
      <c r="B215" s="14" t="s">
        <v>17</v>
      </c>
      <c r="C215" s="14" t="s">
        <v>18</v>
      </c>
      <c r="D215" s="15" t="s">
        <v>106</v>
      </c>
      <c r="E215" s="16"/>
      <c r="F215" s="16"/>
      <c r="G215" s="16"/>
      <c r="H215" s="16"/>
      <c r="I215" s="17"/>
      <c r="J215" s="17"/>
      <c r="K215" s="17">
        <v>26500</v>
      </c>
      <c r="L215" s="17"/>
      <c r="M215" s="17">
        <v>11000</v>
      </c>
      <c r="N215" s="16"/>
      <c r="O215" s="16"/>
    </row>
    <row r="216" spans="1:15">
      <c r="A216" s="13">
        <v>45550</v>
      </c>
      <c r="B216" s="14" t="s">
        <v>17</v>
      </c>
      <c r="C216" s="14" t="s">
        <v>18</v>
      </c>
      <c r="D216" s="15"/>
      <c r="E216" s="16"/>
      <c r="F216" s="16"/>
      <c r="G216" s="16"/>
      <c r="H216" s="16"/>
      <c r="I216" s="17"/>
      <c r="J216" s="17"/>
      <c r="K216" s="17"/>
      <c r="L216" s="17"/>
      <c r="M216" s="17"/>
      <c r="N216" s="16"/>
      <c r="O216" s="16"/>
    </row>
    <row r="217" spans="1:15">
      <c r="A217" s="13">
        <v>45551</v>
      </c>
      <c r="B217" s="14" t="s">
        <v>17</v>
      </c>
      <c r="C217" s="14" t="s">
        <v>18</v>
      </c>
      <c r="D217" s="15"/>
      <c r="E217" s="16"/>
      <c r="F217" s="16"/>
      <c r="G217" s="16"/>
      <c r="H217" s="16"/>
      <c r="I217" s="17"/>
      <c r="J217" s="17"/>
      <c r="K217" s="17"/>
      <c r="L217" s="17"/>
      <c r="M217" s="17"/>
      <c r="N217" s="16"/>
      <c r="O217" s="16"/>
    </row>
    <row r="218" spans="1:15">
      <c r="A218" s="13">
        <v>45552</v>
      </c>
      <c r="B218" s="14" t="s">
        <v>17</v>
      </c>
      <c r="C218" s="14" t="s">
        <v>18</v>
      </c>
      <c r="D218" s="15" t="s">
        <v>47</v>
      </c>
      <c r="E218" s="16"/>
      <c r="F218" s="16"/>
      <c r="G218" s="16"/>
      <c r="H218" s="16"/>
      <c r="I218" s="17"/>
      <c r="J218" s="17"/>
      <c r="K218" s="17">
        <v>42500</v>
      </c>
      <c r="L218" s="17"/>
      <c r="M218" s="17">
        <v>14000</v>
      </c>
      <c r="N218" s="16"/>
      <c r="O218" s="16"/>
    </row>
    <row r="219" spans="1:15">
      <c r="A219" s="13">
        <v>45553</v>
      </c>
      <c r="B219" s="14" t="s">
        <v>17</v>
      </c>
      <c r="C219" s="14" t="s">
        <v>18</v>
      </c>
      <c r="D219" s="15" t="s">
        <v>35</v>
      </c>
      <c r="E219" s="16"/>
      <c r="F219" s="16"/>
      <c r="G219" s="16"/>
      <c r="H219" s="16"/>
      <c r="I219" s="17"/>
      <c r="J219" s="17"/>
      <c r="K219" s="17">
        <v>53000</v>
      </c>
      <c r="L219" s="17"/>
      <c r="M219" s="17">
        <v>7000</v>
      </c>
      <c r="N219" s="16"/>
      <c r="O219" s="16"/>
    </row>
    <row r="220" spans="1:15">
      <c r="A220" s="13">
        <v>45554</v>
      </c>
      <c r="B220" s="14" t="s">
        <v>17</v>
      </c>
      <c r="C220" s="14" t="s">
        <v>18</v>
      </c>
      <c r="D220" s="15" t="s">
        <v>40</v>
      </c>
      <c r="E220" s="16"/>
      <c r="F220" s="16"/>
      <c r="G220" s="16"/>
      <c r="H220" s="16"/>
      <c r="I220" s="17"/>
      <c r="J220" s="17"/>
      <c r="K220" s="17">
        <v>85000</v>
      </c>
      <c r="L220" s="17"/>
      <c r="M220" s="17">
        <v>11000</v>
      </c>
      <c r="N220" s="16"/>
      <c r="O220" s="16"/>
    </row>
    <row r="221" spans="1:15">
      <c r="A221" s="13">
        <v>45555</v>
      </c>
      <c r="B221" s="14" t="s">
        <v>17</v>
      </c>
      <c r="C221" s="14" t="s">
        <v>18</v>
      </c>
      <c r="D221" s="15" t="s">
        <v>29</v>
      </c>
      <c r="E221" s="16"/>
      <c r="F221" s="16"/>
      <c r="G221" s="16"/>
      <c r="H221" s="16"/>
      <c r="I221" s="17"/>
      <c r="J221" s="17"/>
      <c r="K221" s="17">
        <v>69000</v>
      </c>
      <c r="L221" s="17"/>
      <c r="M221" s="17">
        <v>11000</v>
      </c>
      <c r="N221" s="16"/>
      <c r="O221" s="16"/>
    </row>
    <row r="222" spans="1:15">
      <c r="A222" s="13">
        <v>45556</v>
      </c>
      <c r="B222" s="14" t="s">
        <v>17</v>
      </c>
      <c r="C222" s="14" t="s">
        <v>18</v>
      </c>
      <c r="D222" s="15" t="s">
        <v>107</v>
      </c>
      <c r="E222" s="16"/>
      <c r="F222" s="16"/>
      <c r="G222" s="16"/>
      <c r="H222" s="16"/>
      <c r="I222" s="17"/>
      <c r="J222" s="17"/>
      <c r="K222" s="17">
        <v>95500</v>
      </c>
      <c r="L222" s="17"/>
      <c r="M222" s="17">
        <v>14000</v>
      </c>
      <c r="N222" s="16"/>
      <c r="O222" s="16"/>
    </row>
    <row r="223" spans="1:15">
      <c r="A223" s="13">
        <v>45557</v>
      </c>
      <c r="B223" s="14" t="s">
        <v>17</v>
      </c>
      <c r="C223" s="14" t="s">
        <v>18</v>
      </c>
      <c r="D223" s="15"/>
      <c r="E223" s="16"/>
      <c r="F223" s="16"/>
      <c r="G223" s="16"/>
      <c r="H223" s="16"/>
      <c r="I223" s="17"/>
      <c r="J223" s="17"/>
      <c r="K223" s="17"/>
      <c r="L223" s="17"/>
      <c r="M223" s="17"/>
      <c r="N223" s="16"/>
      <c r="O223" s="16"/>
    </row>
    <row r="224" spans="1:15">
      <c r="A224" s="13">
        <v>45558</v>
      </c>
      <c r="B224" s="14" t="s">
        <v>17</v>
      </c>
      <c r="C224" s="14" t="s">
        <v>18</v>
      </c>
      <c r="D224" s="15" t="s">
        <v>53</v>
      </c>
      <c r="E224" s="16"/>
      <c r="F224" s="16"/>
      <c r="G224" s="16"/>
      <c r="H224" s="16"/>
      <c r="I224" s="17"/>
      <c r="J224" s="17"/>
      <c r="K224" s="17">
        <v>69000</v>
      </c>
      <c r="L224" s="17"/>
      <c r="M224" s="17">
        <v>11000</v>
      </c>
      <c r="N224" s="16"/>
      <c r="O224" s="16"/>
    </row>
    <row r="225" spans="1:15">
      <c r="A225" s="13">
        <v>45559</v>
      </c>
      <c r="B225" s="14" t="s">
        <v>17</v>
      </c>
      <c r="C225" s="14" t="s">
        <v>18</v>
      </c>
      <c r="D225" s="15" t="s">
        <v>29</v>
      </c>
      <c r="E225" s="16"/>
      <c r="F225" s="16"/>
      <c r="G225" s="16"/>
      <c r="H225" s="16"/>
      <c r="I225" s="17"/>
      <c r="J225" s="17"/>
      <c r="K225" s="17">
        <v>85000</v>
      </c>
      <c r="L225" s="17"/>
      <c r="M225" s="17">
        <v>14000</v>
      </c>
      <c r="N225" s="16"/>
      <c r="O225" s="16"/>
    </row>
    <row r="226" spans="1:15">
      <c r="A226" s="13">
        <v>45560</v>
      </c>
      <c r="B226" s="14" t="s">
        <v>17</v>
      </c>
      <c r="C226" s="14" t="s">
        <v>18</v>
      </c>
      <c r="D226" s="15" t="s">
        <v>40</v>
      </c>
      <c r="E226" s="16"/>
      <c r="F226" s="16"/>
      <c r="G226" s="16"/>
      <c r="H226" s="16"/>
      <c r="I226" s="17"/>
      <c r="J226" s="17"/>
      <c r="K226" s="17">
        <v>42500</v>
      </c>
      <c r="L226" s="17"/>
      <c r="M226" s="17">
        <v>7000</v>
      </c>
      <c r="N226" s="16"/>
      <c r="O226" s="16"/>
    </row>
    <row r="227" spans="1:15">
      <c r="A227" s="13">
        <v>45561</v>
      </c>
      <c r="B227" s="14" t="s">
        <v>17</v>
      </c>
      <c r="C227" s="14" t="s">
        <v>18</v>
      </c>
      <c r="D227" s="15" t="s">
        <v>108</v>
      </c>
      <c r="E227" s="16"/>
      <c r="F227" s="16"/>
      <c r="G227" s="16"/>
      <c r="H227" s="16"/>
      <c r="I227" s="17"/>
      <c r="J227" s="17"/>
      <c r="K227" s="17">
        <v>88500</v>
      </c>
      <c r="L227" s="17"/>
      <c r="M227" s="17">
        <v>11000</v>
      </c>
      <c r="N227" s="16"/>
      <c r="O227" s="16"/>
    </row>
    <row r="228" spans="1:15">
      <c r="A228" s="13">
        <v>45562</v>
      </c>
      <c r="B228" s="14" t="s">
        <v>17</v>
      </c>
      <c r="C228" s="14" t="s">
        <v>18</v>
      </c>
      <c r="D228" s="15" t="s">
        <v>68</v>
      </c>
      <c r="E228" s="16"/>
      <c r="F228" s="16"/>
      <c r="G228" s="16"/>
      <c r="H228" s="16"/>
      <c r="I228" s="17"/>
      <c r="J228" s="17"/>
      <c r="K228" s="17">
        <v>42500</v>
      </c>
      <c r="L228" s="17"/>
      <c r="M228" s="17">
        <v>7000</v>
      </c>
      <c r="N228" s="16"/>
      <c r="O228" s="16"/>
    </row>
    <row r="229" spans="1:15">
      <c r="A229" s="13">
        <v>45563</v>
      </c>
      <c r="B229" s="14" t="s">
        <v>17</v>
      </c>
      <c r="C229" s="14" t="s">
        <v>18</v>
      </c>
      <c r="D229" s="15" t="s">
        <v>40</v>
      </c>
      <c r="E229" s="16"/>
      <c r="F229" s="16"/>
      <c r="G229" s="16"/>
      <c r="H229" s="16"/>
      <c r="I229" s="17"/>
      <c r="J229" s="17"/>
      <c r="K229" s="17">
        <v>85000</v>
      </c>
      <c r="L229" s="17"/>
      <c r="M229" s="17">
        <v>14000</v>
      </c>
      <c r="N229" s="16"/>
      <c r="O229" s="16"/>
    </row>
    <row r="230" spans="1:15">
      <c r="A230" s="13">
        <v>45564</v>
      </c>
      <c r="B230" s="14" t="s">
        <v>17</v>
      </c>
      <c r="C230" s="14" t="s">
        <v>18</v>
      </c>
      <c r="D230" s="15"/>
      <c r="E230" s="16"/>
      <c r="F230" s="16"/>
      <c r="G230" s="16"/>
      <c r="H230" s="16"/>
      <c r="I230" s="17"/>
      <c r="J230" s="17"/>
      <c r="K230" s="17"/>
      <c r="L230" s="17"/>
      <c r="M230" s="17"/>
      <c r="N230" s="16"/>
      <c r="O230" s="16"/>
    </row>
    <row r="231" spans="1:15">
      <c r="A231" s="13">
        <v>45565</v>
      </c>
      <c r="B231" s="14" t="s">
        <v>17</v>
      </c>
      <c r="C231" s="14" t="s">
        <v>18</v>
      </c>
      <c r="D231" s="15"/>
      <c r="E231" s="16"/>
      <c r="F231" s="16"/>
      <c r="G231" s="16"/>
      <c r="H231" s="16"/>
      <c r="I231" s="17"/>
      <c r="J231" s="17"/>
      <c r="K231" s="17"/>
      <c r="L231" s="17"/>
      <c r="M231" s="17"/>
      <c r="N231" s="16"/>
      <c r="O231" s="16"/>
    </row>
    <row r="232" spans="1:15">
      <c r="A232" s="13">
        <v>45566</v>
      </c>
      <c r="B232" s="14" t="s">
        <v>17</v>
      </c>
      <c r="C232" s="14" t="s">
        <v>18</v>
      </c>
      <c r="D232" s="15" t="s">
        <v>40</v>
      </c>
      <c r="E232" s="16"/>
      <c r="F232" s="16"/>
      <c r="G232" s="16"/>
      <c r="H232" s="16"/>
      <c r="I232" s="17"/>
      <c r="J232" s="17"/>
      <c r="K232" s="17">
        <v>85000</v>
      </c>
      <c r="L232" s="17"/>
      <c r="M232" s="17">
        <v>14000</v>
      </c>
      <c r="N232" s="16"/>
      <c r="O232" s="16"/>
    </row>
    <row r="233" spans="1:15">
      <c r="A233" s="8">
        <v>45573</v>
      </c>
      <c r="B233" s="9"/>
      <c r="C233" s="9"/>
      <c r="D233" s="10"/>
      <c r="E233" s="16"/>
      <c r="F233" s="16"/>
      <c r="G233" s="16"/>
      <c r="H233" s="16"/>
      <c r="I233" s="17">
        <v>1000000</v>
      </c>
      <c r="J233" s="17"/>
      <c r="K233" s="17"/>
      <c r="L233" s="17"/>
      <c r="M233" s="17"/>
      <c r="N233" s="16" t="s">
        <v>109</v>
      </c>
      <c r="O233" s="16" t="s">
        <v>110</v>
      </c>
    </row>
    <row r="234" spans="1:15">
      <c r="A234" s="13">
        <v>45567</v>
      </c>
      <c r="B234" s="14" t="s">
        <v>17</v>
      </c>
      <c r="C234" s="14" t="s">
        <v>18</v>
      </c>
      <c r="D234" s="15" t="s">
        <v>47</v>
      </c>
      <c r="E234" s="16"/>
      <c r="F234" s="16"/>
      <c r="G234" s="16"/>
      <c r="H234" s="16"/>
      <c r="I234" s="17"/>
      <c r="J234" s="17"/>
      <c r="K234" s="17">
        <v>42500</v>
      </c>
      <c r="L234" s="17"/>
      <c r="M234" s="17">
        <v>14000</v>
      </c>
      <c r="N234" s="16"/>
      <c r="O234" s="16"/>
    </row>
    <row r="235" spans="1:15">
      <c r="A235" s="13">
        <v>45568</v>
      </c>
      <c r="B235" s="14" t="s">
        <v>17</v>
      </c>
      <c r="C235" s="14" t="s">
        <v>18</v>
      </c>
      <c r="D235" s="15" t="s">
        <v>29</v>
      </c>
      <c r="E235" s="16"/>
      <c r="F235" s="16"/>
      <c r="G235" s="16"/>
      <c r="H235" s="16"/>
      <c r="I235" s="17"/>
      <c r="J235" s="17"/>
      <c r="K235" s="17">
        <v>76000</v>
      </c>
      <c r="L235" s="17"/>
      <c r="M235" s="17">
        <v>14000</v>
      </c>
      <c r="N235" s="16"/>
      <c r="O235" s="16"/>
    </row>
    <row r="236" spans="1:15">
      <c r="A236" s="13">
        <v>45569</v>
      </c>
      <c r="B236" s="14" t="s">
        <v>17</v>
      </c>
      <c r="C236" s="14" t="s">
        <v>18</v>
      </c>
      <c r="D236" s="15" t="s">
        <v>47</v>
      </c>
      <c r="E236" s="16"/>
      <c r="F236" s="16"/>
      <c r="G236" s="16"/>
      <c r="H236" s="16"/>
      <c r="I236" s="17"/>
      <c r="J236" s="17"/>
      <c r="K236" s="17">
        <v>42500</v>
      </c>
      <c r="L236" s="17"/>
      <c r="M236" s="17">
        <v>11000</v>
      </c>
      <c r="N236" s="16"/>
      <c r="O236" s="16"/>
    </row>
    <row r="237" spans="1:15">
      <c r="A237" s="13">
        <v>45570</v>
      </c>
      <c r="B237" s="14" t="s">
        <v>17</v>
      </c>
      <c r="C237" s="14" t="s">
        <v>18</v>
      </c>
      <c r="D237" s="15" t="s">
        <v>64</v>
      </c>
      <c r="E237" s="16"/>
      <c r="F237" s="16"/>
      <c r="G237" s="16"/>
      <c r="H237" s="16"/>
      <c r="I237" s="17"/>
      <c r="J237" s="17"/>
      <c r="K237" s="17">
        <v>53000</v>
      </c>
      <c r="L237" s="17"/>
      <c r="M237" s="17">
        <v>7000</v>
      </c>
      <c r="N237" s="16"/>
      <c r="O237" s="16"/>
    </row>
    <row r="238" spans="1:15">
      <c r="A238" s="13">
        <v>45571</v>
      </c>
      <c r="B238" s="14" t="s">
        <v>17</v>
      </c>
      <c r="C238" s="14" t="s">
        <v>18</v>
      </c>
      <c r="D238" s="15"/>
      <c r="E238" s="16"/>
      <c r="F238" s="16"/>
      <c r="G238" s="16"/>
      <c r="H238" s="16"/>
      <c r="I238" s="17"/>
      <c r="J238" s="17"/>
      <c r="K238" s="17"/>
      <c r="L238" s="17"/>
      <c r="M238" s="17"/>
      <c r="N238" s="16"/>
      <c r="O238" s="16"/>
    </row>
    <row r="239" spans="1:15">
      <c r="A239" s="13">
        <v>45572</v>
      </c>
      <c r="B239" s="14" t="s">
        <v>17</v>
      </c>
      <c r="C239" s="14" t="s">
        <v>18</v>
      </c>
      <c r="D239" s="15" t="s">
        <v>86</v>
      </c>
      <c r="E239" s="16"/>
      <c r="F239" s="16"/>
      <c r="G239" s="16"/>
      <c r="H239" s="16"/>
      <c r="I239" s="17"/>
      <c r="J239" s="17"/>
      <c r="K239" s="17">
        <v>85000</v>
      </c>
      <c r="L239" s="17"/>
      <c r="M239" s="17">
        <v>14000</v>
      </c>
      <c r="N239" s="16"/>
      <c r="O239" s="16"/>
    </row>
    <row r="240" spans="1:15">
      <c r="A240" s="13">
        <v>45573</v>
      </c>
      <c r="B240" s="14" t="s">
        <v>17</v>
      </c>
      <c r="C240" s="14" t="s">
        <v>18</v>
      </c>
      <c r="D240" s="15" t="s">
        <v>72</v>
      </c>
      <c r="E240" s="16"/>
      <c r="F240" s="16"/>
      <c r="G240" s="16"/>
      <c r="H240" s="16"/>
      <c r="I240" s="17"/>
      <c r="J240" s="17"/>
      <c r="K240" s="17">
        <v>42500</v>
      </c>
      <c r="L240" s="17"/>
      <c r="M240" s="17">
        <v>11000</v>
      </c>
      <c r="N240" s="16"/>
      <c r="O240" s="16"/>
    </row>
    <row r="241" spans="1:15">
      <c r="A241" s="13">
        <v>45574</v>
      </c>
      <c r="B241" s="14" t="s">
        <v>17</v>
      </c>
      <c r="C241" s="14" t="s">
        <v>18</v>
      </c>
      <c r="D241" s="15" t="s">
        <v>111</v>
      </c>
      <c r="E241" s="16"/>
      <c r="F241" s="16"/>
      <c r="G241" s="16"/>
      <c r="H241" s="16"/>
      <c r="I241" s="17"/>
      <c r="J241" s="17"/>
      <c r="K241" s="17">
        <v>42500</v>
      </c>
      <c r="L241" s="17"/>
      <c r="M241" s="17">
        <v>7000</v>
      </c>
      <c r="N241" s="16"/>
      <c r="O241" s="16"/>
    </row>
    <row r="242" spans="1:15">
      <c r="A242" s="13">
        <v>45575</v>
      </c>
      <c r="B242" s="14" t="s">
        <v>17</v>
      </c>
      <c r="C242" s="14" t="s">
        <v>18</v>
      </c>
      <c r="D242" s="15" t="s">
        <v>78</v>
      </c>
      <c r="E242" s="16"/>
      <c r="F242" s="16"/>
      <c r="G242" s="16"/>
      <c r="H242" s="16"/>
      <c r="I242" s="17"/>
      <c r="J242" s="17"/>
      <c r="K242" s="17">
        <v>53000</v>
      </c>
      <c r="L242" s="17"/>
      <c r="M242" s="17">
        <v>14000</v>
      </c>
      <c r="N242" s="16"/>
      <c r="O242" s="16"/>
    </row>
    <row r="243" spans="1:15">
      <c r="A243" s="13">
        <v>45576</v>
      </c>
      <c r="B243" s="14" t="s">
        <v>17</v>
      </c>
      <c r="C243" s="14" t="s">
        <v>18</v>
      </c>
      <c r="D243" s="15" t="s">
        <v>112</v>
      </c>
      <c r="E243" s="16"/>
      <c r="F243" s="16"/>
      <c r="G243" s="16"/>
      <c r="H243" s="16"/>
      <c r="I243" s="17"/>
      <c r="J243" s="17"/>
      <c r="K243" s="17">
        <v>85000</v>
      </c>
      <c r="L243" s="17"/>
      <c r="M243" s="17">
        <v>11000</v>
      </c>
      <c r="N243" s="16"/>
      <c r="O243" s="16"/>
    </row>
    <row r="244" spans="1:15">
      <c r="A244" s="8">
        <v>45583</v>
      </c>
      <c r="B244" s="9"/>
      <c r="C244" s="9"/>
      <c r="D244" s="10"/>
      <c r="E244" s="16"/>
      <c r="F244" s="16"/>
      <c r="G244" s="16"/>
      <c r="H244" s="16"/>
      <c r="I244" s="17">
        <v>1000000</v>
      </c>
      <c r="J244" s="17"/>
      <c r="K244" s="17"/>
      <c r="L244" s="17"/>
      <c r="M244" s="17"/>
      <c r="N244" s="16" t="s">
        <v>113</v>
      </c>
      <c r="O244" s="16" t="s">
        <v>114</v>
      </c>
    </row>
    <row r="245" spans="1:15">
      <c r="A245" s="13">
        <v>45577</v>
      </c>
      <c r="B245" s="14" t="s">
        <v>17</v>
      </c>
      <c r="C245" s="14" t="s">
        <v>18</v>
      </c>
      <c r="D245" s="15" t="s">
        <v>86</v>
      </c>
      <c r="E245" s="16"/>
      <c r="F245" s="16"/>
      <c r="G245" s="16"/>
      <c r="H245" s="16"/>
      <c r="I245" s="17"/>
      <c r="J245" s="17"/>
      <c r="K245" s="17">
        <v>85000</v>
      </c>
      <c r="L245" s="17"/>
      <c r="M245" s="17">
        <v>14000</v>
      </c>
      <c r="N245" s="16"/>
      <c r="O245" s="16"/>
    </row>
    <row r="246" spans="1:15">
      <c r="A246" s="13">
        <v>45578</v>
      </c>
      <c r="B246" s="14" t="s">
        <v>17</v>
      </c>
      <c r="C246" s="14" t="s">
        <v>18</v>
      </c>
      <c r="D246" s="15"/>
      <c r="E246" s="16"/>
      <c r="F246" s="16"/>
      <c r="G246" s="16"/>
      <c r="H246" s="16"/>
      <c r="I246" s="17"/>
      <c r="J246" s="17"/>
      <c r="K246" s="17"/>
      <c r="L246" s="17"/>
      <c r="M246" s="17"/>
      <c r="N246" s="16"/>
      <c r="O246" s="16"/>
    </row>
    <row r="247" spans="1:15">
      <c r="A247" s="13">
        <v>45579</v>
      </c>
      <c r="B247" s="14" t="s">
        <v>17</v>
      </c>
      <c r="C247" s="14" t="s">
        <v>18</v>
      </c>
      <c r="D247" s="15" t="s">
        <v>29</v>
      </c>
      <c r="E247" s="16"/>
      <c r="F247" s="16"/>
      <c r="G247" s="16"/>
      <c r="H247" s="16"/>
      <c r="I247" s="17"/>
      <c r="J247" s="17"/>
      <c r="K247" s="17">
        <v>69000</v>
      </c>
      <c r="L247" s="17"/>
      <c r="M247" s="17">
        <v>14000</v>
      </c>
      <c r="N247" s="16"/>
      <c r="O247" s="16"/>
    </row>
    <row r="248" spans="1:15">
      <c r="A248" s="13">
        <v>45580</v>
      </c>
      <c r="B248" s="14" t="s">
        <v>17</v>
      </c>
      <c r="C248" s="14" t="s">
        <v>18</v>
      </c>
      <c r="D248" s="15" t="s">
        <v>115</v>
      </c>
      <c r="E248" s="16"/>
      <c r="F248" s="16"/>
      <c r="G248" s="16"/>
      <c r="H248" s="16"/>
      <c r="I248" s="17"/>
      <c r="J248" s="17"/>
      <c r="K248" s="17">
        <v>42500</v>
      </c>
      <c r="L248" s="17"/>
      <c r="M248" s="17">
        <v>14000</v>
      </c>
      <c r="N248" s="16"/>
      <c r="O248" s="16"/>
    </row>
    <row r="249" spans="1:15">
      <c r="A249" s="18">
        <v>45581</v>
      </c>
      <c r="B249" s="19" t="s">
        <v>17</v>
      </c>
      <c r="C249" s="19" t="s">
        <v>18</v>
      </c>
      <c r="D249" s="20" t="s">
        <v>116</v>
      </c>
      <c r="E249" s="16"/>
      <c r="F249" s="16"/>
      <c r="G249" s="16"/>
      <c r="H249" s="16"/>
      <c r="I249" s="17"/>
      <c r="J249" s="17"/>
      <c r="K249" s="17">
        <v>66000</v>
      </c>
      <c r="L249" s="17"/>
      <c r="M249" s="17">
        <v>14000</v>
      </c>
      <c r="N249" s="16"/>
      <c r="O249" s="16"/>
    </row>
    <row r="250" spans="1:15">
      <c r="A250" s="13">
        <v>45582</v>
      </c>
      <c r="B250" s="14" t="s">
        <v>17</v>
      </c>
      <c r="C250" s="14" t="s">
        <v>18</v>
      </c>
      <c r="D250" s="15" t="s">
        <v>40</v>
      </c>
      <c r="E250" s="16"/>
      <c r="F250" s="16"/>
      <c r="G250" s="16"/>
      <c r="H250" s="16"/>
      <c r="I250" s="17"/>
      <c r="J250" s="17"/>
      <c r="K250" s="17">
        <v>85000</v>
      </c>
      <c r="L250" s="17"/>
      <c r="M250" s="17">
        <v>14000</v>
      </c>
      <c r="N250" s="16"/>
      <c r="O250" s="16"/>
    </row>
    <row r="251" spans="1:15">
      <c r="A251" s="13">
        <v>45583</v>
      </c>
      <c r="B251" s="14" t="s">
        <v>17</v>
      </c>
      <c r="C251" s="14" t="s">
        <v>18</v>
      </c>
      <c r="D251" s="15" t="s">
        <v>29</v>
      </c>
      <c r="E251" s="16"/>
      <c r="F251" s="16"/>
      <c r="G251" s="16"/>
      <c r="H251" s="16"/>
      <c r="I251" s="17"/>
      <c r="J251" s="17"/>
      <c r="K251" s="17">
        <v>69000</v>
      </c>
      <c r="L251" s="17"/>
      <c r="M251" s="17">
        <v>11000</v>
      </c>
      <c r="N251" s="16"/>
      <c r="O251" s="16"/>
    </row>
    <row r="252" spans="1:15">
      <c r="A252" s="13">
        <v>45584</v>
      </c>
      <c r="B252" s="14" t="s">
        <v>17</v>
      </c>
      <c r="C252" s="14" t="s">
        <v>18</v>
      </c>
      <c r="D252" s="15" t="s">
        <v>86</v>
      </c>
      <c r="E252" s="16"/>
      <c r="F252" s="16"/>
      <c r="G252" s="16"/>
      <c r="H252" s="16"/>
      <c r="I252" s="17"/>
      <c r="J252" s="17"/>
      <c r="K252" s="17">
        <v>53000</v>
      </c>
      <c r="L252" s="17"/>
      <c r="M252" s="17">
        <v>11000</v>
      </c>
      <c r="N252" s="16"/>
      <c r="O252" s="16"/>
    </row>
    <row r="253" spans="1:15">
      <c r="A253" s="13">
        <v>45585</v>
      </c>
      <c r="B253" s="14" t="s">
        <v>17</v>
      </c>
      <c r="C253" s="14" t="s">
        <v>18</v>
      </c>
      <c r="D253" s="15"/>
      <c r="E253" s="16"/>
      <c r="F253" s="16"/>
      <c r="G253" s="16"/>
      <c r="H253" s="16"/>
      <c r="I253" s="17"/>
      <c r="J253" s="17"/>
      <c r="K253" s="17"/>
      <c r="L253" s="17"/>
      <c r="M253" s="17"/>
      <c r="N253" s="16"/>
      <c r="O253" s="16"/>
    </row>
    <row r="254" spans="1:15">
      <c r="A254" s="13">
        <v>45586</v>
      </c>
      <c r="B254" s="14" t="s">
        <v>17</v>
      </c>
      <c r="C254" s="14" t="s">
        <v>18</v>
      </c>
      <c r="D254" s="15" t="s">
        <v>29</v>
      </c>
      <c r="E254" s="16"/>
      <c r="F254" s="16"/>
      <c r="G254" s="16"/>
      <c r="H254" s="16"/>
      <c r="I254" s="17"/>
      <c r="J254" s="17"/>
      <c r="K254" s="17">
        <v>85000</v>
      </c>
      <c r="L254" s="17"/>
      <c r="M254" s="17">
        <v>11000</v>
      </c>
      <c r="N254" s="16"/>
      <c r="O254" s="16"/>
    </row>
    <row r="255" spans="1:15">
      <c r="A255" s="8">
        <v>45593</v>
      </c>
      <c r="B255" s="9"/>
      <c r="C255" s="9"/>
      <c r="D255" s="10"/>
      <c r="E255" s="16"/>
      <c r="F255" s="16"/>
      <c r="G255" s="16"/>
      <c r="H255" s="16"/>
      <c r="I255" s="17">
        <v>1000000</v>
      </c>
      <c r="J255" s="17"/>
      <c r="K255" s="17"/>
      <c r="L255" s="17"/>
      <c r="M255" s="17"/>
      <c r="N255" s="16" t="s">
        <v>117</v>
      </c>
      <c r="O255" s="16" t="s">
        <v>118</v>
      </c>
    </row>
    <row r="256" spans="1:15">
      <c r="A256" s="13">
        <v>45587</v>
      </c>
      <c r="B256" s="14" t="s">
        <v>17</v>
      </c>
      <c r="C256" s="14" t="s">
        <v>18</v>
      </c>
      <c r="D256" s="15" t="s">
        <v>69</v>
      </c>
      <c r="E256" s="16"/>
      <c r="F256" s="16"/>
      <c r="G256" s="16"/>
      <c r="H256" s="16"/>
      <c r="I256" s="17"/>
      <c r="J256" s="17"/>
      <c r="K256" s="17">
        <v>85000</v>
      </c>
      <c r="L256" s="17"/>
      <c r="M256" s="17">
        <v>11000</v>
      </c>
      <c r="N256" s="16"/>
      <c r="O256" s="16"/>
    </row>
    <row r="257" spans="1:15">
      <c r="A257" s="13">
        <v>45588</v>
      </c>
      <c r="B257" s="14" t="s">
        <v>17</v>
      </c>
      <c r="C257" s="14" t="s">
        <v>18</v>
      </c>
      <c r="D257" s="15" t="s">
        <v>40</v>
      </c>
      <c r="E257" s="16"/>
      <c r="F257" s="16"/>
      <c r="G257" s="16"/>
      <c r="H257" s="16"/>
      <c r="I257" s="17"/>
      <c r="J257" s="17"/>
      <c r="K257" s="17">
        <v>82000</v>
      </c>
      <c r="L257" s="17"/>
      <c r="M257" s="17">
        <v>11000</v>
      </c>
      <c r="N257" s="16"/>
      <c r="O257" s="16"/>
    </row>
    <row r="258" spans="1:15">
      <c r="A258" s="13">
        <v>45589</v>
      </c>
      <c r="B258" s="14" t="s">
        <v>17</v>
      </c>
      <c r="C258" s="14" t="s">
        <v>18</v>
      </c>
      <c r="D258" s="15"/>
      <c r="E258" s="16"/>
      <c r="F258" s="16"/>
      <c r="G258" s="16"/>
      <c r="H258" s="16"/>
      <c r="I258" s="17"/>
      <c r="J258" s="17"/>
      <c r="K258" s="17"/>
      <c r="L258" s="17"/>
      <c r="M258" s="17"/>
      <c r="N258" s="16"/>
      <c r="O258" s="16"/>
    </row>
    <row r="259" spans="1:15">
      <c r="A259" s="13">
        <v>45590</v>
      </c>
      <c r="B259" s="14" t="s">
        <v>17</v>
      </c>
      <c r="C259" s="14" t="s">
        <v>18</v>
      </c>
      <c r="D259" s="15" t="s">
        <v>119</v>
      </c>
      <c r="E259" s="16"/>
      <c r="F259" s="16"/>
      <c r="G259" s="16"/>
      <c r="H259" s="16"/>
      <c r="I259" s="17"/>
      <c r="J259" s="17"/>
      <c r="K259" s="17">
        <v>69000</v>
      </c>
      <c r="L259" s="17"/>
      <c r="M259" s="17">
        <v>14000</v>
      </c>
      <c r="N259" s="16"/>
      <c r="O259" s="16"/>
    </row>
    <row r="260" spans="1:15">
      <c r="A260" s="18">
        <v>45591</v>
      </c>
      <c r="B260" s="14" t="s">
        <v>17</v>
      </c>
      <c r="C260" s="14" t="s">
        <v>18</v>
      </c>
      <c r="D260" s="15" t="s">
        <v>112</v>
      </c>
      <c r="E260" s="16"/>
      <c r="F260" s="16"/>
      <c r="G260" s="16"/>
      <c r="H260" s="16"/>
      <c r="I260" s="17"/>
      <c r="J260" s="17"/>
      <c r="K260" s="17">
        <v>85000</v>
      </c>
      <c r="L260" s="17"/>
      <c r="M260" s="17">
        <v>14000</v>
      </c>
      <c r="N260" s="16"/>
      <c r="O260" s="16"/>
    </row>
    <row r="261" spans="1:15">
      <c r="A261" s="13">
        <v>45592</v>
      </c>
      <c r="B261" s="14" t="s">
        <v>17</v>
      </c>
      <c r="C261" s="14" t="s">
        <v>18</v>
      </c>
      <c r="D261" s="15"/>
      <c r="E261" s="16"/>
      <c r="F261" s="16"/>
      <c r="G261" s="16"/>
      <c r="H261" s="16"/>
      <c r="I261" s="17"/>
      <c r="J261" s="17"/>
      <c r="K261" s="17"/>
      <c r="L261" s="17"/>
      <c r="M261" s="17"/>
      <c r="N261" s="16"/>
      <c r="O261" s="16"/>
    </row>
    <row r="262" spans="1:15">
      <c r="A262" s="13">
        <v>45593</v>
      </c>
      <c r="B262" s="14" t="s">
        <v>17</v>
      </c>
      <c r="C262" s="14" t="s">
        <v>18</v>
      </c>
      <c r="D262" s="15" t="s">
        <v>120</v>
      </c>
      <c r="E262" s="16"/>
      <c r="F262" s="16"/>
      <c r="G262" s="16"/>
      <c r="H262" s="16"/>
      <c r="I262" s="17"/>
      <c r="J262" s="17"/>
      <c r="K262" s="17">
        <v>85000</v>
      </c>
      <c r="L262" s="17"/>
      <c r="M262" s="17">
        <v>11000</v>
      </c>
      <c r="N262" s="16"/>
      <c r="O262" s="16"/>
    </row>
    <row r="263" spans="1:15">
      <c r="A263" s="13">
        <v>45594</v>
      </c>
      <c r="B263" s="14" t="s">
        <v>17</v>
      </c>
      <c r="C263" s="14" t="s">
        <v>18</v>
      </c>
      <c r="D263" s="15" t="s">
        <v>86</v>
      </c>
      <c r="E263" s="16"/>
      <c r="F263" s="16"/>
      <c r="G263" s="16"/>
      <c r="H263" s="16"/>
      <c r="I263" s="17"/>
      <c r="J263" s="17"/>
      <c r="K263" s="17">
        <v>69000</v>
      </c>
      <c r="L263" s="17"/>
      <c r="M263" s="17">
        <v>14000</v>
      </c>
      <c r="N263" s="16"/>
      <c r="O263" s="16"/>
    </row>
    <row r="264" spans="1:15">
      <c r="A264" s="13">
        <v>45595</v>
      </c>
      <c r="B264" s="14" t="s">
        <v>17</v>
      </c>
      <c r="C264" s="14" t="s">
        <v>18</v>
      </c>
      <c r="D264" s="15" t="s">
        <v>29</v>
      </c>
      <c r="E264" s="16"/>
      <c r="F264" s="16"/>
      <c r="G264" s="16"/>
      <c r="H264" s="16"/>
      <c r="I264" s="17"/>
      <c r="J264" s="17"/>
      <c r="K264" s="17">
        <v>85000</v>
      </c>
      <c r="L264" s="17"/>
      <c r="M264" s="17">
        <v>14000</v>
      </c>
      <c r="N264" s="16"/>
      <c r="O264" s="16"/>
    </row>
    <row r="265" spans="1:15">
      <c r="A265" s="13">
        <v>45596</v>
      </c>
      <c r="B265" s="14" t="s">
        <v>17</v>
      </c>
      <c r="C265" s="14" t="s">
        <v>18</v>
      </c>
      <c r="D265" s="15" t="s">
        <v>69</v>
      </c>
      <c r="E265" s="16"/>
      <c r="F265" s="16"/>
      <c r="G265" s="16"/>
      <c r="H265" s="16"/>
      <c r="I265" s="17"/>
      <c r="J265" s="17"/>
      <c r="K265" s="17">
        <v>26500</v>
      </c>
      <c r="L265" s="17"/>
      <c r="M265" s="17">
        <v>14000</v>
      </c>
      <c r="N265" s="16"/>
      <c r="O265" s="16"/>
    </row>
    <row r="266" spans="1:15">
      <c r="A266" s="8">
        <v>45603</v>
      </c>
      <c r="B266" s="9"/>
      <c r="C266" s="9"/>
      <c r="D266" s="10"/>
      <c r="E266" s="16"/>
      <c r="F266" s="16"/>
      <c r="G266" s="16"/>
      <c r="H266" s="16"/>
      <c r="I266" s="17">
        <v>1000000</v>
      </c>
      <c r="J266" s="17"/>
      <c r="K266" s="17"/>
      <c r="L266" s="17"/>
      <c r="M266" s="17"/>
      <c r="N266" s="16" t="s">
        <v>121</v>
      </c>
      <c r="O266" s="16" t="s">
        <v>122</v>
      </c>
    </row>
    <row r="267" spans="1:15">
      <c r="A267" s="13">
        <v>45597</v>
      </c>
      <c r="B267" s="14" t="s">
        <v>17</v>
      </c>
      <c r="C267" s="14" t="s">
        <v>18</v>
      </c>
      <c r="D267" s="15" t="s">
        <v>120</v>
      </c>
      <c r="E267" s="16"/>
      <c r="F267" s="16"/>
      <c r="G267" s="16"/>
      <c r="H267" s="16"/>
      <c r="I267" s="17"/>
      <c r="J267" s="17"/>
      <c r="K267" s="17">
        <v>85000</v>
      </c>
      <c r="L267" s="17"/>
      <c r="M267" s="17">
        <v>14000</v>
      </c>
      <c r="N267" s="16"/>
      <c r="O267" s="16"/>
    </row>
    <row r="268" spans="1:15">
      <c r="A268" s="13">
        <v>45598</v>
      </c>
      <c r="B268" s="14" t="s">
        <v>17</v>
      </c>
      <c r="C268" s="14" t="s">
        <v>18</v>
      </c>
      <c r="D268" s="15" t="s">
        <v>68</v>
      </c>
      <c r="E268" s="16"/>
      <c r="F268" s="16"/>
      <c r="G268" s="16"/>
      <c r="H268" s="16"/>
      <c r="I268" s="17"/>
      <c r="J268" s="17"/>
      <c r="K268" s="17">
        <v>42500</v>
      </c>
      <c r="L268" s="17"/>
      <c r="M268" s="17">
        <v>7000</v>
      </c>
      <c r="N268" s="16"/>
      <c r="O268" s="16"/>
    </row>
    <row r="269" spans="1:15">
      <c r="A269" s="13">
        <v>45599</v>
      </c>
      <c r="B269" s="14" t="s">
        <v>17</v>
      </c>
      <c r="C269" s="14" t="s">
        <v>18</v>
      </c>
      <c r="D269" s="15"/>
      <c r="E269" s="16"/>
      <c r="F269" s="16"/>
      <c r="G269" s="16"/>
      <c r="H269" s="16"/>
      <c r="I269" s="17"/>
      <c r="J269" s="17"/>
      <c r="K269" s="17"/>
      <c r="L269" s="17"/>
      <c r="M269" s="17"/>
      <c r="N269" s="16"/>
      <c r="O269" s="16"/>
    </row>
    <row r="270" spans="1:15">
      <c r="A270" s="13">
        <v>45600</v>
      </c>
      <c r="B270" s="14" t="s">
        <v>17</v>
      </c>
      <c r="C270" s="14" t="s">
        <v>18</v>
      </c>
      <c r="D270" s="15" t="s">
        <v>29</v>
      </c>
      <c r="E270" s="16"/>
      <c r="F270" s="16"/>
      <c r="G270" s="16"/>
      <c r="H270" s="16"/>
      <c r="I270" s="17"/>
      <c r="J270" s="17"/>
      <c r="K270" s="17">
        <v>85000</v>
      </c>
      <c r="L270" s="17"/>
      <c r="M270" s="17">
        <v>14000</v>
      </c>
      <c r="N270" s="16"/>
      <c r="O270" s="16"/>
    </row>
    <row r="271" spans="1:15">
      <c r="A271" s="13">
        <v>45601</v>
      </c>
      <c r="B271" s="14" t="s">
        <v>17</v>
      </c>
      <c r="C271" s="14" t="s">
        <v>18</v>
      </c>
      <c r="D271" s="15" t="s">
        <v>123</v>
      </c>
      <c r="E271" s="16"/>
      <c r="F271" s="16"/>
      <c r="G271" s="16"/>
      <c r="H271" s="16"/>
      <c r="I271" s="17"/>
      <c r="J271" s="17"/>
      <c r="K271" s="17">
        <v>74500</v>
      </c>
      <c r="L271" s="17"/>
      <c r="M271" s="17">
        <v>14000</v>
      </c>
      <c r="N271" s="16"/>
      <c r="O271" s="16"/>
    </row>
    <row r="272" spans="1:15">
      <c r="A272" s="13">
        <v>45602</v>
      </c>
      <c r="B272" s="14" t="s">
        <v>17</v>
      </c>
      <c r="C272" s="14" t="s">
        <v>18</v>
      </c>
      <c r="D272" s="15" t="s">
        <v>120</v>
      </c>
      <c r="E272" s="16"/>
      <c r="F272" s="16"/>
      <c r="G272" s="16"/>
      <c r="H272" s="16"/>
      <c r="I272" s="17"/>
      <c r="J272" s="17"/>
      <c r="K272" s="17">
        <v>82000</v>
      </c>
      <c r="L272" s="17"/>
      <c r="M272" s="17">
        <v>14000</v>
      </c>
      <c r="N272" s="16"/>
      <c r="O272" s="16"/>
    </row>
    <row r="273" spans="1:15">
      <c r="A273" s="13">
        <v>45603</v>
      </c>
      <c r="B273" s="14" t="s">
        <v>17</v>
      </c>
      <c r="C273" s="14" t="s">
        <v>18</v>
      </c>
      <c r="D273" s="15" t="s">
        <v>86</v>
      </c>
      <c r="E273" s="16"/>
      <c r="F273" s="16"/>
      <c r="G273" s="16"/>
      <c r="H273" s="16"/>
      <c r="I273" s="17"/>
      <c r="J273" s="17"/>
      <c r="K273" s="17">
        <v>69000</v>
      </c>
      <c r="L273" s="17"/>
      <c r="M273" s="17">
        <v>14000</v>
      </c>
      <c r="N273" s="16"/>
      <c r="O273" s="16"/>
    </row>
    <row r="274" spans="1:15">
      <c r="A274" s="13">
        <v>45604</v>
      </c>
      <c r="B274" s="14" t="s">
        <v>17</v>
      </c>
      <c r="C274" s="14" t="s">
        <v>18</v>
      </c>
      <c r="D274" s="15" t="s">
        <v>29</v>
      </c>
      <c r="E274" s="16"/>
      <c r="F274" s="16"/>
      <c r="G274" s="16"/>
      <c r="H274" s="16"/>
      <c r="I274" s="17"/>
      <c r="J274" s="17"/>
      <c r="K274" s="17">
        <v>85000</v>
      </c>
      <c r="L274" s="17"/>
      <c r="M274" s="17">
        <v>14000</v>
      </c>
      <c r="N274" s="16"/>
      <c r="O274" s="16"/>
    </row>
    <row r="275" spans="1:15">
      <c r="A275" s="13">
        <v>45605</v>
      </c>
      <c r="B275" s="14" t="s">
        <v>17</v>
      </c>
      <c r="C275" s="14" t="s">
        <v>18</v>
      </c>
      <c r="D275" s="15" t="s">
        <v>53</v>
      </c>
      <c r="E275" s="16"/>
      <c r="F275" s="16"/>
      <c r="G275" s="16"/>
      <c r="H275" s="16"/>
      <c r="I275" s="17"/>
      <c r="J275" s="17"/>
      <c r="K275" s="17">
        <v>85000</v>
      </c>
      <c r="L275" s="17"/>
      <c r="M275" s="17">
        <v>14000</v>
      </c>
      <c r="N275" s="16"/>
      <c r="O275" s="16"/>
    </row>
    <row r="276" spans="1:15">
      <c r="A276" s="13">
        <v>45606</v>
      </c>
      <c r="B276" s="14" t="s">
        <v>17</v>
      </c>
      <c r="C276" s="14" t="s">
        <v>18</v>
      </c>
      <c r="D276" s="15"/>
      <c r="E276" s="16"/>
      <c r="F276" s="16"/>
      <c r="G276" s="16"/>
      <c r="H276" s="16"/>
      <c r="I276" s="17"/>
      <c r="J276" s="17"/>
      <c r="K276" s="17"/>
      <c r="L276" s="17"/>
      <c r="M276" s="17"/>
      <c r="N276" s="16"/>
      <c r="O276" s="16"/>
    </row>
    <row r="277" spans="1:15">
      <c r="A277" s="8">
        <v>45610</v>
      </c>
      <c r="B277" s="9"/>
      <c r="C277" s="9"/>
      <c r="D277" s="10"/>
      <c r="E277" s="16"/>
      <c r="F277" s="16"/>
      <c r="G277" s="16"/>
      <c r="H277" s="16"/>
      <c r="I277" s="17">
        <v>1000000</v>
      </c>
      <c r="J277" s="17"/>
      <c r="K277" s="17"/>
      <c r="L277" s="17"/>
      <c r="M277" s="17"/>
      <c r="N277" s="16" t="s">
        <v>124</v>
      </c>
      <c r="O277" s="16" t="s">
        <v>125</v>
      </c>
    </row>
    <row r="278" spans="1:15">
      <c r="A278" s="13">
        <v>45608</v>
      </c>
      <c r="B278" s="14" t="s">
        <v>17</v>
      </c>
      <c r="C278" s="14" t="s">
        <v>18</v>
      </c>
      <c r="D278" s="15" t="s">
        <v>126</v>
      </c>
      <c r="E278" s="16"/>
      <c r="F278" s="16"/>
      <c r="G278" s="16"/>
      <c r="H278" s="16"/>
      <c r="I278" s="17"/>
      <c r="J278" s="17"/>
      <c r="K278" s="17">
        <v>69000</v>
      </c>
      <c r="L278" s="17"/>
      <c r="M278" s="17">
        <v>14000</v>
      </c>
      <c r="N278" s="16"/>
      <c r="O278" s="16"/>
    </row>
    <row r="279" spans="1:15">
      <c r="A279" s="13">
        <v>45609</v>
      </c>
      <c r="B279" s="14" t="s">
        <v>17</v>
      </c>
      <c r="C279" s="14" t="s">
        <v>18</v>
      </c>
      <c r="D279" s="15" t="s">
        <v>127</v>
      </c>
      <c r="E279" s="16"/>
      <c r="F279" s="16"/>
      <c r="G279" s="16"/>
      <c r="H279" s="16"/>
      <c r="I279" s="17"/>
      <c r="J279" s="17"/>
      <c r="K279" s="17">
        <v>42500</v>
      </c>
      <c r="L279" s="17"/>
      <c r="M279" s="17">
        <v>14000</v>
      </c>
      <c r="N279" s="16"/>
      <c r="O279" s="16"/>
    </row>
    <row r="280" spans="1:15">
      <c r="A280" s="13">
        <v>45610</v>
      </c>
      <c r="B280" s="14" t="s">
        <v>17</v>
      </c>
      <c r="C280" s="14" t="s">
        <v>18</v>
      </c>
      <c r="D280" s="15" t="s">
        <v>120</v>
      </c>
      <c r="E280" s="16"/>
      <c r="F280" s="16"/>
      <c r="G280" s="16"/>
      <c r="H280" s="16"/>
      <c r="I280" s="17"/>
      <c r="J280" s="17"/>
      <c r="K280" s="17">
        <v>85000</v>
      </c>
      <c r="L280" s="17"/>
      <c r="M280" s="17">
        <v>14000</v>
      </c>
      <c r="N280" s="16"/>
      <c r="O280" s="16"/>
    </row>
    <row r="281" spans="1:15">
      <c r="A281" s="13">
        <v>45611</v>
      </c>
      <c r="B281" s="14" t="s">
        <v>17</v>
      </c>
      <c r="C281" s="14" t="s">
        <v>18</v>
      </c>
      <c r="D281" s="15" t="s">
        <v>128</v>
      </c>
      <c r="E281" s="16"/>
      <c r="F281" s="16"/>
      <c r="G281" s="16"/>
      <c r="H281" s="16"/>
      <c r="I281" s="17"/>
      <c r="J281" s="17"/>
      <c r="K281" s="17">
        <v>85000</v>
      </c>
      <c r="L281" s="17"/>
      <c r="M281" s="17">
        <v>14000</v>
      </c>
      <c r="N281" s="16"/>
      <c r="O281" s="16"/>
    </row>
    <row r="282" spans="1:15">
      <c r="A282" s="13">
        <v>45612</v>
      </c>
      <c r="B282" s="14" t="s">
        <v>17</v>
      </c>
      <c r="C282" s="14" t="s">
        <v>18</v>
      </c>
      <c r="D282" s="15" t="s">
        <v>120</v>
      </c>
      <c r="E282" s="16"/>
      <c r="F282" s="16"/>
      <c r="G282" s="16"/>
      <c r="H282" s="16"/>
      <c r="I282" s="17"/>
      <c r="J282" s="17"/>
      <c r="K282" s="17">
        <v>66000</v>
      </c>
      <c r="L282" s="17"/>
      <c r="M282" s="17">
        <v>14000</v>
      </c>
      <c r="N282" s="16"/>
      <c r="O282" s="16"/>
    </row>
    <row r="283" spans="1:15">
      <c r="A283" s="13">
        <v>45614</v>
      </c>
      <c r="B283" s="14" t="s">
        <v>17</v>
      </c>
      <c r="C283" s="14" t="s">
        <v>18</v>
      </c>
      <c r="D283" s="15" t="s">
        <v>86</v>
      </c>
      <c r="E283" s="16"/>
      <c r="F283" s="16"/>
      <c r="G283" s="16"/>
      <c r="H283" s="16"/>
      <c r="I283" s="17"/>
      <c r="J283" s="17"/>
      <c r="K283" s="17">
        <v>82000</v>
      </c>
      <c r="L283" s="17"/>
      <c r="M283" s="17">
        <v>14000</v>
      </c>
      <c r="N283" s="16"/>
      <c r="O283" s="16"/>
    </row>
    <row r="284" spans="1:15">
      <c r="A284" s="13">
        <v>45615</v>
      </c>
      <c r="B284" s="14" t="s">
        <v>17</v>
      </c>
      <c r="C284" s="14" t="s">
        <v>18</v>
      </c>
      <c r="D284" s="15" t="s">
        <v>120</v>
      </c>
      <c r="E284" s="16"/>
      <c r="F284" s="16"/>
      <c r="G284" s="16"/>
      <c r="H284" s="16"/>
      <c r="I284" s="17"/>
      <c r="J284" s="17"/>
      <c r="K284" s="17">
        <v>85000</v>
      </c>
      <c r="L284" s="17"/>
      <c r="M284" s="17">
        <v>14000</v>
      </c>
      <c r="N284" s="16"/>
      <c r="O284" s="16"/>
    </row>
    <row r="285" spans="1:15">
      <c r="A285" s="13">
        <v>45616</v>
      </c>
      <c r="B285" s="14" t="s">
        <v>17</v>
      </c>
      <c r="C285" s="14" t="s">
        <v>18</v>
      </c>
      <c r="D285" s="15" t="s">
        <v>129</v>
      </c>
      <c r="E285" s="16"/>
      <c r="F285" s="16"/>
      <c r="G285" s="16"/>
      <c r="H285" s="16"/>
      <c r="I285" s="17"/>
      <c r="J285" s="17"/>
      <c r="K285" s="17">
        <v>42500</v>
      </c>
      <c r="L285" s="17"/>
      <c r="M285" s="17">
        <v>14000</v>
      </c>
      <c r="N285" s="16"/>
      <c r="O285" s="16"/>
    </row>
    <row r="286" spans="1:15">
      <c r="A286" s="13">
        <v>45617</v>
      </c>
      <c r="B286" s="14" t="s">
        <v>17</v>
      </c>
      <c r="C286" s="14" t="s">
        <v>18</v>
      </c>
      <c r="D286" s="15" t="s">
        <v>130</v>
      </c>
      <c r="E286" s="16"/>
      <c r="F286" s="16"/>
      <c r="G286" s="16"/>
      <c r="H286" s="16"/>
      <c r="I286" s="17"/>
      <c r="J286" s="17"/>
      <c r="K286" s="17">
        <v>69000</v>
      </c>
      <c r="L286" s="17"/>
      <c r="M286" s="17">
        <v>14000</v>
      </c>
      <c r="N286" s="16"/>
      <c r="O286" s="16"/>
    </row>
    <row r="287" spans="1:15">
      <c r="A287" s="8">
        <v>45621</v>
      </c>
      <c r="B287" s="9"/>
      <c r="C287" s="9"/>
      <c r="D287" s="10"/>
      <c r="E287" s="16"/>
      <c r="F287" s="16"/>
      <c r="G287" s="16"/>
      <c r="H287" s="16"/>
      <c r="I287" s="17">
        <v>1000000</v>
      </c>
      <c r="J287" s="17"/>
      <c r="K287" s="17"/>
      <c r="L287" s="17"/>
      <c r="M287" s="17"/>
      <c r="N287" s="16" t="s">
        <v>131</v>
      </c>
      <c r="O287" s="16" t="s">
        <v>132</v>
      </c>
    </row>
    <row r="288" spans="1:15">
      <c r="A288" s="13">
        <v>45618</v>
      </c>
      <c r="B288" s="14" t="s">
        <v>17</v>
      </c>
      <c r="C288" s="14" t="s">
        <v>18</v>
      </c>
      <c r="D288" s="15" t="s">
        <v>68</v>
      </c>
      <c r="E288" s="16"/>
      <c r="F288" s="16"/>
      <c r="G288" s="16"/>
      <c r="H288" s="16"/>
      <c r="I288" s="17"/>
      <c r="J288" s="17"/>
      <c r="K288" s="17">
        <v>42500</v>
      </c>
      <c r="L288" s="17"/>
      <c r="M288" s="17">
        <v>7000</v>
      </c>
      <c r="N288" s="16"/>
      <c r="O288" s="16"/>
    </row>
    <row r="289" spans="1:15">
      <c r="A289" s="13">
        <v>45619</v>
      </c>
      <c r="B289" s="14" t="s">
        <v>17</v>
      </c>
      <c r="C289" s="14" t="s">
        <v>18</v>
      </c>
      <c r="D289" s="15" t="s">
        <v>126</v>
      </c>
      <c r="E289" s="16"/>
      <c r="F289" s="16"/>
      <c r="G289" s="16"/>
      <c r="H289" s="16"/>
      <c r="I289" s="17"/>
      <c r="J289" s="17"/>
      <c r="K289" s="17">
        <v>85000</v>
      </c>
      <c r="L289" s="17"/>
      <c r="M289" s="17">
        <v>14000</v>
      </c>
      <c r="N289" s="16"/>
      <c r="O289" s="16"/>
    </row>
    <row r="290" spans="1:15">
      <c r="A290" s="24">
        <v>45620</v>
      </c>
      <c r="B290" s="25" t="s">
        <v>133</v>
      </c>
      <c r="C290" s="25"/>
      <c r="D290" s="26"/>
      <c r="E290" s="16"/>
      <c r="F290" s="16"/>
      <c r="G290" s="16"/>
      <c r="H290" s="16"/>
      <c r="I290" s="17"/>
      <c r="J290" s="17"/>
      <c r="K290" s="17"/>
      <c r="L290" s="17"/>
      <c r="M290" s="17"/>
      <c r="N290" s="16"/>
      <c r="O290" s="16"/>
    </row>
    <row r="291" spans="1:15">
      <c r="A291" s="13">
        <v>45621</v>
      </c>
      <c r="B291" s="14" t="s">
        <v>17</v>
      </c>
      <c r="C291" s="14" t="s">
        <v>18</v>
      </c>
      <c r="D291" s="15" t="s">
        <v>86</v>
      </c>
      <c r="E291" s="16"/>
      <c r="F291" s="16"/>
      <c r="G291" s="16"/>
      <c r="H291" s="16"/>
      <c r="I291" s="17"/>
      <c r="J291" s="17"/>
      <c r="K291" s="17">
        <v>85000</v>
      </c>
      <c r="L291" s="17"/>
      <c r="M291" s="17">
        <v>14000</v>
      </c>
      <c r="N291" s="16"/>
      <c r="O291" s="16"/>
    </row>
    <row r="292" spans="1:15">
      <c r="A292" s="13">
        <v>45622</v>
      </c>
      <c r="B292" s="14" t="s">
        <v>17</v>
      </c>
      <c r="C292" s="14" t="s">
        <v>18</v>
      </c>
      <c r="D292" s="15" t="s">
        <v>134</v>
      </c>
      <c r="E292" s="16"/>
      <c r="F292" s="16"/>
      <c r="G292" s="16"/>
      <c r="H292" s="16"/>
      <c r="I292" s="17"/>
      <c r="J292" s="17"/>
      <c r="K292" s="17">
        <v>16000</v>
      </c>
      <c r="L292" s="17"/>
      <c r="M292" s="17">
        <v>7000</v>
      </c>
      <c r="N292" s="16"/>
      <c r="O292" s="16"/>
    </row>
    <row r="293" spans="1:15">
      <c r="A293" s="24">
        <v>45623</v>
      </c>
      <c r="B293" s="25" t="s">
        <v>135</v>
      </c>
      <c r="C293" s="25"/>
      <c r="D293" s="26"/>
      <c r="E293" s="16"/>
      <c r="F293" s="16"/>
      <c r="G293" s="16"/>
      <c r="H293" s="16"/>
      <c r="I293" s="17"/>
      <c r="J293" s="17"/>
      <c r="K293" s="17"/>
      <c r="L293" s="17"/>
      <c r="M293" s="17"/>
      <c r="N293" s="16"/>
      <c r="O293" s="16"/>
    </row>
    <row r="294" spans="1:15">
      <c r="A294" s="13">
        <v>45624</v>
      </c>
      <c r="B294" s="14" t="s">
        <v>17</v>
      </c>
      <c r="C294" s="14" t="s">
        <v>18</v>
      </c>
      <c r="D294" s="15" t="s">
        <v>126</v>
      </c>
      <c r="E294" s="16"/>
      <c r="F294" s="16"/>
      <c r="G294" s="16"/>
      <c r="H294" s="16"/>
      <c r="I294" s="17"/>
      <c r="J294" s="17"/>
      <c r="K294" s="17">
        <v>85000</v>
      </c>
      <c r="L294" s="17"/>
      <c r="M294" s="17">
        <v>14000</v>
      </c>
      <c r="N294" s="16"/>
      <c r="O294" s="16"/>
    </row>
    <row r="295" spans="1:15">
      <c r="A295" s="13">
        <v>45625</v>
      </c>
      <c r="B295" s="14" t="s">
        <v>17</v>
      </c>
      <c r="C295" s="14" t="s">
        <v>18</v>
      </c>
      <c r="D295" s="15" t="s">
        <v>126</v>
      </c>
      <c r="E295" s="16"/>
      <c r="F295" s="16"/>
      <c r="G295" s="16"/>
      <c r="H295" s="16"/>
      <c r="I295" s="17"/>
      <c r="J295" s="17"/>
      <c r="K295" s="17">
        <v>82000</v>
      </c>
      <c r="L295" s="17"/>
      <c r="M295" s="17">
        <v>11000</v>
      </c>
      <c r="N295" s="16"/>
      <c r="O295" s="16"/>
    </row>
    <row r="296" spans="1:15">
      <c r="A296" s="8">
        <v>45628</v>
      </c>
      <c r="B296" s="9"/>
      <c r="C296" s="9"/>
      <c r="D296" s="10"/>
      <c r="E296" s="16"/>
      <c r="F296" s="16"/>
      <c r="G296" s="16"/>
      <c r="H296" s="16"/>
      <c r="I296" s="17">
        <v>1000000</v>
      </c>
      <c r="J296" s="17"/>
      <c r="K296" s="17"/>
      <c r="L296" s="17"/>
      <c r="M296" s="17"/>
      <c r="N296" s="16" t="s">
        <v>136</v>
      </c>
      <c r="O296" s="16" t="s">
        <v>137</v>
      </c>
    </row>
    <row r="297" spans="1:15">
      <c r="A297" s="13">
        <v>45626</v>
      </c>
      <c r="B297" s="14" t="s">
        <v>17</v>
      </c>
      <c r="C297" s="14" t="s">
        <v>18</v>
      </c>
      <c r="D297" s="15" t="s">
        <v>138</v>
      </c>
      <c r="E297" s="16"/>
      <c r="F297" s="16"/>
      <c r="G297" s="16"/>
      <c r="H297" s="16"/>
      <c r="I297" s="17"/>
      <c r="J297" s="17"/>
      <c r="K297" s="17">
        <v>26500</v>
      </c>
      <c r="L297" s="17"/>
      <c r="M297" s="17">
        <v>7000</v>
      </c>
      <c r="N297" s="16"/>
      <c r="O297" s="16"/>
    </row>
    <row r="298" spans="1:15">
      <c r="A298" s="13">
        <v>45627</v>
      </c>
      <c r="B298" s="27" t="s">
        <v>133</v>
      </c>
      <c r="C298" s="14"/>
      <c r="D298" s="15"/>
      <c r="E298" s="16"/>
      <c r="F298" s="16"/>
      <c r="G298" s="16"/>
      <c r="H298" s="16"/>
      <c r="I298" s="17"/>
      <c r="J298" s="17"/>
      <c r="K298" s="17"/>
      <c r="L298" s="17"/>
      <c r="M298" s="17"/>
      <c r="N298" s="16"/>
      <c r="O298" s="16"/>
    </row>
    <row r="299" spans="1:15">
      <c r="A299" s="13">
        <v>45628</v>
      </c>
      <c r="B299" s="14" t="s">
        <v>17</v>
      </c>
      <c r="C299" s="14" t="s">
        <v>18</v>
      </c>
      <c r="D299" s="15" t="s">
        <v>86</v>
      </c>
      <c r="E299" s="16"/>
      <c r="F299" s="16"/>
      <c r="G299" s="16"/>
      <c r="H299" s="16"/>
      <c r="I299" s="17"/>
      <c r="J299" s="17"/>
      <c r="K299" s="17">
        <v>69000</v>
      </c>
      <c r="L299" s="17"/>
      <c r="M299" s="17">
        <v>14000</v>
      </c>
      <c r="N299" s="16"/>
      <c r="O299" s="16"/>
    </row>
    <row r="300" spans="1:15">
      <c r="A300" s="13">
        <v>45629</v>
      </c>
      <c r="B300" s="14" t="s">
        <v>17</v>
      </c>
      <c r="C300" s="14" t="s">
        <v>18</v>
      </c>
      <c r="D300" s="15" t="s">
        <v>139</v>
      </c>
      <c r="E300" s="16"/>
      <c r="F300" s="16"/>
      <c r="G300" s="16"/>
      <c r="H300" s="16"/>
      <c r="I300" s="17"/>
      <c r="J300" s="17"/>
      <c r="K300" s="17">
        <v>85000</v>
      </c>
      <c r="L300" s="17"/>
      <c r="M300" s="17">
        <v>11000</v>
      </c>
      <c r="N300" s="16"/>
      <c r="O300" s="16"/>
    </row>
    <row r="301" spans="1:15">
      <c r="A301" s="13">
        <v>45630</v>
      </c>
      <c r="B301" s="14" t="s">
        <v>17</v>
      </c>
      <c r="C301" s="14" t="s">
        <v>18</v>
      </c>
      <c r="D301" s="15" t="s">
        <v>120</v>
      </c>
      <c r="E301" s="16"/>
      <c r="F301" s="16"/>
      <c r="G301" s="16"/>
      <c r="H301" s="16"/>
      <c r="I301" s="17"/>
      <c r="J301" s="17"/>
      <c r="K301" s="17">
        <v>85000</v>
      </c>
      <c r="L301" s="17"/>
      <c r="M301" s="17">
        <v>14000</v>
      </c>
      <c r="N301" s="16"/>
      <c r="O301" s="16"/>
    </row>
    <row r="302" spans="1:15">
      <c r="A302" s="13">
        <v>45631</v>
      </c>
      <c r="B302" s="14" t="s">
        <v>17</v>
      </c>
      <c r="C302" s="14" t="s">
        <v>18</v>
      </c>
      <c r="D302" s="15" t="s">
        <v>140</v>
      </c>
      <c r="E302" s="16"/>
      <c r="F302" s="16"/>
      <c r="G302" s="16"/>
      <c r="H302" s="16"/>
      <c r="I302" s="17"/>
      <c r="J302" s="17"/>
      <c r="K302" s="17">
        <v>85000</v>
      </c>
      <c r="L302" s="17"/>
      <c r="M302" s="17">
        <v>14000</v>
      </c>
      <c r="N302" s="16"/>
      <c r="O302" s="16"/>
    </row>
    <row r="303" spans="1:15">
      <c r="A303" s="13">
        <v>45632</v>
      </c>
      <c r="B303" s="14" t="s">
        <v>17</v>
      </c>
      <c r="C303" s="14" t="s">
        <v>18</v>
      </c>
      <c r="D303" s="15" t="s">
        <v>141</v>
      </c>
      <c r="E303" s="16"/>
      <c r="F303" s="16"/>
      <c r="G303" s="16"/>
      <c r="H303" s="16"/>
      <c r="I303" s="17"/>
      <c r="J303" s="17"/>
      <c r="K303" s="17">
        <v>62000</v>
      </c>
      <c r="L303" s="17"/>
      <c r="M303" s="17">
        <v>11000</v>
      </c>
      <c r="N303" s="16"/>
      <c r="O303" s="16"/>
    </row>
    <row r="304" spans="1:15">
      <c r="A304" s="8">
        <v>45637</v>
      </c>
      <c r="B304" s="9"/>
      <c r="C304" s="9"/>
      <c r="D304" s="10"/>
      <c r="E304" s="16"/>
      <c r="F304" s="16"/>
      <c r="G304" s="16"/>
      <c r="H304" s="16"/>
      <c r="I304" s="17">
        <v>1000000</v>
      </c>
      <c r="J304" s="17"/>
      <c r="K304" s="17"/>
      <c r="L304" s="17"/>
      <c r="M304" s="17"/>
      <c r="N304" s="16" t="s">
        <v>137</v>
      </c>
      <c r="O304" s="16" t="s">
        <v>142</v>
      </c>
    </row>
    <row r="305" spans="1:15">
      <c r="A305" s="13">
        <v>45633</v>
      </c>
      <c r="B305" s="14" t="s">
        <v>17</v>
      </c>
      <c r="C305" s="14" t="s">
        <v>18</v>
      </c>
      <c r="D305" s="15" t="s">
        <v>143</v>
      </c>
      <c r="E305" s="16"/>
      <c r="F305" s="16"/>
      <c r="G305" s="16"/>
      <c r="H305" s="16"/>
      <c r="I305" s="17"/>
      <c r="J305" s="17"/>
      <c r="K305" s="17">
        <v>42500</v>
      </c>
      <c r="L305" s="17"/>
      <c r="M305" s="17">
        <v>7000</v>
      </c>
      <c r="N305" s="16"/>
      <c r="O305" s="16"/>
    </row>
    <row r="306" spans="1:15">
      <c r="A306" s="13">
        <v>45634</v>
      </c>
      <c r="B306" s="27" t="s">
        <v>133</v>
      </c>
      <c r="C306" s="14"/>
      <c r="D306" s="15"/>
      <c r="E306" s="16"/>
      <c r="F306" s="16"/>
      <c r="G306" s="16"/>
      <c r="H306" s="16"/>
      <c r="I306" s="17"/>
      <c r="J306" s="17"/>
      <c r="K306" s="17"/>
      <c r="L306" s="17"/>
      <c r="M306" s="17"/>
      <c r="N306" s="16"/>
      <c r="O306" s="16"/>
    </row>
    <row r="307" spans="1:15">
      <c r="A307" s="13">
        <v>45635</v>
      </c>
      <c r="B307" s="14" t="s">
        <v>17</v>
      </c>
      <c r="C307" s="14" t="s">
        <v>18</v>
      </c>
      <c r="D307" s="15" t="s">
        <v>144</v>
      </c>
      <c r="E307" s="16"/>
      <c r="F307" s="16"/>
      <c r="G307" s="16"/>
      <c r="H307" s="16"/>
      <c r="I307" s="17"/>
      <c r="J307" s="17"/>
      <c r="K307" s="17">
        <v>74500</v>
      </c>
      <c r="L307" s="17"/>
      <c r="M307" s="17">
        <v>7000</v>
      </c>
      <c r="N307" s="16"/>
      <c r="O307" s="16"/>
    </row>
    <row r="308" spans="1:15">
      <c r="A308" s="13">
        <v>45636</v>
      </c>
      <c r="B308" s="14" t="s">
        <v>17</v>
      </c>
      <c r="C308" s="14" t="s">
        <v>18</v>
      </c>
      <c r="D308" s="15" t="s">
        <v>143</v>
      </c>
      <c r="E308" s="16"/>
      <c r="F308" s="16"/>
      <c r="G308" s="16"/>
      <c r="H308" s="16"/>
      <c r="I308" s="17"/>
      <c r="J308" s="17"/>
      <c r="K308" s="17">
        <v>62000</v>
      </c>
      <c r="L308" s="17"/>
      <c r="M308" s="17">
        <v>7000</v>
      </c>
      <c r="N308" s="16"/>
      <c r="O308" s="16"/>
    </row>
    <row r="309" spans="1:15">
      <c r="A309" s="13">
        <v>45637</v>
      </c>
      <c r="B309" s="14" t="s">
        <v>17</v>
      </c>
      <c r="C309" s="14" t="s">
        <v>18</v>
      </c>
      <c r="D309" s="15" t="s">
        <v>143</v>
      </c>
      <c r="E309" s="16"/>
      <c r="F309" s="16"/>
      <c r="G309" s="16"/>
      <c r="H309" s="16"/>
      <c r="I309" s="17"/>
      <c r="J309" s="17"/>
      <c r="K309" s="17">
        <v>42500</v>
      </c>
      <c r="L309" s="17"/>
      <c r="M309" s="17">
        <v>7000</v>
      </c>
      <c r="N309" s="16"/>
      <c r="O309" s="16"/>
    </row>
    <row r="310" spans="1:15" ht="12.75">
      <c r="A310" s="13">
        <v>45638</v>
      </c>
      <c r="B310" s="14" t="s">
        <v>17</v>
      </c>
      <c r="C310" s="14" t="s">
        <v>18</v>
      </c>
      <c r="D310" s="15" t="s">
        <v>145</v>
      </c>
      <c r="E310" s="16"/>
      <c r="F310" s="16"/>
      <c r="G310" s="16"/>
      <c r="H310" s="16"/>
      <c r="I310" s="17"/>
      <c r="J310" s="17"/>
      <c r="K310" s="17">
        <v>85000</v>
      </c>
      <c r="L310" s="17"/>
      <c r="M310" s="17">
        <v>14000</v>
      </c>
      <c r="N310" s="16"/>
      <c r="O310" s="16"/>
    </row>
    <row r="311" spans="1:15">
      <c r="A311" s="13">
        <v>45639</v>
      </c>
      <c r="B311" s="14" t="s">
        <v>17</v>
      </c>
      <c r="C311" s="14" t="s">
        <v>18</v>
      </c>
      <c r="D311" s="15" t="s">
        <v>126</v>
      </c>
      <c r="E311" s="16"/>
      <c r="F311" s="16"/>
      <c r="G311" s="16"/>
      <c r="H311" s="16"/>
      <c r="I311" s="17"/>
      <c r="J311" s="17"/>
      <c r="K311" s="17">
        <v>85000</v>
      </c>
      <c r="L311" s="17"/>
      <c r="M311" s="17">
        <v>14000</v>
      </c>
      <c r="N311" s="16"/>
      <c r="O311" s="16"/>
    </row>
    <row r="312" spans="1:15">
      <c r="A312" s="13">
        <v>45640</v>
      </c>
      <c r="B312" s="14" t="s">
        <v>17</v>
      </c>
      <c r="C312" s="14" t="s">
        <v>18</v>
      </c>
      <c r="D312" s="15" t="s">
        <v>126</v>
      </c>
      <c r="E312" s="16"/>
      <c r="F312" s="16"/>
      <c r="G312" s="16"/>
      <c r="H312" s="16"/>
      <c r="I312" s="17"/>
      <c r="J312" s="17"/>
      <c r="K312" s="17">
        <v>85000</v>
      </c>
      <c r="L312" s="17"/>
      <c r="M312" s="17">
        <v>14000</v>
      </c>
      <c r="N312" s="16"/>
      <c r="O312" s="16"/>
    </row>
    <row r="313" spans="1:15">
      <c r="A313" s="13">
        <v>45641</v>
      </c>
      <c r="B313" s="14" t="s">
        <v>17</v>
      </c>
      <c r="C313" s="14" t="s">
        <v>18</v>
      </c>
      <c r="D313" s="15" t="s">
        <v>146</v>
      </c>
      <c r="E313" s="16"/>
      <c r="F313" s="16"/>
      <c r="G313" s="16"/>
      <c r="H313" s="16"/>
      <c r="I313" s="17"/>
      <c r="J313" s="17"/>
      <c r="K313" s="17">
        <v>16000</v>
      </c>
      <c r="L313" s="17"/>
      <c r="M313" s="17">
        <v>2000</v>
      </c>
      <c r="N313" s="16"/>
      <c r="O313" s="16"/>
    </row>
    <row r="314" spans="1:15">
      <c r="A314" s="8">
        <v>45645</v>
      </c>
      <c r="B314" s="9"/>
      <c r="C314" s="9"/>
      <c r="D314" s="10"/>
      <c r="E314" s="16"/>
      <c r="F314" s="16"/>
      <c r="G314" s="16"/>
      <c r="H314" s="16"/>
      <c r="I314" s="17">
        <v>1000000</v>
      </c>
      <c r="J314" s="17"/>
      <c r="K314" s="17"/>
      <c r="L314" s="17"/>
      <c r="M314" s="17"/>
      <c r="N314" s="16" t="s">
        <v>147</v>
      </c>
      <c r="O314" s="16" t="s">
        <v>148</v>
      </c>
    </row>
    <row r="315" spans="1:15">
      <c r="A315" s="13">
        <v>45642</v>
      </c>
      <c r="B315" s="14" t="s">
        <v>17</v>
      </c>
      <c r="C315" s="14" t="s">
        <v>18</v>
      </c>
      <c r="D315" s="15" t="s">
        <v>86</v>
      </c>
      <c r="E315" s="16"/>
      <c r="F315" s="16"/>
      <c r="G315" s="16"/>
      <c r="H315" s="16"/>
      <c r="I315" s="17"/>
      <c r="J315" s="17"/>
      <c r="K315" s="17">
        <v>85000</v>
      </c>
      <c r="L315" s="17"/>
      <c r="M315" s="17">
        <v>11000</v>
      </c>
      <c r="N315" s="16"/>
      <c r="O315" s="16"/>
    </row>
    <row r="316" spans="1:15">
      <c r="A316" s="13">
        <v>45643</v>
      </c>
      <c r="B316" s="14" t="s">
        <v>17</v>
      </c>
      <c r="C316" s="14" t="s">
        <v>18</v>
      </c>
      <c r="D316" s="15" t="s">
        <v>60</v>
      </c>
      <c r="E316" s="16"/>
      <c r="F316" s="16"/>
      <c r="G316" s="16"/>
      <c r="H316" s="16"/>
      <c r="I316" s="17"/>
      <c r="J316" s="17"/>
      <c r="K316" s="17">
        <v>74500</v>
      </c>
      <c r="L316" s="17"/>
      <c r="M316" s="17">
        <v>14000</v>
      </c>
      <c r="N316" s="16"/>
      <c r="O316" s="16"/>
    </row>
    <row r="317" spans="1:15">
      <c r="A317" s="13">
        <v>45644</v>
      </c>
      <c r="B317" s="14" t="s">
        <v>17</v>
      </c>
      <c r="C317" s="14" t="s">
        <v>18</v>
      </c>
      <c r="D317" s="15" t="s">
        <v>140</v>
      </c>
      <c r="E317" s="16"/>
      <c r="F317" s="16"/>
      <c r="G317" s="16"/>
      <c r="H317" s="16"/>
      <c r="I317" s="17"/>
      <c r="J317" s="17"/>
      <c r="K317" s="17">
        <v>69000</v>
      </c>
      <c r="L317" s="17"/>
      <c r="M317" s="17">
        <v>14000</v>
      </c>
      <c r="N317" s="16"/>
      <c r="O317" s="16"/>
    </row>
    <row r="318" spans="1:15">
      <c r="A318" s="13">
        <v>45645</v>
      </c>
      <c r="B318" s="28" t="s">
        <v>149</v>
      </c>
      <c r="C318" s="14"/>
      <c r="D318" s="15"/>
      <c r="E318" s="16"/>
      <c r="F318" s="16"/>
      <c r="G318" s="16"/>
      <c r="H318" s="16"/>
      <c r="I318" s="17"/>
      <c r="J318" s="17"/>
      <c r="K318" s="17"/>
      <c r="L318" s="17"/>
      <c r="M318" s="17"/>
      <c r="N318" s="16"/>
      <c r="O318" s="16"/>
    </row>
    <row r="319" spans="1:15">
      <c r="A319" s="13">
        <v>45646</v>
      </c>
      <c r="B319" s="14" t="s">
        <v>17</v>
      </c>
      <c r="C319" s="14" t="s">
        <v>18</v>
      </c>
      <c r="D319" s="15" t="s">
        <v>150</v>
      </c>
      <c r="E319" s="16"/>
      <c r="F319" s="16"/>
      <c r="G319" s="16"/>
      <c r="H319" s="16"/>
      <c r="I319" s="17"/>
      <c r="J319" s="17"/>
      <c r="K319" s="17">
        <v>85000</v>
      </c>
      <c r="L319" s="17"/>
      <c r="M319" s="17">
        <v>14000</v>
      </c>
      <c r="N319" s="16"/>
      <c r="O319" s="16"/>
    </row>
    <row r="320" spans="1:15">
      <c r="A320" s="13">
        <v>45647</v>
      </c>
      <c r="B320" s="14" t="s">
        <v>17</v>
      </c>
      <c r="C320" s="14" t="s">
        <v>18</v>
      </c>
      <c r="D320" s="15" t="s">
        <v>151</v>
      </c>
      <c r="E320" s="16"/>
      <c r="F320" s="16"/>
      <c r="G320" s="16"/>
      <c r="H320" s="16"/>
      <c r="I320" s="17"/>
      <c r="J320" s="17"/>
      <c r="K320" s="17">
        <v>85000</v>
      </c>
      <c r="L320" s="17"/>
      <c r="M320" s="17">
        <v>14000</v>
      </c>
      <c r="N320" s="16"/>
      <c r="O320" s="16"/>
    </row>
    <row r="321" spans="1:15">
      <c r="A321" s="13">
        <v>45648</v>
      </c>
      <c r="B321" s="14" t="s">
        <v>17</v>
      </c>
      <c r="C321" s="14" t="s">
        <v>18</v>
      </c>
      <c r="D321" s="15" t="s">
        <v>146</v>
      </c>
      <c r="E321" s="16"/>
      <c r="F321" s="16"/>
      <c r="G321" s="16"/>
      <c r="H321" s="16"/>
      <c r="I321" s="17"/>
      <c r="J321" s="17"/>
      <c r="K321" s="17"/>
      <c r="L321" s="17"/>
      <c r="M321" s="17">
        <v>7000</v>
      </c>
      <c r="N321" s="16"/>
      <c r="O321" s="16"/>
    </row>
    <row r="322" spans="1:15">
      <c r="A322" s="13">
        <v>45649</v>
      </c>
      <c r="B322" s="14" t="s">
        <v>17</v>
      </c>
      <c r="C322" s="14" t="s">
        <v>18</v>
      </c>
      <c r="D322" s="15" t="s">
        <v>126</v>
      </c>
      <c r="E322" s="16"/>
      <c r="F322" s="16"/>
      <c r="G322" s="16"/>
      <c r="H322" s="16"/>
      <c r="I322" s="17"/>
      <c r="J322" s="17"/>
      <c r="K322" s="17">
        <v>85000</v>
      </c>
      <c r="L322" s="17"/>
      <c r="M322" s="17">
        <v>14000</v>
      </c>
      <c r="N322" s="16"/>
      <c r="O322" s="16"/>
    </row>
    <row r="323" spans="1:15">
      <c r="A323" s="8">
        <v>45652</v>
      </c>
      <c r="B323" s="9"/>
      <c r="C323" s="9"/>
      <c r="D323" s="10"/>
      <c r="E323" s="16"/>
      <c r="F323" s="16"/>
      <c r="G323" s="16"/>
      <c r="H323" s="16"/>
      <c r="I323" s="17">
        <v>1000000</v>
      </c>
      <c r="J323" s="17"/>
      <c r="K323" s="17"/>
      <c r="L323" s="17"/>
      <c r="M323" s="17"/>
      <c r="N323" s="16" t="s">
        <v>152</v>
      </c>
      <c r="O323" s="16" t="s">
        <v>153</v>
      </c>
    </row>
    <row r="324" spans="1:15">
      <c r="A324" s="13">
        <v>45650</v>
      </c>
      <c r="B324" s="14" t="s">
        <v>17</v>
      </c>
      <c r="C324" s="14" t="s">
        <v>18</v>
      </c>
      <c r="D324" s="15" t="s">
        <v>86</v>
      </c>
      <c r="E324" s="16"/>
      <c r="F324" s="16"/>
      <c r="G324" s="16"/>
      <c r="H324" s="16"/>
      <c r="I324" s="17"/>
      <c r="J324" s="17"/>
      <c r="K324" s="17">
        <v>85000</v>
      </c>
      <c r="L324" s="17"/>
      <c r="M324" s="17">
        <v>11000</v>
      </c>
      <c r="N324" s="16"/>
      <c r="O324" s="16"/>
    </row>
    <row r="325" spans="1:15">
      <c r="A325" s="13">
        <v>45651</v>
      </c>
      <c r="B325" s="27" t="s">
        <v>154</v>
      </c>
      <c r="C325" s="16"/>
      <c r="D325" s="15"/>
      <c r="E325" s="16"/>
      <c r="F325" s="16"/>
      <c r="G325" s="16"/>
      <c r="H325" s="16"/>
      <c r="I325" s="17"/>
      <c r="J325" s="17"/>
      <c r="K325" s="17"/>
      <c r="L325" s="17"/>
      <c r="M325" s="17"/>
      <c r="N325" s="16"/>
      <c r="O325" s="16"/>
    </row>
    <row r="326" spans="1:15">
      <c r="A326" s="13">
        <v>45652</v>
      </c>
      <c r="B326" s="14" t="s">
        <v>17</v>
      </c>
      <c r="C326" s="14" t="s">
        <v>18</v>
      </c>
      <c r="D326" s="15" t="s">
        <v>60</v>
      </c>
      <c r="E326" s="16"/>
      <c r="F326" s="16"/>
      <c r="G326" s="16"/>
      <c r="H326" s="16"/>
      <c r="I326" s="17"/>
      <c r="J326" s="17"/>
      <c r="K326" s="17">
        <v>64500</v>
      </c>
      <c r="L326" s="17"/>
      <c r="M326" s="17">
        <v>14000</v>
      </c>
      <c r="N326" s="16"/>
      <c r="O326" s="16"/>
    </row>
    <row r="327" spans="1:15">
      <c r="A327" s="13">
        <v>45653</v>
      </c>
      <c r="B327" s="14" t="s">
        <v>17</v>
      </c>
      <c r="C327" s="14" t="s">
        <v>18</v>
      </c>
      <c r="D327" s="15" t="s">
        <v>155</v>
      </c>
      <c r="E327" s="16"/>
      <c r="F327" s="16"/>
      <c r="G327" s="16"/>
      <c r="H327" s="16"/>
      <c r="I327" s="17"/>
      <c r="J327" s="17"/>
      <c r="K327" s="17">
        <v>69000</v>
      </c>
      <c r="L327" s="17"/>
      <c r="M327" s="17">
        <v>14000</v>
      </c>
      <c r="N327" s="16"/>
      <c r="O327" s="16"/>
    </row>
    <row r="328" spans="1:15">
      <c r="A328" s="13">
        <v>45654</v>
      </c>
      <c r="B328" s="14" t="s">
        <v>17</v>
      </c>
      <c r="C328" s="14" t="s">
        <v>18</v>
      </c>
      <c r="D328" s="15" t="s">
        <v>156</v>
      </c>
      <c r="E328" s="16"/>
      <c r="F328" s="16"/>
      <c r="G328" s="16"/>
      <c r="H328" s="16"/>
      <c r="I328" s="17"/>
      <c r="J328" s="17"/>
      <c r="K328" s="17">
        <v>85000</v>
      </c>
      <c r="L328" s="17"/>
      <c r="M328" s="17">
        <v>14000</v>
      </c>
      <c r="N328" s="16"/>
      <c r="O328" s="16"/>
    </row>
    <row r="329" spans="1:15">
      <c r="A329" s="13">
        <v>45655</v>
      </c>
      <c r="B329" s="27" t="s">
        <v>133</v>
      </c>
      <c r="C329" s="16"/>
      <c r="D329" s="15"/>
      <c r="E329" s="16"/>
      <c r="F329" s="16"/>
      <c r="G329" s="16"/>
      <c r="H329" s="16"/>
      <c r="I329" s="17"/>
      <c r="J329" s="17"/>
      <c r="K329" s="17"/>
      <c r="L329" s="17"/>
      <c r="M329" s="17"/>
      <c r="N329" s="16"/>
      <c r="O329" s="16"/>
    </row>
    <row r="330" spans="1:15">
      <c r="A330" s="13">
        <v>45656</v>
      </c>
      <c r="B330" s="14" t="s">
        <v>17</v>
      </c>
      <c r="C330" s="14" t="s">
        <v>18</v>
      </c>
      <c r="D330" s="15" t="s">
        <v>86</v>
      </c>
      <c r="E330" s="16"/>
      <c r="F330" s="16"/>
      <c r="G330" s="16"/>
      <c r="H330" s="16"/>
      <c r="I330" s="17"/>
      <c r="J330" s="17"/>
      <c r="K330" s="17">
        <v>85000</v>
      </c>
      <c r="L330" s="17"/>
      <c r="M330" s="17">
        <v>14000</v>
      </c>
      <c r="N330" s="16"/>
      <c r="O330" s="16"/>
    </row>
    <row r="331" spans="1:15">
      <c r="A331" s="13">
        <v>45657</v>
      </c>
      <c r="B331" s="14" t="s">
        <v>17</v>
      </c>
      <c r="C331" s="14" t="s">
        <v>18</v>
      </c>
      <c r="D331" s="15" t="s">
        <v>126</v>
      </c>
      <c r="E331" s="16"/>
      <c r="F331" s="16"/>
      <c r="G331" s="16"/>
      <c r="H331" s="16"/>
      <c r="I331" s="17"/>
      <c r="J331" s="17"/>
      <c r="K331" s="17">
        <v>76000</v>
      </c>
      <c r="L331" s="17"/>
      <c r="M331" s="17">
        <v>11000</v>
      </c>
      <c r="N331" s="16"/>
      <c r="O331" s="16"/>
    </row>
    <row r="332" spans="1:15">
      <c r="A332" s="8">
        <v>45664</v>
      </c>
      <c r="B332" s="9"/>
      <c r="C332" s="9"/>
      <c r="D332" s="10"/>
      <c r="E332" s="16"/>
      <c r="F332" s="16"/>
      <c r="G332" s="16"/>
      <c r="H332" s="16"/>
      <c r="I332" s="17">
        <v>1000000</v>
      </c>
      <c r="J332" s="17"/>
      <c r="K332" s="17"/>
      <c r="L332" s="17"/>
      <c r="M332" s="17"/>
      <c r="N332" s="16" t="s">
        <v>157</v>
      </c>
      <c r="O332" s="16" t="s">
        <v>158</v>
      </c>
    </row>
    <row r="333" spans="1:15">
      <c r="A333" s="13">
        <v>45659</v>
      </c>
      <c r="B333" s="14" t="s">
        <v>17</v>
      </c>
      <c r="C333" s="14" t="s">
        <v>18</v>
      </c>
      <c r="D333" s="15" t="s">
        <v>156</v>
      </c>
      <c r="E333" s="16"/>
      <c r="F333" s="16"/>
      <c r="G333" s="16"/>
      <c r="H333" s="16"/>
      <c r="I333" s="17"/>
      <c r="J333" s="17"/>
      <c r="K333" s="17">
        <v>69000</v>
      </c>
      <c r="L333" s="17"/>
      <c r="M333" s="17">
        <v>14000</v>
      </c>
      <c r="N333" s="16"/>
      <c r="O333" s="16"/>
    </row>
    <row r="334" spans="1:15">
      <c r="A334" s="13">
        <v>45660</v>
      </c>
      <c r="B334" s="14" t="s">
        <v>17</v>
      </c>
      <c r="C334" s="14" t="s">
        <v>18</v>
      </c>
      <c r="D334" s="15" t="s">
        <v>60</v>
      </c>
      <c r="E334" s="16"/>
      <c r="F334" s="16"/>
      <c r="G334" s="16"/>
      <c r="H334" s="16"/>
      <c r="I334" s="17"/>
      <c r="J334" s="17"/>
      <c r="K334" s="17">
        <v>71500</v>
      </c>
      <c r="L334" s="17"/>
      <c r="M334" s="17">
        <v>14000</v>
      </c>
      <c r="N334" s="16"/>
      <c r="O334" s="16"/>
    </row>
    <row r="335" spans="1:15">
      <c r="A335" s="13">
        <v>45661</v>
      </c>
      <c r="B335" s="14" t="s">
        <v>17</v>
      </c>
      <c r="C335" s="14" t="s">
        <v>18</v>
      </c>
      <c r="D335" s="15" t="s">
        <v>68</v>
      </c>
      <c r="E335" s="16"/>
      <c r="F335" s="16"/>
      <c r="G335" s="16"/>
      <c r="H335" s="16"/>
      <c r="I335" s="17"/>
      <c r="J335" s="17"/>
      <c r="K335" s="17">
        <v>42500</v>
      </c>
      <c r="L335" s="17"/>
      <c r="M335" s="17">
        <v>7000</v>
      </c>
      <c r="N335" s="16"/>
      <c r="O335" s="16"/>
    </row>
    <row r="336" spans="1:15">
      <c r="A336" s="13">
        <v>45662</v>
      </c>
      <c r="B336" s="27" t="s">
        <v>133</v>
      </c>
      <c r="C336" s="14"/>
      <c r="D336" s="15"/>
      <c r="E336" s="16"/>
      <c r="F336" s="16"/>
      <c r="G336" s="16"/>
      <c r="H336" s="16"/>
      <c r="I336" s="17"/>
      <c r="J336" s="17"/>
      <c r="K336" s="17"/>
      <c r="L336" s="17"/>
      <c r="M336" s="17"/>
      <c r="N336" s="16"/>
      <c r="O336" s="16"/>
    </row>
    <row r="337" spans="1:15">
      <c r="A337" s="13">
        <v>45663</v>
      </c>
      <c r="B337" s="14" t="s">
        <v>17</v>
      </c>
      <c r="C337" s="14" t="s">
        <v>18</v>
      </c>
      <c r="D337" s="15" t="s">
        <v>126</v>
      </c>
      <c r="E337" s="16"/>
      <c r="F337" s="16"/>
      <c r="G337" s="16"/>
      <c r="H337" s="16"/>
      <c r="I337" s="17"/>
      <c r="J337" s="17"/>
      <c r="K337" s="17">
        <v>69000</v>
      </c>
      <c r="L337" s="17"/>
      <c r="M337" s="17">
        <v>14000</v>
      </c>
      <c r="N337" s="16"/>
      <c r="O337" s="16"/>
    </row>
    <row r="338" spans="1:15">
      <c r="A338" s="13">
        <v>45664</v>
      </c>
      <c r="B338" s="27" t="s">
        <v>159</v>
      </c>
      <c r="C338" s="16"/>
      <c r="D338" s="15"/>
      <c r="E338" s="16"/>
      <c r="F338" s="16"/>
      <c r="G338" s="16"/>
      <c r="H338" s="16"/>
      <c r="I338" s="17"/>
      <c r="J338" s="17"/>
      <c r="K338" s="17"/>
      <c r="L338" s="17"/>
      <c r="M338" s="17"/>
      <c r="N338" s="16"/>
      <c r="O338" s="16"/>
    </row>
    <row r="339" spans="1:15">
      <c r="A339" s="13">
        <v>45665</v>
      </c>
      <c r="B339" s="14" t="s">
        <v>17</v>
      </c>
      <c r="C339" s="14" t="s">
        <v>18</v>
      </c>
      <c r="D339" s="15" t="s">
        <v>156</v>
      </c>
      <c r="E339" s="16"/>
      <c r="F339" s="16"/>
      <c r="G339" s="16"/>
      <c r="H339" s="16"/>
      <c r="I339" s="17"/>
      <c r="J339" s="17"/>
      <c r="K339" s="17">
        <v>85000</v>
      </c>
      <c r="L339" s="17"/>
      <c r="M339" s="17">
        <v>14000</v>
      </c>
      <c r="N339" s="16"/>
      <c r="O339" s="16"/>
    </row>
    <row r="340" spans="1:15">
      <c r="A340" s="13">
        <v>45666</v>
      </c>
      <c r="B340" s="14" t="s">
        <v>17</v>
      </c>
      <c r="C340" s="14" t="s">
        <v>18</v>
      </c>
      <c r="D340" s="15" t="s">
        <v>86</v>
      </c>
      <c r="E340" s="16"/>
      <c r="F340" s="16"/>
      <c r="G340" s="16"/>
      <c r="H340" s="16"/>
      <c r="I340" s="17"/>
      <c r="J340" s="17"/>
      <c r="K340" s="17">
        <v>85000</v>
      </c>
      <c r="L340" s="17"/>
      <c r="M340" s="17">
        <v>14000</v>
      </c>
      <c r="N340" s="16"/>
      <c r="O340" s="16"/>
    </row>
    <row r="341" spans="1:15">
      <c r="A341" s="8">
        <v>45670</v>
      </c>
      <c r="B341" s="9"/>
      <c r="C341" s="9"/>
      <c r="D341" s="10"/>
      <c r="E341" s="16"/>
      <c r="F341" s="16"/>
      <c r="G341" s="16"/>
      <c r="H341" s="16"/>
      <c r="I341" s="17">
        <v>1000000</v>
      </c>
      <c r="J341" s="17"/>
      <c r="K341" s="17"/>
      <c r="L341" s="17"/>
      <c r="M341" s="17"/>
      <c r="N341" s="16" t="s">
        <v>160</v>
      </c>
      <c r="O341" s="16" t="s">
        <v>161</v>
      </c>
    </row>
    <row r="342" spans="1:15">
      <c r="A342" s="13">
        <v>45667</v>
      </c>
      <c r="B342" s="14" t="s">
        <v>17</v>
      </c>
      <c r="C342" s="14" t="s">
        <v>18</v>
      </c>
      <c r="D342" s="15" t="s">
        <v>126</v>
      </c>
      <c r="E342" s="16"/>
      <c r="F342" s="16"/>
      <c r="G342" s="16"/>
      <c r="H342" s="16"/>
      <c r="I342" s="17"/>
      <c r="J342" s="17"/>
      <c r="K342" s="17">
        <v>85000</v>
      </c>
      <c r="L342" s="17"/>
      <c r="M342" s="17">
        <v>14000</v>
      </c>
      <c r="N342" s="16"/>
      <c r="O342" s="16"/>
    </row>
    <row r="343" spans="1:15">
      <c r="A343" s="13">
        <v>45668</v>
      </c>
      <c r="B343" s="14" t="s">
        <v>17</v>
      </c>
      <c r="C343" s="14" t="s">
        <v>18</v>
      </c>
      <c r="D343" s="15" t="s">
        <v>126</v>
      </c>
      <c r="E343" s="16"/>
      <c r="F343" s="16"/>
      <c r="G343" s="16"/>
      <c r="H343" s="16"/>
      <c r="I343" s="17"/>
      <c r="J343" s="17"/>
      <c r="K343" s="17">
        <v>85000</v>
      </c>
      <c r="L343" s="17"/>
      <c r="M343" s="17">
        <v>14000</v>
      </c>
      <c r="N343" s="16"/>
      <c r="O343" s="16"/>
    </row>
    <row r="344" spans="1:15">
      <c r="A344" s="13">
        <v>45669</v>
      </c>
      <c r="B344" s="14" t="s">
        <v>17</v>
      </c>
      <c r="C344" s="14" t="s">
        <v>18</v>
      </c>
      <c r="D344" s="15" t="s">
        <v>162</v>
      </c>
      <c r="E344" s="16"/>
      <c r="F344" s="16"/>
      <c r="G344" s="16"/>
      <c r="H344" s="16"/>
      <c r="I344" s="17"/>
      <c r="J344" s="17"/>
      <c r="K344" s="17">
        <v>16000</v>
      </c>
      <c r="L344" s="17"/>
      <c r="M344" s="17">
        <v>7000</v>
      </c>
      <c r="N344" s="16"/>
      <c r="O344" s="16"/>
    </row>
    <row r="345" spans="1:15">
      <c r="A345" s="13">
        <v>45670</v>
      </c>
      <c r="B345" s="14" t="s">
        <v>17</v>
      </c>
      <c r="C345" s="14" t="s">
        <v>18</v>
      </c>
      <c r="D345" s="15" t="s">
        <v>68</v>
      </c>
      <c r="E345" s="16"/>
      <c r="F345" s="16"/>
      <c r="G345" s="16"/>
      <c r="H345" s="16"/>
      <c r="I345" s="17"/>
      <c r="J345" s="17"/>
      <c r="K345" s="17">
        <v>85000</v>
      </c>
      <c r="L345" s="17"/>
      <c r="M345" s="17">
        <v>14000</v>
      </c>
      <c r="N345" s="16"/>
      <c r="O345" s="16"/>
    </row>
    <row r="346" spans="1:15">
      <c r="A346" s="13">
        <v>45671</v>
      </c>
      <c r="B346" s="14" t="s">
        <v>17</v>
      </c>
      <c r="C346" s="14" t="s">
        <v>18</v>
      </c>
      <c r="D346" s="15" t="s">
        <v>126</v>
      </c>
      <c r="E346" s="16"/>
      <c r="F346" s="16"/>
      <c r="G346" s="16"/>
      <c r="H346" s="16"/>
      <c r="I346" s="17"/>
      <c r="J346" s="17"/>
      <c r="K346" s="17">
        <v>85000</v>
      </c>
      <c r="L346" s="17"/>
      <c r="M346" s="17">
        <v>14000</v>
      </c>
      <c r="N346" s="16"/>
      <c r="O346" s="16"/>
    </row>
    <row r="347" spans="1:15">
      <c r="A347" s="13">
        <v>45672</v>
      </c>
      <c r="B347" s="14" t="s">
        <v>17</v>
      </c>
      <c r="C347" s="14" t="s">
        <v>18</v>
      </c>
      <c r="D347" s="15" t="s">
        <v>163</v>
      </c>
      <c r="E347" s="16"/>
      <c r="F347" s="16"/>
      <c r="G347" s="16"/>
      <c r="H347" s="16"/>
      <c r="I347" s="17"/>
      <c r="J347" s="17"/>
      <c r="K347" s="17">
        <v>69000</v>
      </c>
      <c r="L347" s="17"/>
      <c r="M347" s="17">
        <v>14000</v>
      </c>
      <c r="N347" s="16"/>
      <c r="O347" s="16"/>
    </row>
    <row r="348" spans="1:15">
      <c r="A348" s="13">
        <v>45673</v>
      </c>
      <c r="B348" s="14" t="s">
        <v>17</v>
      </c>
      <c r="C348" s="14" t="s">
        <v>18</v>
      </c>
      <c r="D348" s="15" t="s">
        <v>164</v>
      </c>
      <c r="E348" s="16"/>
      <c r="F348" s="16"/>
      <c r="G348" s="16"/>
      <c r="H348" s="16"/>
      <c r="I348" s="17"/>
      <c r="J348" s="17"/>
      <c r="K348" s="17">
        <v>85000</v>
      </c>
      <c r="L348" s="17"/>
      <c r="M348" s="17">
        <v>14000</v>
      </c>
      <c r="N348" s="16"/>
      <c r="O348" s="16"/>
    </row>
    <row r="349" spans="1:15">
      <c r="A349" s="13">
        <v>45674</v>
      </c>
      <c r="B349" s="14" t="s">
        <v>17</v>
      </c>
      <c r="C349" s="14" t="s">
        <v>18</v>
      </c>
      <c r="D349" s="15" t="s">
        <v>45</v>
      </c>
      <c r="E349" s="16"/>
      <c r="F349" s="16"/>
      <c r="G349" s="16"/>
      <c r="H349" s="16"/>
      <c r="I349" s="17"/>
      <c r="J349" s="17"/>
      <c r="K349" s="17">
        <v>42500</v>
      </c>
      <c r="L349" s="17"/>
      <c r="M349" s="17">
        <v>7000</v>
      </c>
      <c r="N349" s="16"/>
      <c r="O349" s="16"/>
    </row>
    <row r="350" spans="1:15">
      <c r="A350" s="13">
        <v>45675</v>
      </c>
      <c r="B350" s="14" t="s">
        <v>17</v>
      </c>
      <c r="C350" s="14" t="s">
        <v>18</v>
      </c>
      <c r="D350" s="15" t="s">
        <v>165</v>
      </c>
      <c r="E350" s="16"/>
      <c r="F350" s="16"/>
      <c r="G350" s="16"/>
      <c r="H350" s="16"/>
      <c r="I350" s="17"/>
      <c r="J350" s="17"/>
      <c r="K350" s="17">
        <v>85000</v>
      </c>
      <c r="L350" s="17"/>
      <c r="M350" s="17">
        <v>14000</v>
      </c>
      <c r="N350" s="16"/>
      <c r="O350" s="16"/>
    </row>
    <row r="351" spans="1:15">
      <c r="A351" s="13">
        <v>45676</v>
      </c>
      <c r="B351" s="14" t="s">
        <v>17</v>
      </c>
      <c r="C351" s="14" t="s">
        <v>18</v>
      </c>
      <c r="D351" s="15" t="s">
        <v>162</v>
      </c>
      <c r="E351" s="16"/>
      <c r="F351" s="16"/>
      <c r="G351" s="16"/>
      <c r="H351" s="16"/>
      <c r="I351" s="17"/>
      <c r="J351" s="17"/>
      <c r="K351" s="17"/>
      <c r="L351" s="17"/>
      <c r="M351" s="17">
        <v>7000</v>
      </c>
      <c r="N351" s="16"/>
      <c r="O351" s="16"/>
    </row>
    <row r="352" spans="1:15">
      <c r="A352" s="8">
        <v>45679</v>
      </c>
      <c r="B352" s="9"/>
      <c r="C352" s="9"/>
      <c r="D352" s="10"/>
      <c r="E352" s="16"/>
      <c r="F352" s="16"/>
      <c r="G352" s="16"/>
      <c r="H352" s="16"/>
      <c r="I352" s="17">
        <v>1000000</v>
      </c>
      <c r="J352" s="17"/>
      <c r="K352" s="17"/>
      <c r="L352" s="17"/>
      <c r="M352" s="17"/>
      <c r="N352" s="16" t="s">
        <v>166</v>
      </c>
      <c r="O352" s="16" t="s">
        <v>167</v>
      </c>
    </row>
    <row r="353" spans="1:15">
      <c r="A353" s="13">
        <v>45677</v>
      </c>
      <c r="B353" s="14" t="s">
        <v>17</v>
      </c>
      <c r="C353" s="14" t="s">
        <v>18</v>
      </c>
      <c r="D353" s="15" t="s">
        <v>164</v>
      </c>
      <c r="E353" s="16"/>
      <c r="F353" s="16"/>
      <c r="G353" s="16"/>
      <c r="H353" s="16"/>
      <c r="I353" s="17"/>
      <c r="J353" s="17"/>
      <c r="K353" s="17">
        <v>85000</v>
      </c>
      <c r="L353" s="17"/>
      <c r="M353" s="17">
        <v>14000</v>
      </c>
      <c r="N353" s="16"/>
      <c r="O353" s="16"/>
    </row>
    <row r="354" spans="1:15">
      <c r="A354" s="13">
        <v>45678</v>
      </c>
      <c r="B354" s="14" t="s">
        <v>17</v>
      </c>
      <c r="C354" s="14" t="s">
        <v>18</v>
      </c>
      <c r="D354" s="15" t="s">
        <v>45</v>
      </c>
      <c r="E354" s="16"/>
      <c r="F354" s="16"/>
      <c r="G354" s="16"/>
      <c r="H354" s="16"/>
      <c r="I354" s="17"/>
      <c r="J354" s="17"/>
      <c r="K354" s="17">
        <v>39500</v>
      </c>
      <c r="L354" s="17"/>
      <c r="M354" s="17">
        <v>4000</v>
      </c>
      <c r="N354" s="16"/>
      <c r="O354" s="16"/>
    </row>
    <row r="355" spans="1:15">
      <c r="A355" s="13">
        <v>45679</v>
      </c>
      <c r="B355" s="14" t="s">
        <v>17</v>
      </c>
      <c r="C355" s="14" t="s">
        <v>18</v>
      </c>
      <c r="D355" s="15" t="s">
        <v>165</v>
      </c>
      <c r="E355" s="16"/>
      <c r="F355" s="16"/>
      <c r="G355" s="16"/>
      <c r="H355" s="16"/>
      <c r="I355" s="17"/>
      <c r="J355" s="17"/>
      <c r="K355" s="17">
        <v>85000</v>
      </c>
      <c r="L355" s="17"/>
      <c r="M355" s="17">
        <v>14000</v>
      </c>
      <c r="N355" s="16"/>
      <c r="O355" s="16"/>
    </row>
    <row r="356" spans="1:15">
      <c r="A356" s="13">
        <v>45680</v>
      </c>
      <c r="B356" s="14" t="s">
        <v>17</v>
      </c>
      <c r="C356" s="14" t="s">
        <v>18</v>
      </c>
      <c r="D356" s="15" t="s">
        <v>168</v>
      </c>
      <c r="E356" s="16"/>
      <c r="F356" s="16"/>
      <c r="G356" s="16"/>
      <c r="H356" s="16"/>
      <c r="I356" s="17"/>
      <c r="J356" s="17"/>
      <c r="K356" s="17">
        <v>69000</v>
      </c>
      <c r="L356" s="17"/>
      <c r="M356" s="17">
        <v>14000</v>
      </c>
      <c r="N356" s="16"/>
      <c r="O356" s="16"/>
    </row>
    <row r="357" spans="1:15">
      <c r="A357" s="13">
        <v>45681</v>
      </c>
      <c r="B357" s="14" t="s">
        <v>17</v>
      </c>
      <c r="C357" s="14" t="s">
        <v>18</v>
      </c>
      <c r="D357" s="15" t="s">
        <v>126</v>
      </c>
      <c r="E357" s="16"/>
      <c r="F357" s="16"/>
      <c r="G357" s="16"/>
      <c r="H357" s="16"/>
      <c r="I357" s="17"/>
      <c r="J357" s="17"/>
      <c r="K357" s="17">
        <v>85000</v>
      </c>
      <c r="L357" s="17"/>
      <c r="M357" s="17">
        <v>14000</v>
      </c>
      <c r="N357" s="16"/>
      <c r="O357" s="16"/>
    </row>
    <row r="358" spans="1:15">
      <c r="A358" s="13">
        <v>45682</v>
      </c>
      <c r="B358" s="14" t="s">
        <v>17</v>
      </c>
      <c r="C358" s="14" t="s">
        <v>18</v>
      </c>
      <c r="D358" s="15" t="s">
        <v>164</v>
      </c>
      <c r="E358" s="16"/>
      <c r="F358" s="16"/>
      <c r="G358" s="16"/>
      <c r="H358" s="16"/>
      <c r="I358" s="17"/>
      <c r="J358" s="17"/>
      <c r="K358" s="17">
        <v>85000</v>
      </c>
      <c r="L358" s="17"/>
      <c r="M358" s="17">
        <v>14000</v>
      </c>
      <c r="N358" s="16"/>
      <c r="O358" s="16"/>
    </row>
    <row r="359" spans="1:15">
      <c r="A359" s="13">
        <v>45683</v>
      </c>
      <c r="B359" s="14" t="s">
        <v>17</v>
      </c>
      <c r="C359" s="14" t="s">
        <v>18</v>
      </c>
      <c r="D359" s="15" t="s">
        <v>164</v>
      </c>
      <c r="E359" s="16"/>
      <c r="F359" s="16"/>
      <c r="G359" s="16"/>
      <c r="H359" s="16"/>
      <c r="I359" s="17"/>
      <c r="J359" s="17"/>
      <c r="K359" s="17">
        <v>10500</v>
      </c>
      <c r="L359" s="17"/>
      <c r="M359" s="17">
        <v>4000</v>
      </c>
      <c r="N359" s="16"/>
      <c r="O359" s="16"/>
    </row>
    <row r="360" spans="1:15">
      <c r="A360" s="13">
        <v>45684</v>
      </c>
      <c r="B360" s="27" t="s">
        <v>169</v>
      </c>
      <c r="C360" s="14"/>
      <c r="D360" s="15"/>
      <c r="E360" s="16"/>
      <c r="F360" s="16"/>
      <c r="G360" s="16"/>
      <c r="H360" s="16"/>
      <c r="I360" s="17"/>
      <c r="J360" s="17"/>
      <c r="K360" s="17"/>
      <c r="L360" s="17"/>
      <c r="M360" s="17" t="s">
        <v>170</v>
      </c>
      <c r="N360" s="16"/>
      <c r="O360" s="16"/>
    </row>
    <row r="361" spans="1:15">
      <c r="A361" s="13">
        <v>45685</v>
      </c>
      <c r="B361" s="14" t="s">
        <v>17</v>
      </c>
      <c r="C361" s="14" t="s">
        <v>18</v>
      </c>
      <c r="D361" s="15" t="s">
        <v>171</v>
      </c>
      <c r="E361" s="16"/>
      <c r="F361" s="16"/>
      <c r="G361" s="16"/>
      <c r="H361" s="16"/>
      <c r="I361" s="17"/>
      <c r="J361" s="17"/>
      <c r="K361" s="17">
        <v>69000</v>
      </c>
      <c r="L361" s="17"/>
      <c r="M361" s="17">
        <v>14000</v>
      </c>
      <c r="N361" s="16"/>
      <c r="O361" s="16"/>
    </row>
    <row r="362" spans="1:15">
      <c r="A362" s="8">
        <v>45691</v>
      </c>
      <c r="B362" s="9"/>
      <c r="C362" s="9"/>
      <c r="D362" s="10"/>
      <c r="E362" s="16"/>
      <c r="F362" s="16"/>
      <c r="G362" s="16"/>
      <c r="H362" s="16"/>
      <c r="I362" s="17">
        <v>1000000</v>
      </c>
      <c r="J362" s="17"/>
      <c r="K362" s="17"/>
      <c r="L362" s="17"/>
      <c r="M362" s="17"/>
      <c r="N362" s="16" t="s">
        <v>172</v>
      </c>
      <c r="O362" s="16" t="s">
        <v>173</v>
      </c>
    </row>
    <row r="363" spans="1:15">
      <c r="A363" s="13">
        <v>45687</v>
      </c>
      <c r="B363" s="14" t="s">
        <v>17</v>
      </c>
      <c r="C363" s="14" t="s">
        <v>18</v>
      </c>
      <c r="D363" s="15" t="s">
        <v>164</v>
      </c>
      <c r="E363" s="16"/>
      <c r="F363" s="16"/>
      <c r="G363" s="16"/>
      <c r="H363" s="16"/>
      <c r="I363" s="17"/>
      <c r="J363" s="17"/>
      <c r="K363" s="17">
        <v>69000</v>
      </c>
      <c r="L363" s="17"/>
      <c r="M363" s="17">
        <v>14000</v>
      </c>
      <c r="N363" s="16"/>
      <c r="O363" s="16"/>
    </row>
    <row r="364" spans="1:15">
      <c r="A364" s="13">
        <v>45688</v>
      </c>
      <c r="B364" s="14" t="s">
        <v>17</v>
      </c>
      <c r="C364" s="14" t="s">
        <v>18</v>
      </c>
      <c r="D364" s="15" t="s">
        <v>174</v>
      </c>
      <c r="E364" s="16"/>
      <c r="F364" s="16"/>
      <c r="G364" s="16"/>
      <c r="H364" s="16"/>
      <c r="I364" s="17"/>
      <c r="J364" s="17"/>
      <c r="K364" s="17">
        <v>85000</v>
      </c>
      <c r="L364" s="17"/>
      <c r="M364" s="17">
        <v>11000</v>
      </c>
      <c r="N364" s="16"/>
      <c r="O364" s="16"/>
    </row>
    <row r="365" spans="1:15">
      <c r="A365" s="13">
        <v>45689</v>
      </c>
      <c r="B365" s="14" t="s">
        <v>17</v>
      </c>
      <c r="C365" s="14" t="s">
        <v>18</v>
      </c>
      <c r="D365" s="15" t="s">
        <v>164</v>
      </c>
      <c r="E365" s="16"/>
      <c r="F365" s="16"/>
      <c r="G365" s="16"/>
      <c r="H365" s="16"/>
      <c r="I365" s="17"/>
      <c r="J365" s="17"/>
      <c r="K365" s="17">
        <v>85000</v>
      </c>
      <c r="L365" s="17"/>
      <c r="M365" s="17">
        <v>14000</v>
      </c>
      <c r="N365" s="16"/>
      <c r="O365" s="16"/>
    </row>
    <row r="366" spans="1:15">
      <c r="A366" s="13">
        <v>45690</v>
      </c>
      <c r="B366" s="14" t="s">
        <v>17</v>
      </c>
      <c r="C366" s="14" t="s">
        <v>18</v>
      </c>
      <c r="D366" s="15" t="s">
        <v>162</v>
      </c>
      <c r="E366" s="16"/>
      <c r="F366" s="16"/>
      <c r="G366" s="16"/>
      <c r="H366" s="16"/>
      <c r="I366" s="17"/>
      <c r="J366" s="17"/>
      <c r="K366" s="17">
        <v>10000</v>
      </c>
      <c r="L366" s="17"/>
      <c r="M366" s="17">
        <v>14000</v>
      </c>
      <c r="N366" s="16"/>
      <c r="O366" s="16"/>
    </row>
    <row r="367" spans="1:15">
      <c r="A367" s="13">
        <v>45691</v>
      </c>
      <c r="B367" s="14" t="s">
        <v>17</v>
      </c>
      <c r="C367" s="14" t="s">
        <v>18</v>
      </c>
      <c r="D367" s="15" t="s">
        <v>126</v>
      </c>
      <c r="E367" s="16"/>
      <c r="F367" s="16"/>
      <c r="G367" s="16"/>
      <c r="H367" s="16"/>
      <c r="I367" s="17"/>
      <c r="J367" s="17"/>
      <c r="K367" s="17">
        <v>85000</v>
      </c>
      <c r="L367" s="17"/>
      <c r="M367" s="17">
        <v>14000</v>
      </c>
      <c r="N367" s="16"/>
      <c r="O367" s="16"/>
    </row>
    <row r="368" spans="1:15">
      <c r="A368" s="13">
        <v>45692</v>
      </c>
      <c r="B368" s="14" t="s">
        <v>17</v>
      </c>
      <c r="C368" s="14" t="s">
        <v>18</v>
      </c>
      <c r="D368" s="15" t="s">
        <v>126</v>
      </c>
      <c r="E368" s="16"/>
      <c r="F368" s="16"/>
      <c r="G368" s="16"/>
      <c r="H368" s="16"/>
      <c r="I368" s="17"/>
      <c r="J368" s="17"/>
      <c r="K368" s="17">
        <v>82000</v>
      </c>
      <c r="L368" s="17"/>
      <c r="M368" s="17">
        <v>14000</v>
      </c>
      <c r="N368" s="16"/>
      <c r="O368" s="16"/>
    </row>
    <row r="369" spans="1:15">
      <c r="A369" s="13">
        <v>45693</v>
      </c>
      <c r="B369" s="14" t="s">
        <v>17</v>
      </c>
      <c r="C369" s="14" t="s">
        <v>18</v>
      </c>
      <c r="D369" s="15" t="s">
        <v>164</v>
      </c>
      <c r="E369" s="16"/>
      <c r="F369" s="16"/>
      <c r="G369" s="16"/>
      <c r="H369" s="16"/>
      <c r="I369" s="17"/>
      <c r="J369" s="17"/>
      <c r="K369" s="17">
        <v>85000</v>
      </c>
      <c r="L369" s="17"/>
      <c r="M369" s="17">
        <v>14000</v>
      </c>
      <c r="N369" s="16"/>
      <c r="O369" s="16"/>
    </row>
    <row r="370" spans="1:15">
      <c r="A370" s="13">
        <v>45694</v>
      </c>
      <c r="B370" s="14" t="s">
        <v>17</v>
      </c>
      <c r="C370" s="14" t="s">
        <v>18</v>
      </c>
      <c r="D370" s="15" t="s">
        <v>126</v>
      </c>
      <c r="E370" s="16"/>
      <c r="F370" s="16"/>
      <c r="G370" s="16"/>
      <c r="H370" s="16"/>
      <c r="I370" s="17"/>
      <c r="J370" s="17"/>
      <c r="K370" s="17">
        <v>69000</v>
      </c>
      <c r="L370" s="17"/>
      <c r="M370" s="17">
        <v>14000</v>
      </c>
      <c r="N370" s="16"/>
      <c r="O370" s="16"/>
    </row>
    <row r="371" spans="1:15">
      <c r="A371" s="13">
        <v>45695</v>
      </c>
      <c r="B371" s="14" t="s">
        <v>17</v>
      </c>
      <c r="C371" s="14" t="s">
        <v>18</v>
      </c>
      <c r="D371" s="15" t="s">
        <v>175</v>
      </c>
      <c r="E371" s="16"/>
      <c r="F371" s="16"/>
      <c r="G371" s="16"/>
      <c r="H371" s="16"/>
      <c r="I371" s="17"/>
      <c r="J371" s="17"/>
      <c r="K371" s="17">
        <v>85000</v>
      </c>
      <c r="L371" s="17"/>
      <c r="M371" s="17">
        <v>14000</v>
      </c>
      <c r="N371" s="16"/>
      <c r="O371" s="16"/>
    </row>
    <row r="372" spans="1:15">
      <c r="A372" s="8">
        <v>45700</v>
      </c>
      <c r="B372" s="9"/>
      <c r="C372" s="9"/>
      <c r="D372" s="10"/>
      <c r="E372" s="16"/>
      <c r="F372" s="16"/>
      <c r="G372" s="16"/>
      <c r="H372" s="16"/>
      <c r="I372" s="17">
        <v>1000000</v>
      </c>
      <c r="J372" s="17"/>
      <c r="K372" s="17"/>
      <c r="L372" s="17"/>
      <c r="M372" s="17"/>
      <c r="N372" s="16" t="s">
        <v>176</v>
      </c>
      <c r="O372" s="16" t="s">
        <v>177</v>
      </c>
    </row>
    <row r="373" spans="1:15">
      <c r="A373" s="13">
        <v>45696</v>
      </c>
      <c r="B373" s="14" t="s">
        <v>17</v>
      </c>
      <c r="C373" s="14" t="s">
        <v>18</v>
      </c>
      <c r="D373" s="15" t="s">
        <v>178</v>
      </c>
      <c r="E373" s="16"/>
      <c r="F373" s="16"/>
      <c r="G373" s="16"/>
      <c r="H373" s="16"/>
      <c r="I373" s="17"/>
      <c r="J373" s="17"/>
      <c r="K373" s="17">
        <v>85000</v>
      </c>
      <c r="L373" s="17"/>
      <c r="M373" s="17">
        <v>14000</v>
      </c>
      <c r="N373" s="16"/>
      <c r="O373" s="16"/>
    </row>
    <row r="374" spans="1:15">
      <c r="A374" s="13">
        <v>45697</v>
      </c>
      <c r="B374" s="14" t="s">
        <v>17</v>
      </c>
      <c r="C374" s="14" t="s">
        <v>18</v>
      </c>
      <c r="D374" s="15" t="s">
        <v>162</v>
      </c>
      <c r="E374" s="16"/>
      <c r="F374" s="16"/>
      <c r="G374" s="16"/>
      <c r="H374" s="16"/>
      <c r="I374" s="17"/>
      <c r="J374" s="17"/>
      <c r="K374" s="17" t="s">
        <v>179</v>
      </c>
      <c r="L374" s="17"/>
      <c r="M374" s="17">
        <v>12000</v>
      </c>
      <c r="N374" s="16"/>
      <c r="O374" s="16"/>
    </row>
    <row r="375" spans="1:15">
      <c r="A375" s="13">
        <v>45698</v>
      </c>
      <c r="B375" s="14" t="s">
        <v>17</v>
      </c>
      <c r="C375" s="14" t="s">
        <v>18</v>
      </c>
      <c r="D375" s="15" t="s">
        <v>164</v>
      </c>
      <c r="E375" s="16"/>
      <c r="F375" s="16"/>
      <c r="G375" s="16"/>
      <c r="H375" s="16"/>
      <c r="I375" s="17"/>
      <c r="J375" s="17"/>
      <c r="K375" s="17">
        <v>85000</v>
      </c>
      <c r="L375" s="17"/>
      <c r="M375" s="17">
        <v>14000</v>
      </c>
      <c r="N375" s="16"/>
      <c r="O375" s="16"/>
    </row>
    <row r="376" spans="1:15">
      <c r="A376" s="13">
        <v>45699</v>
      </c>
      <c r="B376" s="14" t="s">
        <v>17</v>
      </c>
      <c r="C376" s="14" t="s">
        <v>18</v>
      </c>
      <c r="D376" s="15" t="s">
        <v>126</v>
      </c>
      <c r="E376" s="16"/>
      <c r="F376" s="16"/>
      <c r="G376" s="16"/>
      <c r="H376" s="16"/>
      <c r="I376" s="17"/>
      <c r="J376" s="17"/>
      <c r="K376" s="17">
        <v>85000</v>
      </c>
      <c r="L376" s="17"/>
      <c r="M376" s="17">
        <v>14000</v>
      </c>
      <c r="N376" s="16"/>
      <c r="O376" s="16"/>
    </row>
    <row r="377" spans="1:15">
      <c r="A377" s="13">
        <v>45700</v>
      </c>
      <c r="B377" s="14" t="s">
        <v>17</v>
      </c>
      <c r="C377" s="14" t="s">
        <v>18</v>
      </c>
      <c r="D377" s="15" t="s">
        <v>126</v>
      </c>
      <c r="E377" s="16"/>
      <c r="F377" s="16"/>
      <c r="G377" s="16"/>
      <c r="H377" s="16"/>
      <c r="I377" s="17"/>
      <c r="J377" s="17"/>
      <c r="K377" s="17">
        <v>85000</v>
      </c>
      <c r="L377" s="17"/>
      <c r="M377" s="17">
        <v>14000</v>
      </c>
      <c r="N377" s="16"/>
      <c r="O377" s="16"/>
    </row>
    <row r="378" spans="1:15">
      <c r="A378" s="13">
        <v>45701</v>
      </c>
      <c r="B378" s="14" t="s">
        <v>17</v>
      </c>
      <c r="C378" s="14" t="s">
        <v>18</v>
      </c>
      <c r="D378" s="15" t="s">
        <v>40</v>
      </c>
      <c r="E378" s="16"/>
      <c r="F378" s="16"/>
      <c r="G378" s="16"/>
      <c r="H378" s="16"/>
      <c r="I378" s="17"/>
      <c r="J378" s="17"/>
      <c r="K378" s="17">
        <v>60000</v>
      </c>
      <c r="L378" s="17"/>
      <c r="M378" s="17">
        <v>14000</v>
      </c>
      <c r="N378" s="16"/>
      <c r="O378" s="16"/>
    </row>
    <row r="379" spans="1:15">
      <c r="A379" s="13">
        <v>45702</v>
      </c>
      <c r="B379" s="14" t="s">
        <v>17</v>
      </c>
      <c r="C379" s="14" t="s">
        <v>18</v>
      </c>
      <c r="D379" s="15" t="s">
        <v>164</v>
      </c>
      <c r="E379" s="16"/>
      <c r="F379" s="16"/>
      <c r="G379" s="16"/>
      <c r="H379" s="16"/>
      <c r="I379" s="17"/>
      <c r="J379" s="17"/>
      <c r="K379" s="17">
        <v>79500</v>
      </c>
      <c r="L379" s="17"/>
      <c r="M379" s="17">
        <v>14000</v>
      </c>
      <c r="N379" s="16"/>
      <c r="O379" s="16"/>
    </row>
    <row r="380" spans="1:15">
      <c r="A380" s="8">
        <v>45707</v>
      </c>
      <c r="B380" s="9"/>
      <c r="C380" s="9"/>
      <c r="D380" s="10"/>
      <c r="E380" s="16"/>
      <c r="F380" s="16"/>
      <c r="G380" s="16"/>
      <c r="H380" s="16"/>
      <c r="I380" s="17">
        <v>1000000</v>
      </c>
      <c r="J380" s="17"/>
      <c r="K380" s="17"/>
      <c r="L380" s="17"/>
      <c r="M380" s="17"/>
      <c r="N380" s="16" t="s">
        <v>180</v>
      </c>
      <c r="O380" s="16" t="s">
        <v>181</v>
      </c>
    </row>
    <row r="381" spans="1:15">
      <c r="A381" s="13">
        <v>45703</v>
      </c>
      <c r="B381" s="14" t="s">
        <v>17</v>
      </c>
      <c r="C381" s="14" t="s">
        <v>18</v>
      </c>
      <c r="D381" s="15" t="s">
        <v>126</v>
      </c>
      <c r="E381" s="16"/>
      <c r="F381" s="16"/>
      <c r="G381" s="16"/>
      <c r="H381" s="16"/>
      <c r="I381" s="17"/>
      <c r="J381" s="17"/>
      <c r="K381" s="17">
        <v>85000</v>
      </c>
      <c r="L381" s="17"/>
      <c r="M381" s="17">
        <v>11000</v>
      </c>
      <c r="N381" s="16"/>
      <c r="O381" s="16"/>
    </row>
    <row r="382" spans="1:15">
      <c r="A382" s="13">
        <v>45704</v>
      </c>
      <c r="B382" s="14" t="s">
        <v>17</v>
      </c>
      <c r="C382" s="14" t="s">
        <v>18</v>
      </c>
      <c r="D382" s="15" t="s">
        <v>182</v>
      </c>
      <c r="E382" s="16"/>
      <c r="F382" s="16"/>
      <c r="G382" s="16"/>
      <c r="H382" s="16"/>
      <c r="I382" s="17"/>
      <c r="J382" s="17"/>
      <c r="K382" s="17">
        <v>29000</v>
      </c>
      <c r="L382" s="17"/>
      <c r="M382" s="17">
        <v>7000</v>
      </c>
      <c r="N382" s="16"/>
      <c r="O382" s="16"/>
    </row>
    <row r="383" spans="1:15">
      <c r="A383" s="13">
        <v>45705</v>
      </c>
      <c r="B383" s="14" t="s">
        <v>17</v>
      </c>
      <c r="C383" s="14" t="s">
        <v>18</v>
      </c>
      <c r="D383" s="15" t="s">
        <v>156</v>
      </c>
      <c r="E383" s="16"/>
      <c r="F383" s="16"/>
      <c r="G383" s="16"/>
      <c r="H383" s="16"/>
      <c r="I383" s="17"/>
      <c r="J383" s="17"/>
      <c r="K383" s="17">
        <v>69000</v>
      </c>
      <c r="L383" s="17"/>
      <c r="M383" s="17">
        <v>14000</v>
      </c>
      <c r="N383" s="16"/>
      <c r="O383" s="16"/>
    </row>
    <row r="384" spans="1:15">
      <c r="A384" s="13">
        <v>45706</v>
      </c>
      <c r="B384" s="14" t="s">
        <v>17</v>
      </c>
      <c r="C384" s="14" t="s">
        <v>18</v>
      </c>
      <c r="D384" s="15" t="s">
        <v>126</v>
      </c>
      <c r="E384" s="16"/>
      <c r="F384" s="16"/>
      <c r="G384" s="16"/>
      <c r="H384" s="16"/>
      <c r="I384" s="17"/>
      <c r="J384" s="17"/>
      <c r="K384" s="17">
        <v>85000</v>
      </c>
      <c r="L384" s="17"/>
      <c r="M384" s="17">
        <v>14000</v>
      </c>
      <c r="N384" s="16"/>
      <c r="O384" s="16"/>
    </row>
    <row r="385" spans="1:15">
      <c r="A385" s="13">
        <v>45707</v>
      </c>
      <c r="B385" s="14" t="s">
        <v>17</v>
      </c>
      <c r="C385" s="14" t="s">
        <v>18</v>
      </c>
      <c r="D385" s="15" t="s">
        <v>183</v>
      </c>
      <c r="E385" s="16"/>
      <c r="F385" s="16"/>
      <c r="G385" s="16"/>
      <c r="H385" s="16"/>
      <c r="I385" s="17"/>
      <c r="J385" s="17"/>
      <c r="K385" s="17">
        <v>85000</v>
      </c>
      <c r="L385" s="17"/>
      <c r="M385" s="17">
        <v>14000</v>
      </c>
      <c r="N385" s="16"/>
      <c r="O385" s="16"/>
    </row>
    <row r="386" spans="1:15">
      <c r="A386" s="13">
        <v>45708</v>
      </c>
      <c r="B386" s="14" t="s">
        <v>17</v>
      </c>
      <c r="C386" s="14" t="s">
        <v>18</v>
      </c>
      <c r="D386" s="15" t="s">
        <v>126</v>
      </c>
      <c r="E386" s="16"/>
      <c r="F386" s="16"/>
      <c r="G386" s="16"/>
      <c r="H386" s="16"/>
      <c r="I386" s="17"/>
      <c r="J386" s="17"/>
      <c r="K386" s="17">
        <v>85000</v>
      </c>
      <c r="L386" s="17"/>
      <c r="M386" s="17">
        <v>14000</v>
      </c>
      <c r="N386" s="16"/>
      <c r="O386" s="16"/>
    </row>
    <row r="387" spans="1:15">
      <c r="A387" s="8">
        <v>45714</v>
      </c>
      <c r="B387" s="9"/>
      <c r="C387" s="9"/>
      <c r="D387" s="10"/>
      <c r="E387" s="16"/>
      <c r="F387" s="16"/>
      <c r="G387" s="16"/>
      <c r="H387" s="16"/>
      <c r="I387" s="17">
        <v>1000000</v>
      </c>
      <c r="J387" s="17"/>
      <c r="K387" s="17"/>
      <c r="L387" s="17"/>
      <c r="M387" s="17"/>
      <c r="N387" s="16" t="s">
        <v>184</v>
      </c>
      <c r="O387" s="16" t="s">
        <v>185</v>
      </c>
    </row>
    <row r="388" spans="1:15">
      <c r="A388" s="13">
        <v>45709</v>
      </c>
      <c r="B388" s="14" t="s">
        <v>17</v>
      </c>
      <c r="C388" s="14" t="s">
        <v>18</v>
      </c>
      <c r="D388" s="15" t="s">
        <v>86</v>
      </c>
      <c r="E388" s="16"/>
      <c r="F388" s="16"/>
      <c r="G388" s="16"/>
      <c r="H388" s="16"/>
      <c r="I388" s="17"/>
      <c r="J388" s="17"/>
      <c r="K388" s="17">
        <v>79500</v>
      </c>
      <c r="L388" s="17"/>
      <c r="M388" s="17">
        <v>14000</v>
      </c>
      <c r="N388" s="16"/>
      <c r="O388" s="16"/>
    </row>
    <row r="389" spans="1:15">
      <c r="A389" s="13">
        <v>45710</v>
      </c>
      <c r="B389" s="14" t="s">
        <v>17</v>
      </c>
      <c r="C389" s="14" t="s">
        <v>18</v>
      </c>
      <c r="D389" s="15" t="s">
        <v>126</v>
      </c>
      <c r="E389" s="16"/>
      <c r="F389" s="16"/>
      <c r="G389" s="16"/>
      <c r="H389" s="16"/>
      <c r="I389" s="17"/>
      <c r="J389" s="17"/>
      <c r="K389" s="17">
        <v>85000</v>
      </c>
      <c r="L389" s="17"/>
      <c r="M389" s="17">
        <v>14000</v>
      </c>
      <c r="N389" s="16"/>
      <c r="O389" s="16"/>
    </row>
    <row r="390" spans="1:15">
      <c r="A390" s="13">
        <v>45711</v>
      </c>
      <c r="B390" s="14" t="s">
        <v>17</v>
      </c>
      <c r="C390" s="14" t="s">
        <v>18</v>
      </c>
      <c r="D390" s="15" t="s">
        <v>186</v>
      </c>
      <c r="E390" s="16"/>
      <c r="F390" s="16"/>
      <c r="G390" s="16"/>
      <c r="H390" s="16"/>
      <c r="I390" s="17"/>
      <c r="J390" s="17"/>
      <c r="K390" s="17">
        <v>7000</v>
      </c>
      <c r="L390" s="17"/>
      <c r="M390" s="17">
        <v>14000</v>
      </c>
      <c r="N390" s="16"/>
      <c r="O390" s="16"/>
    </row>
    <row r="391" spans="1:15">
      <c r="A391" s="13">
        <v>45712</v>
      </c>
      <c r="B391" s="27" t="s">
        <v>159</v>
      </c>
      <c r="C391" s="14" t="s">
        <v>18</v>
      </c>
      <c r="D391" s="15"/>
      <c r="E391" s="16"/>
      <c r="F391" s="16"/>
      <c r="G391" s="16"/>
      <c r="H391" s="16"/>
      <c r="I391" s="17"/>
      <c r="J391" s="17"/>
      <c r="K391" s="17"/>
      <c r="L391" s="17"/>
      <c r="M391" s="17"/>
      <c r="N391" s="16"/>
      <c r="O391" s="16"/>
    </row>
    <row r="392" spans="1:15">
      <c r="A392" s="13">
        <v>45713</v>
      </c>
      <c r="B392" s="14" t="s">
        <v>17</v>
      </c>
      <c r="C392" s="14" t="s">
        <v>18</v>
      </c>
      <c r="D392" s="15" t="s">
        <v>126</v>
      </c>
      <c r="E392" s="16"/>
      <c r="F392" s="16"/>
      <c r="G392" s="16"/>
      <c r="H392" s="16"/>
      <c r="I392" s="17"/>
      <c r="J392" s="17"/>
      <c r="K392" s="17">
        <v>69000</v>
      </c>
      <c r="L392" s="17"/>
      <c r="M392" s="17">
        <v>14000</v>
      </c>
      <c r="N392" s="16"/>
      <c r="O392" s="16"/>
    </row>
    <row r="393" spans="1:15">
      <c r="A393" s="13">
        <v>45714</v>
      </c>
      <c r="B393" s="14" t="s">
        <v>17</v>
      </c>
      <c r="C393" s="14" t="s">
        <v>18</v>
      </c>
      <c r="D393" s="15" t="s">
        <v>53</v>
      </c>
      <c r="E393" s="16"/>
      <c r="F393" s="16"/>
      <c r="G393" s="16"/>
      <c r="H393" s="16"/>
      <c r="I393" s="17"/>
      <c r="J393" s="17"/>
      <c r="K393" s="17">
        <v>85000</v>
      </c>
      <c r="L393" s="17"/>
      <c r="M393" s="17">
        <v>14000</v>
      </c>
      <c r="N393" s="16"/>
      <c r="O393" s="16"/>
    </row>
    <row r="394" spans="1:15">
      <c r="A394" s="13">
        <v>45715</v>
      </c>
      <c r="B394" s="14" t="s">
        <v>17</v>
      </c>
      <c r="C394" s="14" t="s">
        <v>18</v>
      </c>
      <c r="D394" s="15" t="s">
        <v>187</v>
      </c>
      <c r="E394" s="16"/>
      <c r="F394" s="16"/>
      <c r="G394" s="16"/>
      <c r="H394" s="16"/>
      <c r="I394" s="17"/>
      <c r="J394" s="17"/>
      <c r="K394" s="17">
        <v>85000</v>
      </c>
      <c r="L394" s="17"/>
      <c r="M394" s="17">
        <v>11000</v>
      </c>
      <c r="N394" s="16"/>
      <c r="O394" s="16"/>
    </row>
    <row r="395" spans="1:15">
      <c r="A395" s="13">
        <v>45716</v>
      </c>
      <c r="B395" s="14" t="s">
        <v>17</v>
      </c>
      <c r="C395" s="14" t="s">
        <v>18</v>
      </c>
      <c r="D395" s="15" t="s">
        <v>86</v>
      </c>
      <c r="E395" s="16"/>
      <c r="F395" s="16"/>
      <c r="G395" s="16"/>
      <c r="H395" s="16"/>
      <c r="I395" s="17"/>
      <c r="J395" s="17"/>
      <c r="K395" s="17">
        <v>85000</v>
      </c>
      <c r="L395" s="17"/>
      <c r="M395" s="17">
        <v>14000</v>
      </c>
      <c r="N395" s="16"/>
      <c r="O395" s="16"/>
    </row>
    <row r="396" spans="1:15">
      <c r="A396" s="13">
        <v>45717</v>
      </c>
      <c r="B396" s="14" t="s">
        <v>17</v>
      </c>
      <c r="C396" s="14" t="s">
        <v>18</v>
      </c>
      <c r="D396" s="15" t="s">
        <v>68</v>
      </c>
      <c r="E396" s="16"/>
      <c r="F396" s="16"/>
      <c r="G396" s="16"/>
      <c r="H396" s="16"/>
      <c r="I396" s="17"/>
      <c r="J396" s="17"/>
      <c r="K396" s="17">
        <v>58500</v>
      </c>
      <c r="L396" s="17"/>
      <c r="M396" s="17">
        <v>7000</v>
      </c>
      <c r="N396" s="16"/>
      <c r="O396" s="16"/>
    </row>
    <row r="397" spans="1:15">
      <c r="A397" s="13">
        <v>45718</v>
      </c>
      <c r="B397" s="14" t="s">
        <v>17</v>
      </c>
      <c r="C397" s="14" t="s">
        <v>18</v>
      </c>
      <c r="D397" s="15" t="s">
        <v>162</v>
      </c>
      <c r="E397" s="16"/>
      <c r="F397" s="16"/>
      <c r="G397" s="16"/>
      <c r="H397" s="16"/>
      <c r="I397" s="17"/>
      <c r="J397" s="17"/>
      <c r="K397" s="17">
        <v>16000</v>
      </c>
      <c r="L397" s="17"/>
      <c r="M397" s="17">
        <v>14000</v>
      </c>
      <c r="N397" s="16"/>
      <c r="O397" s="16"/>
    </row>
    <row r="398" spans="1:15">
      <c r="A398" s="8">
        <v>45721</v>
      </c>
      <c r="B398" s="9"/>
      <c r="C398" s="9"/>
      <c r="D398" s="10"/>
      <c r="E398" s="16"/>
      <c r="F398" s="16"/>
      <c r="G398" s="16"/>
      <c r="H398" s="16"/>
      <c r="I398" s="17">
        <v>1000000</v>
      </c>
      <c r="J398" s="17"/>
      <c r="K398" s="17"/>
      <c r="L398" s="17"/>
      <c r="M398" s="17"/>
      <c r="N398" s="16" t="s">
        <v>188</v>
      </c>
      <c r="O398" s="16" t="s">
        <v>189</v>
      </c>
    </row>
    <row r="399" spans="1:15">
      <c r="A399" s="13">
        <v>45719</v>
      </c>
      <c r="B399" s="14" t="s">
        <v>17</v>
      </c>
      <c r="C399" s="14" t="s">
        <v>18</v>
      </c>
      <c r="D399" s="15" t="s">
        <v>126</v>
      </c>
      <c r="E399" s="16"/>
      <c r="F399" s="16"/>
      <c r="G399" s="16"/>
      <c r="H399" s="16"/>
      <c r="I399" s="17"/>
      <c r="J399" s="17"/>
      <c r="K399" s="17">
        <v>85000</v>
      </c>
      <c r="L399" s="17"/>
      <c r="M399" s="17">
        <v>14000</v>
      </c>
      <c r="N399" s="16"/>
      <c r="O399" s="16"/>
    </row>
    <row r="400" spans="1:15">
      <c r="A400" s="13">
        <v>45720</v>
      </c>
      <c r="B400" s="14" t="s">
        <v>17</v>
      </c>
      <c r="C400" s="14" t="s">
        <v>18</v>
      </c>
      <c r="D400" s="15" t="s">
        <v>126</v>
      </c>
      <c r="E400" s="16"/>
      <c r="F400" s="16"/>
      <c r="G400" s="16"/>
      <c r="H400" s="16"/>
      <c r="I400" s="17"/>
      <c r="J400" s="17"/>
      <c r="K400" s="17">
        <v>85000</v>
      </c>
      <c r="L400" s="17"/>
      <c r="M400" s="17">
        <v>14000</v>
      </c>
      <c r="N400" s="16"/>
      <c r="O400" s="16"/>
    </row>
    <row r="401" spans="1:15">
      <c r="A401" s="13">
        <v>45721</v>
      </c>
      <c r="B401" s="27" t="s">
        <v>159</v>
      </c>
      <c r="C401" s="14" t="s">
        <v>18</v>
      </c>
      <c r="D401" s="15" t="s">
        <v>186</v>
      </c>
      <c r="E401" s="16"/>
      <c r="F401" s="16"/>
      <c r="G401" s="16"/>
      <c r="H401" s="16"/>
      <c r="I401" s="17"/>
      <c r="J401" s="17"/>
      <c r="K401" s="17">
        <v>7000</v>
      </c>
      <c r="L401" s="17"/>
      <c r="M401" s="17">
        <v>14000</v>
      </c>
      <c r="N401" s="16"/>
      <c r="O401" s="16"/>
    </row>
    <row r="402" spans="1:15">
      <c r="A402" s="13">
        <v>45722</v>
      </c>
      <c r="B402" s="14" t="s">
        <v>17</v>
      </c>
      <c r="C402" s="14" t="s">
        <v>18</v>
      </c>
      <c r="D402" s="15" t="s">
        <v>126</v>
      </c>
      <c r="E402" s="16"/>
      <c r="F402" s="16"/>
      <c r="G402" s="16"/>
      <c r="H402" s="16"/>
      <c r="I402" s="17"/>
      <c r="J402" s="17"/>
      <c r="K402" s="17">
        <v>69000</v>
      </c>
      <c r="L402" s="17"/>
      <c r="M402" s="17">
        <v>14000</v>
      </c>
      <c r="N402" s="16"/>
      <c r="O402" s="16"/>
    </row>
    <row r="403" spans="1:15">
      <c r="A403" s="13">
        <v>45723</v>
      </c>
      <c r="B403" s="14" t="s">
        <v>17</v>
      </c>
      <c r="C403" s="14" t="s">
        <v>18</v>
      </c>
      <c r="D403" s="15" t="s">
        <v>68</v>
      </c>
      <c r="E403" s="16"/>
      <c r="F403" s="16"/>
      <c r="G403" s="16"/>
      <c r="H403" s="16"/>
      <c r="I403" s="17"/>
      <c r="J403" s="17"/>
      <c r="K403" s="17">
        <v>42500</v>
      </c>
      <c r="L403" s="17"/>
      <c r="M403" s="17">
        <v>7000</v>
      </c>
      <c r="N403" s="16"/>
      <c r="O403" s="16"/>
    </row>
    <row r="404" spans="1:15">
      <c r="A404" s="13">
        <v>45724</v>
      </c>
      <c r="B404" s="14" t="s">
        <v>17</v>
      </c>
      <c r="C404" s="14" t="s">
        <v>18</v>
      </c>
      <c r="D404" s="15" t="s">
        <v>53</v>
      </c>
      <c r="E404" s="16"/>
      <c r="F404" s="16"/>
      <c r="G404" s="16"/>
      <c r="H404" s="16"/>
      <c r="I404" s="17"/>
      <c r="J404" s="17"/>
      <c r="K404" s="17">
        <v>85000</v>
      </c>
      <c r="L404" s="17"/>
      <c r="M404" s="17">
        <v>14000</v>
      </c>
      <c r="N404" s="16"/>
      <c r="O404" s="16"/>
    </row>
    <row r="405" spans="1:15">
      <c r="A405" s="13">
        <v>45725</v>
      </c>
      <c r="B405" s="14" t="s">
        <v>17</v>
      </c>
      <c r="C405" s="14" t="s">
        <v>18</v>
      </c>
      <c r="D405" s="15" t="s">
        <v>162</v>
      </c>
      <c r="E405" s="16"/>
      <c r="F405" s="16"/>
      <c r="G405" s="16"/>
      <c r="H405" s="16"/>
      <c r="I405" s="17"/>
      <c r="J405" s="17"/>
      <c r="K405" s="17"/>
      <c r="L405" s="17"/>
      <c r="M405" s="17">
        <v>7000</v>
      </c>
      <c r="N405" s="16"/>
      <c r="O405" s="16"/>
    </row>
    <row r="406" spans="1:15">
      <c r="A406" s="13">
        <v>45726</v>
      </c>
      <c r="B406" s="14" t="s">
        <v>17</v>
      </c>
      <c r="C406" s="14" t="s">
        <v>18</v>
      </c>
      <c r="D406" s="15" t="s">
        <v>86</v>
      </c>
      <c r="E406" s="16"/>
      <c r="F406" s="16"/>
      <c r="G406" s="16"/>
      <c r="H406" s="16"/>
      <c r="I406" s="17"/>
      <c r="J406" s="17"/>
      <c r="K406" s="17">
        <v>69000</v>
      </c>
      <c r="L406" s="17"/>
      <c r="M406" s="17">
        <v>14000</v>
      </c>
      <c r="N406" s="16"/>
      <c r="O406" s="16"/>
    </row>
    <row r="407" spans="1:15">
      <c r="A407" s="8">
        <v>45730</v>
      </c>
      <c r="B407" s="9"/>
      <c r="C407" s="9"/>
      <c r="D407" s="10"/>
      <c r="E407" s="16"/>
      <c r="F407" s="16"/>
      <c r="G407" s="16"/>
      <c r="H407" s="16"/>
      <c r="I407" s="17">
        <v>1000000</v>
      </c>
      <c r="J407" s="17"/>
      <c r="K407" s="17"/>
      <c r="L407" s="17"/>
      <c r="M407" s="17"/>
      <c r="N407" s="16" t="s">
        <v>190</v>
      </c>
      <c r="O407" s="16" t="s">
        <v>191</v>
      </c>
    </row>
    <row r="408" spans="1:15">
      <c r="A408" s="13">
        <v>45727</v>
      </c>
      <c r="B408" s="14" t="s">
        <v>17</v>
      </c>
      <c r="C408" s="14" t="s">
        <v>18</v>
      </c>
      <c r="D408" s="15" t="s">
        <v>192</v>
      </c>
      <c r="E408" s="16"/>
      <c r="F408" s="16"/>
      <c r="G408" s="16"/>
      <c r="H408" s="16"/>
      <c r="I408" s="17"/>
      <c r="J408" s="17"/>
      <c r="K408" s="17">
        <v>85000</v>
      </c>
      <c r="L408" s="17"/>
      <c r="M408" s="17">
        <v>14000</v>
      </c>
      <c r="N408" s="16"/>
      <c r="O408" s="16"/>
    </row>
    <row r="409" spans="1:15">
      <c r="A409" s="13">
        <v>45728</v>
      </c>
      <c r="B409" s="14" t="s">
        <v>17</v>
      </c>
      <c r="C409" s="14" t="s">
        <v>18</v>
      </c>
      <c r="D409" s="15" t="s">
        <v>126</v>
      </c>
      <c r="E409" s="16"/>
      <c r="F409" s="16"/>
      <c r="G409" s="16"/>
      <c r="H409" s="16"/>
      <c r="I409" s="17"/>
      <c r="J409" s="17"/>
      <c r="K409" s="17">
        <v>82000</v>
      </c>
      <c r="L409" s="17"/>
      <c r="M409" s="17">
        <v>14000</v>
      </c>
      <c r="N409" s="16"/>
      <c r="O409" s="16"/>
    </row>
    <row r="410" spans="1:15">
      <c r="A410" s="13">
        <v>45729</v>
      </c>
      <c r="B410" s="14" t="s">
        <v>17</v>
      </c>
      <c r="C410" s="14" t="s">
        <v>18</v>
      </c>
      <c r="D410" s="15" t="s">
        <v>86</v>
      </c>
      <c r="E410" s="16"/>
      <c r="F410" s="16"/>
      <c r="G410" s="16"/>
      <c r="H410" s="16"/>
      <c r="I410" s="17"/>
      <c r="J410" s="17"/>
      <c r="K410" s="17">
        <v>85000</v>
      </c>
      <c r="L410" s="17"/>
      <c r="M410" s="17">
        <v>14000</v>
      </c>
      <c r="N410" s="16"/>
      <c r="O410" s="16"/>
    </row>
    <row r="411" spans="1:15">
      <c r="A411" s="13">
        <v>45730</v>
      </c>
      <c r="B411" s="14" t="s">
        <v>17</v>
      </c>
      <c r="C411" s="14" t="s">
        <v>18</v>
      </c>
      <c r="D411" s="15" t="s">
        <v>126</v>
      </c>
      <c r="E411" s="16"/>
      <c r="F411" s="16"/>
      <c r="G411" s="16"/>
      <c r="H411" s="16"/>
      <c r="I411" s="17"/>
      <c r="J411" s="17"/>
      <c r="K411" s="17">
        <v>53000</v>
      </c>
      <c r="L411" s="17"/>
      <c r="M411" s="17">
        <v>14000</v>
      </c>
      <c r="N411" s="16"/>
      <c r="O411" s="16"/>
    </row>
    <row r="412" spans="1:15">
      <c r="A412" s="13">
        <v>45731</v>
      </c>
      <c r="B412" s="14" t="s">
        <v>17</v>
      </c>
      <c r="C412" s="14" t="s">
        <v>18</v>
      </c>
      <c r="D412" s="15" t="s">
        <v>193</v>
      </c>
      <c r="E412" s="16"/>
      <c r="F412" s="16"/>
      <c r="G412" s="16"/>
      <c r="H412" s="16"/>
      <c r="I412" s="17"/>
      <c r="J412" s="17"/>
      <c r="K412" s="17">
        <v>85000</v>
      </c>
      <c r="L412" s="17"/>
      <c r="M412" s="17">
        <v>14000</v>
      </c>
      <c r="N412" s="16"/>
      <c r="O412" s="16"/>
    </row>
    <row r="413" spans="1:15">
      <c r="A413" s="13">
        <v>45732</v>
      </c>
      <c r="B413" s="14" t="s">
        <v>17</v>
      </c>
      <c r="C413" s="14" t="s">
        <v>18</v>
      </c>
      <c r="D413" s="15" t="s">
        <v>162</v>
      </c>
      <c r="E413" s="16"/>
      <c r="F413" s="16"/>
      <c r="G413" s="16"/>
      <c r="H413" s="16"/>
      <c r="I413" s="17"/>
      <c r="J413" s="17"/>
      <c r="K413" s="17"/>
      <c r="L413" s="17"/>
      <c r="M413" s="17">
        <v>7000</v>
      </c>
      <c r="N413" s="16"/>
      <c r="O413" s="16"/>
    </row>
    <row r="414" spans="1:15">
      <c r="A414" s="13">
        <v>45733</v>
      </c>
      <c r="B414" s="14" t="s">
        <v>17</v>
      </c>
      <c r="C414" s="14" t="s">
        <v>18</v>
      </c>
      <c r="D414" s="15" t="s">
        <v>162</v>
      </c>
      <c r="E414" s="16"/>
      <c r="F414" s="16"/>
      <c r="G414" s="16"/>
      <c r="H414" s="16"/>
      <c r="I414" s="17"/>
      <c r="J414" s="17"/>
      <c r="K414" s="17">
        <v>85000</v>
      </c>
      <c r="L414" s="17"/>
      <c r="M414" s="17">
        <v>14000</v>
      </c>
      <c r="N414" s="16"/>
      <c r="O414" s="16"/>
    </row>
    <row r="415" spans="1:15">
      <c r="A415" s="13">
        <v>45734</v>
      </c>
      <c r="B415" s="14" t="s">
        <v>17</v>
      </c>
      <c r="C415" s="14" t="s">
        <v>18</v>
      </c>
      <c r="D415" s="15" t="s">
        <v>86</v>
      </c>
      <c r="E415" s="16"/>
      <c r="F415" s="16"/>
      <c r="G415" s="16"/>
      <c r="H415" s="16"/>
      <c r="I415" s="17"/>
      <c r="J415" s="17"/>
      <c r="K415" s="17">
        <v>69000</v>
      </c>
      <c r="L415" s="17"/>
      <c r="M415" s="17">
        <v>14000</v>
      </c>
      <c r="N415" s="16"/>
      <c r="O415" s="16"/>
    </row>
    <row r="416" spans="1:15">
      <c r="A416" s="13">
        <v>45735</v>
      </c>
      <c r="B416" s="14" t="s">
        <v>17</v>
      </c>
      <c r="C416" s="14" t="s">
        <v>18</v>
      </c>
      <c r="D416" s="15" t="s">
        <v>126</v>
      </c>
      <c r="E416" s="16"/>
      <c r="F416" s="16"/>
      <c r="G416" s="16"/>
      <c r="H416" s="16"/>
      <c r="I416" s="17"/>
      <c r="J416" s="17"/>
      <c r="K416" s="17">
        <v>85000</v>
      </c>
      <c r="L416" s="17"/>
      <c r="M416" s="17">
        <v>14000</v>
      </c>
      <c r="N416" s="16"/>
      <c r="O416" s="16"/>
    </row>
    <row r="417" spans="1:15">
      <c r="A417" s="8">
        <v>45737</v>
      </c>
      <c r="B417" s="9"/>
      <c r="C417" s="9"/>
      <c r="D417" s="10"/>
      <c r="E417" s="16"/>
      <c r="F417" s="16"/>
      <c r="G417" s="16"/>
      <c r="H417" s="16"/>
      <c r="I417" s="17">
        <v>1000000</v>
      </c>
      <c r="J417" s="17"/>
      <c r="K417" s="17"/>
      <c r="L417" s="17"/>
      <c r="M417" s="17"/>
      <c r="N417" s="16" t="s">
        <v>194</v>
      </c>
      <c r="O417" s="16" t="s">
        <v>195</v>
      </c>
    </row>
    <row r="418" spans="1:15">
      <c r="A418" s="13">
        <v>45736</v>
      </c>
      <c r="B418" s="14" t="s">
        <v>17</v>
      </c>
      <c r="C418" s="14" t="s">
        <v>18</v>
      </c>
      <c r="D418" s="15" t="s">
        <v>126</v>
      </c>
      <c r="E418" s="16"/>
      <c r="F418" s="16"/>
      <c r="G418" s="16"/>
      <c r="H418" s="16"/>
      <c r="I418" s="17"/>
      <c r="J418" s="17"/>
      <c r="K418" s="17">
        <v>85000</v>
      </c>
      <c r="L418" s="17"/>
      <c r="M418" s="17">
        <v>14000</v>
      </c>
      <c r="N418" s="16"/>
      <c r="O418" s="16"/>
    </row>
    <row r="419" spans="1:15">
      <c r="A419" s="13">
        <v>45737</v>
      </c>
      <c r="B419" s="14" t="s">
        <v>17</v>
      </c>
      <c r="C419" s="14" t="s">
        <v>18</v>
      </c>
      <c r="D419" s="15" t="s">
        <v>196</v>
      </c>
      <c r="E419" s="16"/>
      <c r="F419" s="16"/>
      <c r="G419" s="16"/>
      <c r="H419" s="16"/>
      <c r="I419" s="17"/>
      <c r="J419" s="17"/>
      <c r="K419" s="17">
        <v>85000</v>
      </c>
      <c r="L419" s="17"/>
      <c r="M419" s="17">
        <v>14000</v>
      </c>
      <c r="N419" s="16"/>
      <c r="O419" s="16"/>
    </row>
    <row r="420" spans="1:15">
      <c r="A420" s="13">
        <v>45738</v>
      </c>
      <c r="B420" s="14" t="s">
        <v>17</v>
      </c>
      <c r="C420" s="14" t="s">
        <v>18</v>
      </c>
      <c r="D420" s="15" t="s">
        <v>126</v>
      </c>
      <c r="E420" s="16"/>
      <c r="F420" s="16"/>
      <c r="G420" s="16"/>
      <c r="H420" s="16"/>
      <c r="I420" s="17"/>
      <c r="J420" s="17"/>
      <c r="K420" s="17">
        <v>69000</v>
      </c>
      <c r="L420" s="17"/>
      <c r="M420" s="17">
        <v>14000</v>
      </c>
      <c r="N420" s="16"/>
      <c r="O420" s="16"/>
    </row>
    <row r="421" spans="1:15">
      <c r="A421" s="13">
        <v>45739</v>
      </c>
      <c r="B421" s="14" t="s">
        <v>17</v>
      </c>
      <c r="C421" s="14" t="s">
        <v>18</v>
      </c>
      <c r="D421" s="15" t="s">
        <v>162</v>
      </c>
      <c r="E421" s="16"/>
      <c r="F421" s="16"/>
      <c r="G421" s="16"/>
      <c r="H421" s="16"/>
      <c r="I421" s="17"/>
      <c r="J421" s="17"/>
      <c r="K421" s="17"/>
      <c r="L421" s="17"/>
      <c r="M421" s="17">
        <v>12000</v>
      </c>
      <c r="N421" s="16"/>
      <c r="O421" s="16"/>
    </row>
    <row r="422" spans="1:15">
      <c r="A422" s="13">
        <v>45740</v>
      </c>
      <c r="B422" s="14" t="s">
        <v>17</v>
      </c>
      <c r="C422" s="14" t="s">
        <v>18</v>
      </c>
      <c r="D422" s="15" t="s">
        <v>197</v>
      </c>
      <c r="E422" s="16"/>
      <c r="F422" s="16"/>
      <c r="G422" s="16"/>
      <c r="H422" s="16"/>
      <c r="I422" s="17"/>
      <c r="J422" s="17"/>
      <c r="K422" s="17">
        <v>42500</v>
      </c>
      <c r="L422" s="17"/>
      <c r="M422" s="17">
        <v>7000</v>
      </c>
      <c r="N422" s="16"/>
      <c r="O422" s="16"/>
    </row>
    <row r="423" spans="1:15">
      <c r="A423" s="13">
        <v>45741</v>
      </c>
      <c r="B423" s="14" t="s">
        <v>17</v>
      </c>
      <c r="C423" s="14" t="s">
        <v>18</v>
      </c>
      <c r="D423" s="15" t="s">
        <v>68</v>
      </c>
      <c r="E423" s="16"/>
      <c r="F423" s="16"/>
      <c r="G423" s="16"/>
      <c r="H423" s="16"/>
      <c r="I423" s="17"/>
      <c r="J423" s="17"/>
      <c r="K423" s="17">
        <v>42500</v>
      </c>
      <c r="L423" s="17"/>
      <c r="M423" s="17">
        <v>7000</v>
      </c>
      <c r="N423" s="16"/>
      <c r="O423" s="16"/>
    </row>
    <row r="424" spans="1:15">
      <c r="A424" s="13">
        <v>45742</v>
      </c>
      <c r="B424" s="14" t="s">
        <v>17</v>
      </c>
      <c r="C424" s="14" t="s">
        <v>18</v>
      </c>
      <c r="D424" s="15" t="s">
        <v>140</v>
      </c>
      <c r="E424" s="16"/>
      <c r="F424" s="16"/>
      <c r="G424" s="16"/>
      <c r="H424" s="16"/>
      <c r="I424" s="17"/>
      <c r="J424" s="17"/>
      <c r="K424" s="17">
        <v>69000</v>
      </c>
      <c r="L424" s="17"/>
      <c r="M424" s="17">
        <v>14000</v>
      </c>
      <c r="N424" s="16"/>
      <c r="O424" s="16"/>
    </row>
    <row r="425" spans="1:15">
      <c r="A425" s="13">
        <v>45743</v>
      </c>
      <c r="B425" s="14" t="s">
        <v>17</v>
      </c>
      <c r="C425" s="14" t="s">
        <v>18</v>
      </c>
      <c r="D425" s="15" t="s">
        <v>86</v>
      </c>
      <c r="E425" s="16"/>
      <c r="F425" s="16"/>
      <c r="G425" s="16"/>
      <c r="H425" s="16"/>
      <c r="I425" s="17"/>
      <c r="J425" s="17"/>
      <c r="K425" s="17">
        <v>69000</v>
      </c>
      <c r="L425" s="17"/>
      <c r="M425" s="17">
        <v>14000</v>
      </c>
      <c r="N425" s="16"/>
      <c r="O425" s="16"/>
    </row>
    <row r="426" spans="1:15">
      <c r="A426" s="13">
        <v>45744</v>
      </c>
      <c r="B426" s="14" t="s">
        <v>17</v>
      </c>
      <c r="C426" s="14" t="s">
        <v>18</v>
      </c>
      <c r="D426" s="15" t="s">
        <v>126</v>
      </c>
      <c r="E426" s="16"/>
      <c r="F426" s="16"/>
      <c r="G426" s="16"/>
      <c r="H426" s="16"/>
      <c r="I426" s="17"/>
      <c r="J426" s="17"/>
      <c r="K426" s="17">
        <v>85000</v>
      </c>
      <c r="L426" s="17"/>
      <c r="M426" s="17">
        <v>14000</v>
      </c>
      <c r="N426" s="16"/>
      <c r="O426" s="16"/>
    </row>
    <row r="427" spans="1:15">
      <c r="A427" s="8">
        <v>45758</v>
      </c>
      <c r="B427" s="9"/>
      <c r="C427" s="9"/>
      <c r="D427" s="10"/>
      <c r="E427" s="16"/>
      <c r="F427" s="16"/>
      <c r="G427" s="16"/>
      <c r="H427" s="16"/>
      <c r="I427" s="17">
        <v>1000000</v>
      </c>
      <c r="J427" s="17"/>
      <c r="K427" s="17"/>
      <c r="L427" s="17"/>
      <c r="M427" s="17"/>
      <c r="N427" s="16" t="s">
        <v>198</v>
      </c>
      <c r="O427" s="16" t="s">
        <v>199</v>
      </c>
    </row>
    <row r="428" spans="1:15">
      <c r="A428" s="13" t="s">
        <v>200</v>
      </c>
      <c r="B428" s="14" t="s">
        <v>17</v>
      </c>
      <c r="C428" s="14" t="s">
        <v>18</v>
      </c>
      <c r="D428" s="15" t="s">
        <v>201</v>
      </c>
      <c r="E428" s="16"/>
      <c r="F428" s="16"/>
      <c r="G428" s="16"/>
      <c r="H428" s="16"/>
      <c r="I428" s="17"/>
      <c r="J428" s="17"/>
      <c r="K428" s="17">
        <v>44500</v>
      </c>
      <c r="L428" s="17"/>
      <c r="M428" s="17">
        <v>4000</v>
      </c>
      <c r="N428" s="16"/>
      <c r="O428" s="16"/>
    </row>
    <row r="429" spans="1:15">
      <c r="A429" s="13" t="s">
        <v>202</v>
      </c>
      <c r="B429" s="14" t="s">
        <v>17</v>
      </c>
      <c r="C429" s="14" t="s">
        <v>18</v>
      </c>
      <c r="D429" s="15"/>
      <c r="E429" s="16"/>
      <c r="F429" s="16"/>
      <c r="G429" s="16"/>
      <c r="H429" s="16"/>
      <c r="I429" s="17"/>
      <c r="J429" s="17"/>
      <c r="K429" s="17"/>
      <c r="L429" s="17"/>
      <c r="M429" s="17"/>
      <c r="N429" s="16"/>
      <c r="O429" s="16"/>
    </row>
    <row r="430" spans="1:15">
      <c r="A430" s="13" t="s">
        <v>203</v>
      </c>
      <c r="B430" s="14" t="s">
        <v>17</v>
      </c>
      <c r="C430" s="14" t="s">
        <v>18</v>
      </c>
      <c r="D430" s="15" t="s">
        <v>126</v>
      </c>
      <c r="E430" s="16"/>
      <c r="F430" s="16"/>
      <c r="G430" s="16"/>
      <c r="H430" s="16"/>
      <c r="I430" s="17"/>
      <c r="J430" s="17"/>
      <c r="K430" s="17">
        <v>85000</v>
      </c>
      <c r="L430" s="17"/>
      <c r="M430" s="17">
        <v>14000</v>
      </c>
      <c r="N430" s="16"/>
      <c r="O430" s="16"/>
    </row>
    <row r="431" spans="1:15">
      <c r="A431" s="13" t="s">
        <v>204</v>
      </c>
      <c r="B431" s="14" t="s">
        <v>17</v>
      </c>
      <c r="C431" s="14" t="s">
        <v>18</v>
      </c>
      <c r="D431" s="15" t="s">
        <v>205</v>
      </c>
      <c r="E431" s="16"/>
      <c r="F431" s="16"/>
      <c r="G431" s="16"/>
      <c r="H431" s="16"/>
      <c r="I431" s="17"/>
      <c r="J431" s="17"/>
      <c r="K431" s="17">
        <v>26500</v>
      </c>
      <c r="L431" s="17"/>
      <c r="M431" s="17">
        <v>14000</v>
      </c>
      <c r="N431" s="16"/>
      <c r="O431" s="16"/>
    </row>
    <row r="432" spans="1:15">
      <c r="A432" s="13" t="s">
        <v>206</v>
      </c>
      <c r="B432" s="14" t="s">
        <v>17</v>
      </c>
      <c r="C432" s="14" t="s">
        <v>18</v>
      </c>
      <c r="D432" s="15" t="s">
        <v>126</v>
      </c>
      <c r="E432" s="16"/>
      <c r="F432" s="16"/>
      <c r="G432" s="16"/>
      <c r="H432" s="16"/>
      <c r="I432" s="17"/>
      <c r="J432" s="17"/>
      <c r="K432" s="17">
        <v>85000</v>
      </c>
      <c r="L432" s="17"/>
      <c r="M432" s="17">
        <v>14000</v>
      </c>
      <c r="N432" s="16"/>
      <c r="O432" s="16"/>
    </row>
    <row r="433" spans="1:15">
      <c r="A433" s="13" t="s">
        <v>207</v>
      </c>
      <c r="B433" s="14" t="s">
        <v>17</v>
      </c>
      <c r="C433" s="14" t="s">
        <v>18</v>
      </c>
      <c r="D433" s="15" t="s">
        <v>86</v>
      </c>
      <c r="E433" s="16"/>
      <c r="F433" s="16"/>
      <c r="G433" s="16"/>
      <c r="H433" s="16"/>
      <c r="I433" s="17"/>
      <c r="J433" s="17"/>
      <c r="K433" s="17">
        <v>85000</v>
      </c>
      <c r="L433" s="17"/>
      <c r="M433" s="17">
        <v>11000</v>
      </c>
      <c r="N433" s="16"/>
      <c r="O433" s="16"/>
    </row>
    <row r="434" spans="1:15">
      <c r="A434" s="13" t="s">
        <v>208</v>
      </c>
      <c r="B434" s="14" t="s">
        <v>17</v>
      </c>
      <c r="C434" s="14" t="s">
        <v>18</v>
      </c>
      <c r="D434" s="15" t="s">
        <v>140</v>
      </c>
      <c r="E434" s="16"/>
      <c r="F434" s="16"/>
      <c r="G434" s="16"/>
      <c r="H434" s="16"/>
      <c r="I434" s="17"/>
      <c r="J434" s="17"/>
      <c r="K434" s="17">
        <v>93500</v>
      </c>
      <c r="L434" s="17"/>
      <c r="M434" s="17">
        <v>11000</v>
      </c>
      <c r="N434" s="16"/>
      <c r="O434" s="16"/>
    </row>
    <row r="435" spans="1:15">
      <c r="A435" s="13" t="s">
        <v>209</v>
      </c>
      <c r="B435" s="14" t="s">
        <v>17</v>
      </c>
      <c r="C435" s="14" t="s">
        <v>18</v>
      </c>
      <c r="D435" s="15" t="s">
        <v>68</v>
      </c>
      <c r="E435" s="16"/>
      <c r="F435" s="16"/>
      <c r="G435" s="16"/>
      <c r="H435" s="16"/>
      <c r="I435" s="17"/>
      <c r="J435" s="17"/>
      <c r="K435" s="17">
        <v>42500</v>
      </c>
      <c r="L435" s="17"/>
      <c r="M435" s="17">
        <v>7000</v>
      </c>
      <c r="N435" s="16"/>
      <c r="O435" s="16"/>
    </row>
    <row r="436" spans="1:15">
      <c r="A436" s="13" t="s">
        <v>210</v>
      </c>
      <c r="B436" s="14" t="s">
        <v>17</v>
      </c>
      <c r="C436" s="14" t="s">
        <v>18</v>
      </c>
      <c r="D436" s="15" t="s">
        <v>182</v>
      </c>
      <c r="E436" s="16"/>
      <c r="F436" s="16"/>
      <c r="G436" s="16"/>
      <c r="H436" s="16"/>
      <c r="I436" s="17"/>
      <c r="J436" s="17"/>
      <c r="K436" s="17"/>
      <c r="L436" s="17"/>
      <c r="M436" s="17">
        <v>7000</v>
      </c>
      <c r="N436" s="16"/>
      <c r="O436" s="16"/>
    </row>
    <row r="437" spans="1:15">
      <c r="A437" s="13" t="s">
        <v>211</v>
      </c>
      <c r="B437" s="14" t="s">
        <v>17</v>
      </c>
      <c r="C437" s="14" t="s">
        <v>18</v>
      </c>
      <c r="D437" s="15" t="s">
        <v>140</v>
      </c>
      <c r="E437" s="16"/>
      <c r="F437" s="16"/>
      <c r="G437" s="16"/>
      <c r="H437" s="16"/>
      <c r="I437" s="17"/>
      <c r="J437" s="17"/>
      <c r="K437" s="17">
        <v>93500</v>
      </c>
      <c r="L437" s="17"/>
      <c r="M437" s="17">
        <v>14000</v>
      </c>
      <c r="N437" s="16"/>
      <c r="O437" s="16"/>
    </row>
    <row r="438" spans="1:15">
      <c r="A438" s="8">
        <v>45763</v>
      </c>
      <c r="B438" s="9"/>
      <c r="C438" s="9"/>
      <c r="D438" s="10"/>
      <c r="E438" s="16"/>
      <c r="F438" s="16"/>
      <c r="G438" s="16"/>
      <c r="H438" s="16"/>
      <c r="I438" s="17">
        <v>1000000</v>
      </c>
      <c r="J438" s="17"/>
      <c r="K438" s="17"/>
      <c r="L438" s="17"/>
      <c r="M438" s="17"/>
      <c r="N438" s="16" t="s">
        <v>212</v>
      </c>
      <c r="O438" s="16" t="s">
        <v>213</v>
      </c>
    </row>
    <row r="439" spans="1:15">
      <c r="A439" s="13">
        <v>45762</v>
      </c>
      <c r="B439" s="14" t="s">
        <v>17</v>
      </c>
      <c r="C439" s="14" t="s">
        <v>18</v>
      </c>
      <c r="D439" s="15" t="s">
        <v>68</v>
      </c>
      <c r="E439" s="16"/>
      <c r="F439" s="16"/>
      <c r="G439" s="16"/>
      <c r="H439" s="16"/>
      <c r="I439" s="17"/>
      <c r="J439" s="17"/>
      <c r="K439" s="17">
        <v>42500</v>
      </c>
      <c r="L439" s="17"/>
      <c r="M439" s="17">
        <v>4000</v>
      </c>
      <c r="N439" s="16"/>
      <c r="O439" s="16"/>
    </row>
    <row r="440" spans="1:15">
      <c r="A440" s="13">
        <v>45763</v>
      </c>
      <c r="B440" s="14" t="s">
        <v>17</v>
      </c>
      <c r="C440" s="14" t="s">
        <v>18</v>
      </c>
      <c r="D440" s="15" t="s">
        <v>214</v>
      </c>
      <c r="E440" s="16"/>
      <c r="F440" s="16"/>
      <c r="G440" s="16"/>
      <c r="H440" s="16"/>
      <c r="I440" s="17"/>
      <c r="J440" s="17"/>
      <c r="K440" s="17">
        <v>69000</v>
      </c>
      <c r="L440" s="17"/>
      <c r="M440" s="17">
        <v>11000</v>
      </c>
      <c r="N440" s="16"/>
      <c r="O440" s="16"/>
    </row>
    <row r="441" spans="1:15">
      <c r="A441" s="13">
        <v>45764</v>
      </c>
      <c r="B441" s="14" t="s">
        <v>17</v>
      </c>
      <c r="C441" s="14" t="s">
        <v>18</v>
      </c>
      <c r="D441" s="15" t="s">
        <v>68</v>
      </c>
      <c r="E441" s="16"/>
      <c r="F441" s="16"/>
      <c r="G441" s="16"/>
      <c r="H441" s="16"/>
      <c r="I441" s="17"/>
      <c r="J441" s="17"/>
      <c r="K441" s="17">
        <v>42500</v>
      </c>
      <c r="L441" s="17"/>
      <c r="M441" s="17">
        <v>7000</v>
      </c>
      <c r="N441" s="16"/>
      <c r="O441" s="16"/>
    </row>
    <row r="442" spans="1:15">
      <c r="A442" s="13">
        <v>45765</v>
      </c>
      <c r="B442" s="14" t="s">
        <v>17</v>
      </c>
      <c r="C442" s="14" t="s">
        <v>18</v>
      </c>
      <c r="D442" s="15" t="s">
        <v>146</v>
      </c>
      <c r="E442" s="16"/>
      <c r="F442" s="16"/>
      <c r="G442" s="16"/>
      <c r="H442" s="16"/>
      <c r="I442" s="17"/>
      <c r="J442" s="17"/>
      <c r="K442" s="17">
        <v>7000</v>
      </c>
      <c r="L442" s="17"/>
      <c r="M442" s="17">
        <v>4000</v>
      </c>
      <c r="N442" s="16"/>
      <c r="O442" s="16"/>
    </row>
    <row r="443" spans="1:15">
      <c r="A443" s="13">
        <v>45766</v>
      </c>
      <c r="B443" s="14" t="s">
        <v>17</v>
      </c>
      <c r="C443" s="14" t="s">
        <v>18</v>
      </c>
      <c r="D443" s="15" t="s">
        <v>215</v>
      </c>
      <c r="E443" s="16"/>
      <c r="F443" s="16"/>
      <c r="G443" s="16"/>
      <c r="H443" s="16"/>
      <c r="I443" s="17"/>
      <c r="J443" s="17"/>
      <c r="K443" s="17">
        <v>42500</v>
      </c>
      <c r="L443" s="17"/>
      <c r="M443" s="17">
        <v>7000</v>
      </c>
      <c r="N443" s="16"/>
      <c r="O443" s="16"/>
    </row>
    <row r="444" spans="1:15">
      <c r="A444" s="13">
        <v>45767</v>
      </c>
      <c r="B444" s="14" t="s">
        <v>17</v>
      </c>
      <c r="C444" s="14" t="s">
        <v>18</v>
      </c>
      <c r="D444" s="15" t="s">
        <v>133</v>
      </c>
      <c r="E444" s="16"/>
      <c r="F444" s="16"/>
      <c r="G444" s="16"/>
      <c r="H444" s="16"/>
      <c r="I444" s="17"/>
      <c r="J444" s="17"/>
      <c r="K444" s="17"/>
      <c r="L444" s="17"/>
      <c r="M444" s="17"/>
      <c r="N444" s="16"/>
      <c r="O444" s="16"/>
    </row>
    <row r="445" spans="1:15">
      <c r="A445" s="13">
        <v>45768</v>
      </c>
      <c r="B445" s="14" t="s">
        <v>17</v>
      </c>
      <c r="C445" s="14" t="s">
        <v>18</v>
      </c>
      <c r="D445" s="15" t="s">
        <v>216</v>
      </c>
      <c r="E445" s="16"/>
      <c r="F445" s="16"/>
      <c r="G445" s="16"/>
      <c r="H445" s="16"/>
      <c r="I445" s="17"/>
      <c r="J445" s="17"/>
      <c r="K445" s="17">
        <v>85000</v>
      </c>
      <c r="L445" s="17"/>
      <c r="M445" s="17">
        <v>14000</v>
      </c>
      <c r="N445" s="16"/>
      <c r="O445" s="16"/>
    </row>
    <row r="446" spans="1:15">
      <c r="A446" s="8">
        <v>45770</v>
      </c>
      <c r="B446" s="9"/>
      <c r="C446" s="9"/>
      <c r="D446" s="10"/>
      <c r="E446" s="16"/>
      <c r="F446" s="16"/>
      <c r="G446" s="16"/>
      <c r="H446" s="16"/>
      <c r="I446" s="17">
        <v>1000000</v>
      </c>
      <c r="J446" s="17"/>
      <c r="K446" s="17">
        <v>288500</v>
      </c>
      <c r="L446" s="17"/>
      <c r="M446" s="17">
        <v>47000</v>
      </c>
      <c r="N446" s="16" t="s">
        <v>217</v>
      </c>
      <c r="O446" s="16" t="s">
        <v>218</v>
      </c>
    </row>
    <row r="447" spans="1:15">
      <c r="A447" s="13">
        <v>45769</v>
      </c>
      <c r="B447" s="14" t="s">
        <v>17</v>
      </c>
      <c r="C447" s="14" t="s">
        <v>18</v>
      </c>
      <c r="D447" s="15" t="s">
        <v>68</v>
      </c>
      <c r="E447" s="16"/>
      <c r="F447" s="16"/>
      <c r="G447" s="16"/>
      <c r="H447" s="16"/>
      <c r="I447" s="17"/>
      <c r="J447" s="17"/>
      <c r="K447" s="17">
        <v>85000</v>
      </c>
      <c r="L447" s="17"/>
      <c r="M447" s="17">
        <v>14000</v>
      </c>
      <c r="N447" s="16"/>
      <c r="O447" s="16"/>
    </row>
    <row r="448" spans="1:15">
      <c r="A448" s="13">
        <v>45770</v>
      </c>
      <c r="B448" s="14" t="s">
        <v>17</v>
      </c>
      <c r="C448" s="14" t="s">
        <v>18</v>
      </c>
      <c r="D448" s="15" t="s">
        <v>219</v>
      </c>
      <c r="E448" s="16"/>
      <c r="F448" s="16"/>
      <c r="G448" s="16"/>
      <c r="H448" s="16"/>
      <c r="I448" s="17"/>
      <c r="J448" s="17"/>
      <c r="K448" s="17">
        <v>26500</v>
      </c>
      <c r="L448" s="17"/>
      <c r="M448" s="17">
        <v>14000</v>
      </c>
      <c r="N448" s="16"/>
      <c r="O448" s="16"/>
    </row>
    <row r="449" spans="1:15">
      <c r="A449" s="13">
        <v>45771</v>
      </c>
      <c r="B449" s="14" t="s">
        <v>17</v>
      </c>
      <c r="C449" s="14" t="s">
        <v>18</v>
      </c>
      <c r="D449" s="15" t="s">
        <v>140</v>
      </c>
      <c r="E449" s="16"/>
      <c r="F449" s="16"/>
      <c r="G449" s="16"/>
      <c r="H449" s="16"/>
      <c r="I449" s="17"/>
      <c r="J449" s="17"/>
      <c r="K449" s="17">
        <v>85000</v>
      </c>
      <c r="L449" s="17"/>
      <c r="M449" s="17">
        <v>14000</v>
      </c>
      <c r="N449" s="16"/>
      <c r="O449" s="16"/>
    </row>
    <row r="450" spans="1:15">
      <c r="A450" s="13">
        <v>45772</v>
      </c>
      <c r="B450" s="14" t="s">
        <v>17</v>
      </c>
      <c r="C450" s="14" t="s">
        <v>18</v>
      </c>
      <c r="D450" s="15" t="s">
        <v>220</v>
      </c>
      <c r="E450" s="16"/>
      <c r="F450" s="16"/>
      <c r="G450" s="16"/>
      <c r="H450" s="16"/>
      <c r="I450" s="17"/>
      <c r="J450" s="17"/>
      <c r="K450" s="17">
        <v>85000</v>
      </c>
      <c r="L450" s="17"/>
      <c r="M450" s="17">
        <v>14000</v>
      </c>
      <c r="N450" s="16"/>
      <c r="O450" s="16"/>
    </row>
    <row r="451" spans="1:15">
      <c r="A451" s="13">
        <v>45773</v>
      </c>
      <c r="B451" s="14" t="s">
        <v>17</v>
      </c>
      <c r="C451" s="14" t="s">
        <v>18</v>
      </c>
      <c r="D451" s="15" t="s">
        <v>201</v>
      </c>
      <c r="E451" s="16"/>
      <c r="F451" s="16"/>
      <c r="G451" s="16"/>
      <c r="H451" s="16"/>
      <c r="I451" s="17"/>
      <c r="J451" s="17"/>
      <c r="K451" s="17">
        <v>42500</v>
      </c>
      <c r="L451" s="17"/>
      <c r="M451" s="17">
        <v>7000</v>
      </c>
      <c r="N451" s="16"/>
      <c r="O451" s="16"/>
    </row>
    <row r="452" spans="1:15">
      <c r="A452" s="13">
        <v>45774</v>
      </c>
      <c r="B452" s="14" t="s">
        <v>17</v>
      </c>
      <c r="C452" s="14" t="s">
        <v>18</v>
      </c>
      <c r="D452" s="15" t="s">
        <v>146</v>
      </c>
      <c r="E452" s="16"/>
      <c r="F452" s="16"/>
      <c r="G452" s="16"/>
      <c r="H452" s="16"/>
      <c r="I452" s="17"/>
      <c r="J452" s="17"/>
      <c r="K452" s="17"/>
      <c r="L452" s="17"/>
      <c r="M452" s="17">
        <v>7000</v>
      </c>
      <c r="N452" s="16"/>
      <c r="O452" s="16"/>
    </row>
    <row r="453" spans="1:15">
      <c r="A453" s="8">
        <v>45779</v>
      </c>
      <c r="B453" s="9"/>
      <c r="C453" s="9"/>
      <c r="D453" s="10"/>
      <c r="E453" s="16"/>
      <c r="F453" s="16"/>
      <c r="G453" s="16"/>
      <c r="H453" s="16"/>
      <c r="I453" s="17">
        <v>1000000</v>
      </c>
      <c r="J453" s="17"/>
      <c r="K453" s="17">
        <v>324000</v>
      </c>
      <c r="L453" s="17"/>
      <c r="M453" s="17">
        <v>70000</v>
      </c>
      <c r="N453" s="16" t="s">
        <v>221</v>
      </c>
      <c r="O453" s="16" t="s">
        <v>222</v>
      </c>
    </row>
    <row r="454" spans="1:15">
      <c r="A454" s="13">
        <v>45775</v>
      </c>
      <c r="B454" s="14" t="s">
        <v>17</v>
      </c>
      <c r="C454" s="14" t="s">
        <v>18</v>
      </c>
      <c r="D454" s="15" t="s">
        <v>223</v>
      </c>
      <c r="E454" s="16"/>
      <c r="F454" s="16"/>
      <c r="G454" s="16"/>
      <c r="H454" s="16"/>
      <c r="I454" s="17"/>
      <c r="J454" s="17"/>
      <c r="K454" s="17">
        <v>73000</v>
      </c>
      <c r="L454" s="17"/>
      <c r="M454" s="17">
        <v>14000</v>
      </c>
      <c r="N454" s="16"/>
      <c r="O454" s="16"/>
    </row>
    <row r="455" spans="1:15">
      <c r="A455" s="13">
        <v>45776</v>
      </c>
      <c r="B455" s="14" t="s">
        <v>17</v>
      </c>
      <c r="C455" s="14" t="s">
        <v>18</v>
      </c>
      <c r="D455" s="15" t="s">
        <v>68</v>
      </c>
      <c r="E455" s="16"/>
      <c r="F455" s="16"/>
      <c r="G455" s="16"/>
      <c r="H455" s="16"/>
      <c r="I455" s="17"/>
      <c r="J455" s="17"/>
      <c r="K455" s="17">
        <v>85000</v>
      </c>
      <c r="L455" s="17"/>
      <c r="M455" s="17">
        <v>14000</v>
      </c>
      <c r="N455" s="16"/>
      <c r="O455" s="16"/>
    </row>
    <row r="456" spans="1:15">
      <c r="A456" s="13">
        <v>45777</v>
      </c>
      <c r="B456" s="14" t="s">
        <v>17</v>
      </c>
      <c r="C456" s="14" t="s">
        <v>18</v>
      </c>
      <c r="D456" s="15" t="s">
        <v>224</v>
      </c>
      <c r="E456" s="16"/>
      <c r="F456" s="16"/>
      <c r="G456" s="16"/>
      <c r="H456" s="16"/>
      <c r="I456" s="17"/>
      <c r="J456" s="17"/>
      <c r="K456" s="17">
        <v>48500</v>
      </c>
      <c r="L456" s="17"/>
      <c r="M456" s="17"/>
      <c r="N456" s="16"/>
      <c r="O456" s="16"/>
    </row>
    <row r="457" spans="1:15">
      <c r="A457" s="29">
        <v>45778</v>
      </c>
      <c r="B457" s="30" t="s">
        <v>17</v>
      </c>
      <c r="C457" s="30" t="s">
        <v>18</v>
      </c>
      <c r="D457" s="31" t="s">
        <v>225</v>
      </c>
      <c r="E457" s="16"/>
      <c r="F457" s="16"/>
      <c r="G457" s="16"/>
      <c r="H457" s="16"/>
      <c r="I457" s="17"/>
      <c r="J457" s="17"/>
      <c r="K457" s="17"/>
      <c r="L457" s="17"/>
      <c r="M457" s="17"/>
      <c r="N457" s="16"/>
      <c r="O457" s="16"/>
    </row>
    <row r="458" spans="1:15">
      <c r="A458" s="13">
        <v>45779</v>
      </c>
      <c r="B458" s="14" t="s">
        <v>17</v>
      </c>
      <c r="C458" s="14" t="s">
        <v>18</v>
      </c>
      <c r="D458" s="15" t="s">
        <v>140</v>
      </c>
      <c r="E458" s="16"/>
      <c r="F458" s="16"/>
      <c r="G458" s="16"/>
      <c r="H458" s="16"/>
      <c r="I458" s="17"/>
      <c r="J458" s="17"/>
      <c r="K458" s="17">
        <v>85000</v>
      </c>
      <c r="L458" s="17"/>
      <c r="M458" s="17">
        <v>14000</v>
      </c>
      <c r="N458" s="16"/>
      <c r="O458" s="16"/>
    </row>
    <row r="459" spans="1:15">
      <c r="A459" s="13">
        <v>45780</v>
      </c>
      <c r="B459" s="14" t="s">
        <v>17</v>
      </c>
      <c r="C459" s="14" t="s">
        <v>18</v>
      </c>
      <c r="D459" s="15" t="s">
        <v>226</v>
      </c>
      <c r="E459" s="16"/>
      <c r="F459" s="16"/>
      <c r="G459" s="16"/>
      <c r="H459" s="16"/>
      <c r="I459" s="17"/>
      <c r="J459" s="17"/>
      <c r="K459" s="17">
        <v>69000</v>
      </c>
      <c r="L459" s="17"/>
      <c r="M459" s="17">
        <v>11000</v>
      </c>
      <c r="N459" s="16"/>
      <c r="O459" s="16"/>
    </row>
    <row r="460" spans="1:15">
      <c r="A460" s="13">
        <v>45781</v>
      </c>
      <c r="B460" s="14" t="s">
        <v>17</v>
      </c>
      <c r="C460" s="14" t="s">
        <v>18</v>
      </c>
      <c r="D460" s="15" t="s">
        <v>52</v>
      </c>
      <c r="E460" s="16"/>
      <c r="F460" s="16"/>
      <c r="G460" s="16"/>
      <c r="H460" s="16"/>
      <c r="I460" s="17"/>
      <c r="J460" s="17"/>
      <c r="K460" s="17">
        <v>16000</v>
      </c>
      <c r="L460" s="17"/>
      <c r="M460" s="17">
        <v>7000</v>
      </c>
      <c r="N460" s="16"/>
      <c r="O460" s="16"/>
    </row>
    <row r="461" spans="1:15">
      <c r="A461" s="13">
        <v>45782</v>
      </c>
      <c r="B461" s="14" t="s">
        <v>17</v>
      </c>
      <c r="C461" s="14" t="s">
        <v>18</v>
      </c>
      <c r="D461" s="15" t="s">
        <v>86</v>
      </c>
      <c r="E461" s="16"/>
      <c r="F461" s="16"/>
      <c r="G461" s="16"/>
      <c r="H461" s="16"/>
      <c r="I461" s="17"/>
      <c r="J461" s="17"/>
      <c r="K461" s="17">
        <v>85000</v>
      </c>
      <c r="L461" s="17"/>
      <c r="M461" s="17">
        <v>14000</v>
      </c>
      <c r="N461" s="16"/>
      <c r="O461" s="16"/>
    </row>
    <row r="462" spans="1:15">
      <c r="A462" s="32">
        <v>45784</v>
      </c>
      <c r="B462" s="33"/>
      <c r="C462" s="33"/>
      <c r="D462" s="34"/>
      <c r="E462" s="16"/>
      <c r="F462" s="16"/>
      <c r="G462" s="16"/>
      <c r="H462" s="16"/>
      <c r="I462" s="17">
        <v>1000000</v>
      </c>
      <c r="J462" s="17"/>
      <c r="K462" s="17">
        <v>461500</v>
      </c>
      <c r="L462" s="17"/>
      <c r="M462" s="17">
        <v>74000</v>
      </c>
      <c r="N462" s="16" t="s">
        <v>227</v>
      </c>
      <c r="O462" s="16" t="s">
        <v>228</v>
      </c>
    </row>
    <row r="463" spans="1:15">
      <c r="A463" s="35"/>
      <c r="B463" s="36"/>
      <c r="C463" s="36"/>
      <c r="D463" s="37"/>
      <c r="E463" s="16"/>
      <c r="F463" s="16"/>
      <c r="G463" s="16"/>
      <c r="H463" s="16"/>
      <c r="I463" s="17"/>
      <c r="J463" s="17"/>
      <c r="K463" s="17"/>
      <c r="L463" s="17"/>
      <c r="M463" s="17"/>
      <c r="N463" s="16"/>
      <c r="O463" s="16"/>
    </row>
    <row r="464" spans="1:15">
      <c r="A464" s="38">
        <v>45796</v>
      </c>
      <c r="B464" s="22"/>
      <c r="C464" s="22"/>
      <c r="D464" s="23"/>
      <c r="E464" s="39"/>
      <c r="F464" s="39"/>
      <c r="G464" s="39"/>
      <c r="H464" s="39"/>
      <c r="I464" s="17">
        <v>1000000</v>
      </c>
      <c r="J464" s="17">
        <v>0</v>
      </c>
      <c r="K464" s="17">
        <v>379500</v>
      </c>
      <c r="L464" s="17">
        <v>0</v>
      </c>
      <c r="M464" s="17">
        <v>77000</v>
      </c>
      <c r="N464" s="16" t="s">
        <v>229</v>
      </c>
      <c r="O464" s="16" t="s">
        <v>230</v>
      </c>
    </row>
    <row r="465" spans="1:15">
      <c r="A465" s="38">
        <v>45790</v>
      </c>
      <c r="B465" s="22" t="s">
        <v>17</v>
      </c>
      <c r="C465" s="22" t="s">
        <v>18</v>
      </c>
      <c r="D465" s="23" t="s">
        <v>86</v>
      </c>
      <c r="E465" s="39"/>
      <c r="F465" s="39"/>
      <c r="G465" s="39"/>
      <c r="H465" s="39"/>
      <c r="I465" s="17"/>
      <c r="J465" s="17"/>
      <c r="K465" s="17">
        <v>82000</v>
      </c>
      <c r="L465" s="17"/>
      <c r="M465" s="17">
        <v>14000</v>
      </c>
      <c r="N465" s="16"/>
      <c r="O465" s="16"/>
    </row>
    <row r="466" spans="1:15">
      <c r="A466" s="38">
        <v>45791</v>
      </c>
      <c r="B466" s="22" t="s">
        <v>17</v>
      </c>
      <c r="C466" s="22" t="s">
        <v>18</v>
      </c>
      <c r="D466" s="23" t="s">
        <v>192</v>
      </c>
      <c r="E466" s="39"/>
      <c r="F466" s="39"/>
      <c r="G466" s="39"/>
      <c r="H466" s="39"/>
      <c r="I466" s="17"/>
      <c r="J466" s="17"/>
      <c r="K466" s="17">
        <v>85000</v>
      </c>
      <c r="L466" s="17"/>
      <c r="M466" s="17">
        <v>14000</v>
      </c>
      <c r="N466" s="16"/>
      <c r="O466" s="16"/>
    </row>
    <row r="467" spans="1:15">
      <c r="A467" s="38">
        <v>45792</v>
      </c>
      <c r="B467" s="22" t="s">
        <v>17</v>
      </c>
      <c r="C467" s="22" t="s">
        <v>18</v>
      </c>
      <c r="D467" s="23" t="s">
        <v>65</v>
      </c>
      <c r="E467" s="39"/>
      <c r="F467" s="39"/>
      <c r="G467" s="39"/>
      <c r="H467" s="39"/>
      <c r="I467" s="17"/>
      <c r="J467" s="17"/>
      <c r="K467" s="17">
        <v>85000</v>
      </c>
      <c r="L467" s="17"/>
      <c r="M467" s="17">
        <v>14000</v>
      </c>
      <c r="N467" s="16"/>
      <c r="O467" s="16"/>
    </row>
    <row r="468" spans="1:15">
      <c r="A468" s="38">
        <v>45794</v>
      </c>
      <c r="B468" s="22" t="s">
        <v>17</v>
      </c>
      <c r="C468" s="22" t="s">
        <v>18</v>
      </c>
      <c r="D468" s="23" t="s">
        <v>65</v>
      </c>
      <c r="E468" s="39"/>
      <c r="F468" s="39"/>
      <c r="G468" s="39"/>
      <c r="H468" s="39"/>
      <c r="I468" s="17"/>
      <c r="J468" s="17"/>
      <c r="K468" s="17">
        <v>69000</v>
      </c>
      <c r="L468" s="17"/>
      <c r="M468" s="17">
        <v>14000</v>
      </c>
      <c r="N468" s="16"/>
      <c r="O468" s="16"/>
    </row>
    <row r="469" spans="1:15">
      <c r="A469" s="38">
        <v>45795</v>
      </c>
      <c r="B469" s="22" t="s">
        <v>17</v>
      </c>
      <c r="C469" s="22" t="s">
        <v>18</v>
      </c>
      <c r="D469" s="23" t="s">
        <v>231</v>
      </c>
      <c r="E469" s="39"/>
      <c r="F469" s="39"/>
      <c r="G469" s="39"/>
      <c r="H469" s="39"/>
      <c r="I469" s="17"/>
      <c r="J469" s="17"/>
      <c r="K469" s="17">
        <v>16000</v>
      </c>
      <c r="L469" s="17"/>
      <c r="M469" s="17">
        <v>7000</v>
      </c>
      <c r="N469" s="16"/>
      <c r="O469" s="16"/>
    </row>
    <row r="470" spans="1:15">
      <c r="A470" s="38">
        <v>45796</v>
      </c>
      <c r="B470" s="22" t="s">
        <v>17</v>
      </c>
      <c r="C470" s="22" t="s">
        <v>18</v>
      </c>
      <c r="D470" s="23" t="s">
        <v>232</v>
      </c>
      <c r="E470" s="39"/>
      <c r="F470" s="39"/>
      <c r="G470" s="39"/>
      <c r="H470" s="39"/>
      <c r="I470" s="17"/>
      <c r="J470" s="17"/>
      <c r="K470" s="17">
        <v>42500</v>
      </c>
      <c r="L470" s="17"/>
      <c r="M470" s="17">
        <v>14000</v>
      </c>
      <c r="N470" s="16"/>
      <c r="O470" s="16"/>
    </row>
    <row r="471" spans="1:15">
      <c r="A471" s="38"/>
      <c r="B471" s="22"/>
      <c r="C471" s="22"/>
      <c r="D471" s="23"/>
      <c r="E471" s="39"/>
      <c r="F471" s="39"/>
      <c r="G471" s="39"/>
      <c r="H471" s="39"/>
      <c r="I471" s="17"/>
      <c r="J471" s="17"/>
      <c r="K471" s="17"/>
      <c r="L471" s="17"/>
      <c r="M471" s="17"/>
      <c r="N471" s="16"/>
      <c r="O471" s="16"/>
    </row>
    <row r="472" spans="1:15">
      <c r="A472" s="38">
        <v>45804</v>
      </c>
      <c r="B472" s="22"/>
      <c r="C472" s="22"/>
      <c r="D472" s="23"/>
      <c r="E472" s="39"/>
      <c r="F472" s="39"/>
      <c r="G472" s="39"/>
      <c r="H472" s="39"/>
      <c r="I472" s="17">
        <v>1000000</v>
      </c>
      <c r="J472" s="17">
        <v>0</v>
      </c>
      <c r="K472" s="17">
        <v>504500</v>
      </c>
      <c r="L472" s="17">
        <v>0</v>
      </c>
      <c r="M472" s="17">
        <v>105000</v>
      </c>
      <c r="N472" s="16" t="s">
        <v>233</v>
      </c>
      <c r="O472" s="16" t="s">
        <v>234</v>
      </c>
    </row>
    <row r="473" spans="1:15">
      <c r="A473" s="38">
        <v>45797</v>
      </c>
      <c r="B473" s="22" t="s">
        <v>17</v>
      </c>
      <c r="C473" s="22" t="s">
        <v>18</v>
      </c>
      <c r="D473" s="23" t="s">
        <v>86</v>
      </c>
      <c r="E473" s="39"/>
      <c r="F473" s="39"/>
      <c r="G473" s="39"/>
      <c r="H473" s="39"/>
      <c r="I473" s="17"/>
      <c r="J473" s="17"/>
      <c r="K473" s="17">
        <v>75000</v>
      </c>
      <c r="L473" s="17"/>
      <c r="M473" s="17">
        <v>14000</v>
      </c>
      <c r="N473" s="16"/>
      <c r="O473" s="16"/>
    </row>
    <row r="474" spans="1:15">
      <c r="A474" s="38">
        <v>45798</v>
      </c>
      <c r="B474" s="22" t="s">
        <v>17</v>
      </c>
      <c r="C474" s="22" t="s">
        <v>18</v>
      </c>
      <c r="D474" s="23" t="s">
        <v>140</v>
      </c>
      <c r="E474" s="39"/>
      <c r="F474" s="39"/>
      <c r="G474" s="39"/>
      <c r="H474" s="39"/>
      <c r="I474" s="17"/>
      <c r="J474" s="17"/>
      <c r="K474" s="17">
        <v>85000</v>
      </c>
      <c r="L474" s="17"/>
      <c r="M474" s="17">
        <v>14000</v>
      </c>
      <c r="N474" s="16"/>
      <c r="O474" s="16"/>
    </row>
    <row r="475" spans="1:15">
      <c r="A475" s="38">
        <v>45799</v>
      </c>
      <c r="B475" s="22" t="s">
        <v>17</v>
      </c>
      <c r="C475" s="22" t="s">
        <v>18</v>
      </c>
      <c r="D475" s="23" t="s">
        <v>140</v>
      </c>
      <c r="E475" s="39"/>
      <c r="F475" s="39"/>
      <c r="G475" s="39"/>
      <c r="H475" s="39"/>
      <c r="I475" s="17"/>
      <c r="J475" s="17"/>
      <c r="K475" s="17">
        <v>69000</v>
      </c>
      <c r="L475" s="17"/>
      <c r="M475" s="17">
        <v>14000</v>
      </c>
      <c r="N475" s="16"/>
      <c r="O475" s="16"/>
    </row>
    <row r="476" spans="1:15">
      <c r="A476" s="38">
        <v>45800</v>
      </c>
      <c r="B476" s="22" t="s">
        <v>17</v>
      </c>
      <c r="C476" s="22" t="s">
        <v>18</v>
      </c>
      <c r="D476" s="23" t="s">
        <v>192</v>
      </c>
      <c r="E476" s="39"/>
      <c r="F476" s="39"/>
      <c r="G476" s="39"/>
      <c r="H476" s="39"/>
      <c r="I476" s="17"/>
      <c r="J476" s="17"/>
      <c r="K476" s="17">
        <v>82000</v>
      </c>
      <c r="L476" s="17"/>
      <c r="M476" s="17">
        <v>14000</v>
      </c>
      <c r="N476" s="16"/>
      <c r="O476" s="16"/>
    </row>
    <row r="477" spans="1:15">
      <c r="A477" s="38">
        <v>45801</v>
      </c>
      <c r="B477" s="22" t="s">
        <v>17</v>
      </c>
      <c r="C477" s="22" t="s">
        <v>18</v>
      </c>
      <c r="D477" s="23" t="s">
        <v>140</v>
      </c>
      <c r="E477" s="39"/>
      <c r="F477" s="39"/>
      <c r="G477" s="39"/>
      <c r="H477" s="39"/>
      <c r="I477" s="17"/>
      <c r="J477" s="17"/>
      <c r="K477" s="17">
        <v>85000</v>
      </c>
      <c r="L477" s="17"/>
      <c r="M477" s="17">
        <v>14000</v>
      </c>
      <c r="N477" s="16"/>
      <c r="O477" s="16"/>
    </row>
    <row r="478" spans="1:15">
      <c r="A478" s="38">
        <v>45802</v>
      </c>
      <c r="B478" s="22" t="s">
        <v>17</v>
      </c>
      <c r="C478" s="22" t="s">
        <v>18</v>
      </c>
      <c r="D478" s="23" t="s">
        <v>146</v>
      </c>
      <c r="E478" s="39"/>
      <c r="F478" s="39"/>
      <c r="G478" s="39"/>
      <c r="H478" s="39"/>
      <c r="I478" s="17"/>
      <c r="J478" s="17"/>
      <c r="K478" s="17">
        <v>16000</v>
      </c>
      <c r="L478" s="17"/>
      <c r="M478" s="17">
        <v>7000</v>
      </c>
      <c r="N478" s="16"/>
      <c r="O478" s="16"/>
    </row>
    <row r="479" spans="1:15">
      <c r="A479" s="38">
        <v>45803</v>
      </c>
      <c r="B479" s="22" t="s">
        <v>17</v>
      </c>
      <c r="C479" s="22" t="s">
        <v>18</v>
      </c>
      <c r="D479" s="23" t="s">
        <v>140</v>
      </c>
      <c r="E479" s="39"/>
      <c r="F479" s="39"/>
      <c r="G479" s="39"/>
      <c r="H479" s="39"/>
      <c r="I479" s="17"/>
      <c r="J479" s="17"/>
      <c r="K479" s="17">
        <v>66000</v>
      </c>
      <c r="L479" s="17"/>
      <c r="M479" s="17">
        <v>14000</v>
      </c>
      <c r="N479" s="16"/>
      <c r="O479" s="16"/>
    </row>
    <row r="480" spans="1:15">
      <c r="A480" s="38">
        <v>45804</v>
      </c>
      <c r="B480" s="22" t="s">
        <v>17</v>
      </c>
      <c r="C480" s="22" t="s">
        <v>18</v>
      </c>
      <c r="D480" s="23" t="s">
        <v>235</v>
      </c>
      <c r="E480" s="39"/>
      <c r="F480" s="39"/>
      <c r="G480" s="39"/>
      <c r="H480" s="39"/>
      <c r="I480" s="17"/>
      <c r="J480" s="17"/>
      <c r="K480" s="17">
        <v>26500</v>
      </c>
      <c r="L480" s="17"/>
      <c r="M480" s="17">
        <v>14000</v>
      </c>
      <c r="N480" s="16"/>
      <c r="O480" s="16"/>
    </row>
    <row r="481" spans="1:15">
      <c r="A481" s="38"/>
      <c r="B481" s="22"/>
      <c r="C481" s="22"/>
      <c r="D481" s="23"/>
      <c r="E481" s="39"/>
      <c r="F481" s="39"/>
      <c r="G481" s="39"/>
      <c r="H481" s="39"/>
      <c r="I481" s="17"/>
      <c r="J481" s="17"/>
      <c r="K481" s="17"/>
      <c r="L481" s="17"/>
      <c r="M481" s="17"/>
      <c r="N481" s="16"/>
      <c r="O481" s="16"/>
    </row>
    <row r="482" spans="1:15">
      <c r="A482" s="38">
        <v>45812</v>
      </c>
      <c r="B482" s="22"/>
      <c r="C482" s="22"/>
      <c r="D482" s="23"/>
      <c r="E482" s="39"/>
      <c r="F482" s="39"/>
      <c r="G482" s="39"/>
      <c r="H482" s="39"/>
      <c r="I482" s="17">
        <v>1000000</v>
      </c>
      <c r="J482" s="17">
        <v>0</v>
      </c>
      <c r="K482" s="17">
        <v>352500</v>
      </c>
      <c r="L482" s="17">
        <v>0</v>
      </c>
      <c r="M482" s="17">
        <v>65000</v>
      </c>
      <c r="N482" s="16" t="s">
        <v>236</v>
      </c>
      <c r="O482" s="16" t="s">
        <v>237</v>
      </c>
    </row>
    <row r="483" spans="1:15">
      <c r="A483" s="38">
        <v>45805</v>
      </c>
      <c r="B483" s="22" t="s">
        <v>17</v>
      </c>
      <c r="C483" s="23" t="s">
        <v>238</v>
      </c>
      <c r="D483" s="23" t="s">
        <v>239</v>
      </c>
      <c r="E483" s="39"/>
      <c r="F483" s="39"/>
      <c r="G483" s="39"/>
      <c r="H483" s="39"/>
      <c r="I483" s="17"/>
      <c r="J483" s="17"/>
      <c r="K483" s="17">
        <v>16000</v>
      </c>
      <c r="L483" s="17"/>
      <c r="M483" s="17"/>
      <c r="N483" s="16"/>
      <c r="O483" s="16"/>
    </row>
    <row r="484" spans="1:15">
      <c r="A484" s="38">
        <v>45807</v>
      </c>
      <c r="B484" s="22" t="s">
        <v>17</v>
      </c>
      <c r="C484" s="22" t="s">
        <v>18</v>
      </c>
      <c r="D484" s="23" t="s">
        <v>140</v>
      </c>
      <c r="E484" s="39"/>
      <c r="F484" s="39"/>
      <c r="G484" s="39"/>
      <c r="H484" s="39"/>
      <c r="I484" s="17"/>
      <c r="J484" s="17"/>
      <c r="K484" s="17">
        <v>85000</v>
      </c>
      <c r="L484" s="17"/>
      <c r="M484" s="17">
        <v>11000</v>
      </c>
      <c r="N484" s="16"/>
      <c r="O484" s="16"/>
    </row>
    <row r="485" spans="1:15">
      <c r="A485" s="38">
        <v>45808</v>
      </c>
      <c r="B485" s="22" t="s">
        <v>17</v>
      </c>
      <c r="C485" s="22" t="s">
        <v>18</v>
      </c>
      <c r="D485" s="23" t="s">
        <v>140</v>
      </c>
      <c r="E485" s="39"/>
      <c r="F485" s="39"/>
      <c r="G485" s="39"/>
      <c r="H485" s="39"/>
      <c r="I485" s="17"/>
      <c r="J485" s="17"/>
      <c r="K485" s="17">
        <v>85000</v>
      </c>
      <c r="L485" s="17"/>
      <c r="M485" s="17">
        <v>14000</v>
      </c>
      <c r="N485" s="16"/>
      <c r="O485" s="16"/>
    </row>
    <row r="486" spans="1:15">
      <c r="A486" s="38">
        <v>45810</v>
      </c>
      <c r="B486" s="22" t="s">
        <v>17</v>
      </c>
      <c r="C486" s="22" t="s">
        <v>18</v>
      </c>
      <c r="D486" s="23" t="s">
        <v>240</v>
      </c>
      <c r="E486" s="39"/>
      <c r="F486" s="39"/>
      <c r="G486" s="39"/>
      <c r="H486" s="39"/>
      <c r="I486" s="17"/>
      <c r="J486" s="17"/>
      <c r="K486" s="17">
        <v>26500</v>
      </c>
      <c r="L486" s="17"/>
      <c r="M486" s="17">
        <v>12000</v>
      </c>
      <c r="N486" s="16"/>
      <c r="O486" s="16"/>
    </row>
    <row r="487" spans="1:15">
      <c r="A487" s="38">
        <v>45811</v>
      </c>
      <c r="B487" s="22" t="s">
        <v>17</v>
      </c>
      <c r="C487" s="22" t="s">
        <v>18</v>
      </c>
      <c r="D487" s="23" t="s">
        <v>140</v>
      </c>
      <c r="E487" s="39"/>
      <c r="F487" s="39"/>
      <c r="G487" s="39"/>
      <c r="H487" s="39"/>
      <c r="I487" s="17"/>
      <c r="J487" s="17"/>
      <c r="K487" s="17">
        <v>62000</v>
      </c>
      <c r="L487" s="17"/>
      <c r="M487" s="17">
        <v>14000</v>
      </c>
      <c r="N487" s="16"/>
      <c r="O487" s="16"/>
    </row>
    <row r="488" spans="1:15">
      <c r="A488" s="38">
        <v>45812</v>
      </c>
      <c r="B488" s="22" t="s">
        <v>17</v>
      </c>
      <c r="C488" s="22" t="s">
        <v>18</v>
      </c>
      <c r="D488" s="23" t="s">
        <v>65</v>
      </c>
      <c r="E488" s="39"/>
      <c r="F488" s="39"/>
      <c r="G488" s="39"/>
      <c r="H488" s="39"/>
      <c r="I488" s="17"/>
      <c r="J488" s="17"/>
      <c r="K488" s="17">
        <v>78000</v>
      </c>
      <c r="L488" s="17"/>
      <c r="M488" s="17">
        <v>14000</v>
      </c>
      <c r="N488" s="16"/>
      <c r="O488" s="16"/>
    </row>
    <row r="489" spans="1:15">
      <c r="A489" s="38"/>
      <c r="B489" s="22"/>
      <c r="C489" s="22"/>
      <c r="D489" s="23"/>
      <c r="E489" s="39"/>
      <c r="F489" s="39"/>
      <c r="G489" s="39"/>
      <c r="H489" s="39"/>
      <c r="I489" s="17"/>
      <c r="J489" s="17"/>
      <c r="K489" s="17"/>
      <c r="L489" s="17"/>
      <c r="M489" s="17"/>
      <c r="N489" s="16"/>
      <c r="O489" s="16"/>
    </row>
    <row r="490" spans="1:15">
      <c r="A490" s="38">
        <v>45819</v>
      </c>
      <c r="B490" s="22"/>
      <c r="C490" s="22"/>
      <c r="D490" s="23"/>
      <c r="E490" s="39"/>
      <c r="F490" s="39"/>
      <c r="G490" s="39"/>
      <c r="H490" s="39"/>
      <c r="I490" s="17">
        <v>1000000</v>
      </c>
      <c r="J490" s="17">
        <v>0</v>
      </c>
      <c r="K490" s="17">
        <v>347500</v>
      </c>
      <c r="L490" s="17">
        <v>0</v>
      </c>
      <c r="M490" s="17">
        <v>60000</v>
      </c>
      <c r="N490" s="16" t="s">
        <v>241</v>
      </c>
      <c r="O490" s="16" t="s">
        <v>242</v>
      </c>
    </row>
    <row r="491" spans="1:15">
      <c r="A491" s="38">
        <v>45813</v>
      </c>
      <c r="B491" s="22" t="s">
        <v>17</v>
      </c>
      <c r="C491" s="22" t="s">
        <v>18</v>
      </c>
      <c r="D491" s="23" t="s">
        <v>68</v>
      </c>
      <c r="E491" s="39"/>
      <c r="F491" s="39"/>
      <c r="G491" s="39"/>
      <c r="H491" s="39"/>
      <c r="I491" s="17"/>
      <c r="J491" s="17"/>
      <c r="K491" s="17">
        <v>95500</v>
      </c>
      <c r="L491" s="17"/>
      <c r="M491" s="17">
        <v>11000</v>
      </c>
      <c r="N491" s="16"/>
      <c r="O491" s="16"/>
    </row>
    <row r="492" spans="1:15">
      <c r="A492" s="38">
        <v>45815</v>
      </c>
      <c r="B492" s="22" t="s">
        <v>17</v>
      </c>
      <c r="C492" s="22" t="s">
        <v>18</v>
      </c>
      <c r="D492" s="23" t="s">
        <v>48</v>
      </c>
      <c r="E492" s="39"/>
      <c r="F492" s="39"/>
      <c r="G492" s="39"/>
      <c r="H492" s="39"/>
      <c r="I492" s="17"/>
      <c r="J492" s="17"/>
      <c r="K492" s="17">
        <v>42500</v>
      </c>
      <c r="L492" s="17"/>
      <c r="M492" s="17">
        <v>7000</v>
      </c>
      <c r="N492" s="16"/>
      <c r="O492" s="16"/>
    </row>
    <row r="493" spans="1:15">
      <c r="A493" s="38">
        <v>45816</v>
      </c>
      <c r="B493" s="22" t="s">
        <v>17</v>
      </c>
      <c r="C493" s="22" t="s">
        <v>18</v>
      </c>
      <c r="D493" s="23" t="s">
        <v>243</v>
      </c>
      <c r="E493" s="39"/>
      <c r="F493" s="39"/>
      <c r="G493" s="39"/>
      <c r="H493" s="39"/>
      <c r="I493" s="17"/>
      <c r="J493" s="17"/>
      <c r="K493" s="17"/>
      <c r="L493" s="17"/>
      <c r="M493" s="17">
        <v>7000</v>
      </c>
      <c r="N493" s="16"/>
      <c r="O493" s="16"/>
    </row>
    <row r="494" spans="1:15">
      <c r="A494" s="38">
        <v>45817</v>
      </c>
      <c r="B494" s="22" t="s">
        <v>17</v>
      </c>
      <c r="C494" s="22" t="s">
        <v>18</v>
      </c>
      <c r="D494" s="23" t="s">
        <v>140</v>
      </c>
      <c r="E494" s="39"/>
      <c r="F494" s="39"/>
      <c r="G494" s="39"/>
      <c r="H494" s="39"/>
      <c r="I494" s="17"/>
      <c r="J494" s="17"/>
      <c r="K494" s="17">
        <v>85000</v>
      </c>
      <c r="L494" s="17"/>
      <c r="M494" s="17">
        <v>14000</v>
      </c>
      <c r="N494" s="16"/>
      <c r="O494" s="16"/>
    </row>
    <row r="495" spans="1:15">
      <c r="A495" s="38">
        <v>45818</v>
      </c>
      <c r="B495" s="22" t="s">
        <v>17</v>
      </c>
      <c r="C495" s="22" t="s">
        <v>18</v>
      </c>
      <c r="D495" s="23" t="s">
        <v>192</v>
      </c>
      <c r="E495" s="39"/>
      <c r="F495" s="39"/>
      <c r="G495" s="39"/>
      <c r="H495" s="39"/>
      <c r="I495" s="17"/>
      <c r="J495" s="17"/>
      <c r="K495" s="17">
        <v>82000</v>
      </c>
      <c r="L495" s="17"/>
      <c r="M495" s="17">
        <v>14000</v>
      </c>
      <c r="N495" s="16"/>
      <c r="O495" s="16"/>
    </row>
    <row r="496" spans="1:15">
      <c r="A496" s="38">
        <v>45819</v>
      </c>
      <c r="B496" s="22" t="s">
        <v>17</v>
      </c>
      <c r="C496" s="22" t="s">
        <v>18</v>
      </c>
      <c r="D496" s="23" t="s">
        <v>65</v>
      </c>
      <c r="E496" s="39"/>
      <c r="F496" s="39"/>
      <c r="G496" s="39"/>
      <c r="H496" s="39"/>
      <c r="I496" s="17"/>
      <c r="J496" s="17"/>
      <c r="K496" s="17">
        <v>42500</v>
      </c>
      <c r="L496" s="17"/>
      <c r="M496" s="17">
        <v>7000</v>
      </c>
      <c r="N496" s="16"/>
      <c r="O496" s="16"/>
    </row>
    <row r="497" spans="1:15">
      <c r="A497" s="38"/>
      <c r="B497" s="22"/>
      <c r="C497" s="22"/>
      <c r="D497" s="23"/>
      <c r="E497" s="39"/>
      <c r="F497" s="39"/>
      <c r="G497" s="39"/>
      <c r="H497" s="39"/>
      <c r="I497" s="17"/>
      <c r="J497" s="17"/>
      <c r="K497" s="17"/>
      <c r="L497" s="17"/>
      <c r="M497" s="17"/>
      <c r="N497" s="16"/>
      <c r="O497" s="16"/>
    </row>
    <row r="498" spans="1:15">
      <c r="A498" s="38">
        <v>45826</v>
      </c>
      <c r="B498" s="22"/>
      <c r="C498" s="22"/>
      <c r="D498" s="23"/>
      <c r="E498" s="39"/>
      <c r="F498" s="39"/>
      <c r="G498" s="39"/>
      <c r="H498" s="39"/>
      <c r="I498" s="17">
        <v>1000000</v>
      </c>
      <c r="J498" s="17">
        <v>0</v>
      </c>
      <c r="K498" s="17">
        <v>366500</v>
      </c>
      <c r="L498" s="17">
        <v>0</v>
      </c>
      <c r="M498" s="17">
        <v>77000</v>
      </c>
      <c r="N498" s="16" t="s">
        <v>244</v>
      </c>
      <c r="O498" s="16" t="s">
        <v>245</v>
      </c>
    </row>
    <row r="499" spans="1:15">
      <c r="A499" s="38">
        <v>45820</v>
      </c>
      <c r="B499" s="22" t="s">
        <v>17</v>
      </c>
      <c r="C499" s="22" t="s">
        <v>18</v>
      </c>
      <c r="D499" s="23" t="s">
        <v>140</v>
      </c>
      <c r="E499" s="39"/>
      <c r="F499" s="39"/>
      <c r="G499" s="39"/>
      <c r="H499" s="39"/>
      <c r="I499" s="17"/>
      <c r="J499" s="17"/>
      <c r="K499" s="17">
        <v>85000</v>
      </c>
      <c r="L499" s="17"/>
      <c r="M499" s="17">
        <v>14000</v>
      </c>
      <c r="N499" s="16"/>
      <c r="O499" s="16"/>
    </row>
    <row r="500" spans="1:15">
      <c r="A500" s="38">
        <v>45821</v>
      </c>
      <c r="B500" s="22" t="s">
        <v>17</v>
      </c>
      <c r="C500" s="22" t="s">
        <v>18</v>
      </c>
      <c r="D500" s="23" t="s">
        <v>246</v>
      </c>
      <c r="E500" s="39"/>
      <c r="F500" s="39"/>
      <c r="G500" s="39"/>
      <c r="H500" s="39"/>
      <c r="I500" s="17"/>
      <c r="J500" s="17"/>
      <c r="K500" s="17">
        <v>69000</v>
      </c>
      <c r="L500" s="17"/>
      <c r="M500" s="17">
        <v>14000</v>
      </c>
      <c r="N500" s="16"/>
      <c r="O500" s="16"/>
    </row>
    <row r="501" spans="1:15">
      <c r="A501" s="38">
        <v>45822</v>
      </c>
      <c r="B501" s="22" t="s">
        <v>17</v>
      </c>
      <c r="C501" s="22" t="s">
        <v>18</v>
      </c>
      <c r="D501" s="23" t="s">
        <v>140</v>
      </c>
      <c r="E501" s="39"/>
      <c r="F501" s="39"/>
      <c r="G501" s="39"/>
      <c r="H501" s="39"/>
      <c r="I501" s="17"/>
      <c r="J501" s="17"/>
      <c r="K501" s="17">
        <v>42500</v>
      </c>
      <c r="L501" s="17"/>
      <c r="M501" s="17">
        <v>14000</v>
      </c>
      <c r="N501" s="16"/>
      <c r="O501" s="16"/>
    </row>
    <row r="502" spans="1:15">
      <c r="A502" s="38">
        <v>45823</v>
      </c>
      <c r="B502" s="22" t="s">
        <v>17</v>
      </c>
      <c r="C502" s="22" t="s">
        <v>18</v>
      </c>
      <c r="D502" s="23" t="s">
        <v>243</v>
      </c>
      <c r="E502" s="39"/>
      <c r="F502" s="39"/>
      <c r="G502" s="39"/>
      <c r="H502" s="39"/>
      <c r="I502" s="17"/>
      <c r="J502" s="17"/>
      <c r="K502" s="17"/>
      <c r="L502" s="17"/>
      <c r="M502" s="17">
        <v>7000</v>
      </c>
      <c r="N502" s="16"/>
      <c r="O502" s="16"/>
    </row>
    <row r="503" spans="1:15">
      <c r="A503" s="38">
        <v>45825</v>
      </c>
      <c r="B503" s="22" t="s">
        <v>17</v>
      </c>
      <c r="C503" s="22" t="s">
        <v>18</v>
      </c>
      <c r="D503" s="23" t="s">
        <v>140</v>
      </c>
      <c r="E503" s="39"/>
      <c r="F503" s="39"/>
      <c r="G503" s="39"/>
      <c r="H503" s="39"/>
      <c r="I503" s="17"/>
      <c r="J503" s="17"/>
      <c r="K503" s="17">
        <v>85000</v>
      </c>
      <c r="L503" s="17"/>
      <c r="M503" s="17">
        <v>14000</v>
      </c>
      <c r="N503" s="16"/>
      <c r="O503" s="16"/>
    </row>
    <row r="504" spans="1:15">
      <c r="A504" s="38">
        <v>45826</v>
      </c>
      <c r="B504" s="22" t="s">
        <v>17</v>
      </c>
      <c r="C504" s="22" t="s">
        <v>18</v>
      </c>
      <c r="D504" s="23" t="s">
        <v>65</v>
      </c>
      <c r="E504" s="39"/>
      <c r="F504" s="39"/>
      <c r="G504" s="39"/>
      <c r="H504" s="39"/>
      <c r="I504" s="17"/>
      <c r="J504" s="17"/>
      <c r="K504" s="17">
        <v>85000</v>
      </c>
      <c r="L504" s="17"/>
      <c r="M504" s="17">
        <v>14000</v>
      </c>
      <c r="N504" s="16"/>
      <c r="O504" s="16"/>
    </row>
    <row r="505" spans="1:15">
      <c r="A505" s="38"/>
      <c r="B505" s="22"/>
      <c r="C505" s="22"/>
      <c r="D505" s="23"/>
      <c r="E505" s="39"/>
      <c r="F505" s="39"/>
      <c r="G505" s="39"/>
      <c r="H505" s="39"/>
      <c r="I505" s="17"/>
      <c r="J505" s="17"/>
      <c r="K505" s="17"/>
      <c r="L505" s="17"/>
      <c r="M505" s="17"/>
      <c r="N505" s="16"/>
      <c r="O505" s="16"/>
    </row>
    <row r="506" spans="1:15">
      <c r="A506" s="38">
        <v>45831</v>
      </c>
      <c r="B506" s="22"/>
      <c r="C506" s="22"/>
      <c r="D506" s="23"/>
      <c r="E506" s="39"/>
      <c r="F506" s="39"/>
      <c r="G506" s="39"/>
      <c r="H506" s="39"/>
      <c r="I506" s="17">
        <v>1000000</v>
      </c>
      <c r="J506" s="17">
        <v>0</v>
      </c>
      <c r="K506" s="17">
        <v>230000</v>
      </c>
      <c r="L506" s="17">
        <v>0</v>
      </c>
      <c r="M506" s="17">
        <v>53000</v>
      </c>
      <c r="N506" s="16" t="s">
        <v>247</v>
      </c>
      <c r="O506" s="16" t="s">
        <v>248</v>
      </c>
    </row>
    <row r="507" spans="1:15">
      <c r="A507" s="38">
        <v>45827</v>
      </c>
      <c r="B507" s="22" t="s">
        <v>17</v>
      </c>
      <c r="C507" s="22" t="s">
        <v>18</v>
      </c>
      <c r="D507" s="23" t="s">
        <v>246</v>
      </c>
      <c r="E507" s="39"/>
      <c r="F507" s="39"/>
      <c r="G507" s="39"/>
      <c r="H507" s="39"/>
      <c r="I507" s="17"/>
      <c r="J507" s="17"/>
      <c r="K507" s="17">
        <v>85000</v>
      </c>
      <c r="L507" s="17"/>
      <c r="M507" s="17">
        <v>14000</v>
      </c>
      <c r="N507" s="16"/>
      <c r="O507" s="16"/>
    </row>
    <row r="508" spans="1:15">
      <c r="A508" s="38">
        <v>45828</v>
      </c>
      <c r="B508" s="22" t="s">
        <v>17</v>
      </c>
      <c r="C508" s="22" t="s">
        <v>18</v>
      </c>
      <c r="D508" s="23" t="s">
        <v>140</v>
      </c>
      <c r="E508" s="39"/>
      <c r="F508" s="39"/>
      <c r="G508" s="39"/>
      <c r="H508" s="39"/>
      <c r="I508" s="17"/>
      <c r="J508" s="17"/>
      <c r="K508" s="17">
        <v>85000</v>
      </c>
      <c r="L508" s="17"/>
      <c r="M508" s="17">
        <v>11000</v>
      </c>
      <c r="N508" s="16"/>
      <c r="O508" s="16"/>
    </row>
    <row r="509" spans="1:15">
      <c r="A509" s="38">
        <v>45829</v>
      </c>
      <c r="B509" s="22" t="s">
        <v>17</v>
      </c>
      <c r="C509" s="22" t="s">
        <v>18</v>
      </c>
      <c r="D509" s="23" t="s">
        <v>249</v>
      </c>
      <c r="E509" s="39"/>
      <c r="F509" s="39"/>
      <c r="G509" s="39"/>
      <c r="H509" s="39"/>
      <c r="I509" s="17"/>
      <c r="J509" s="17"/>
      <c r="K509" s="17">
        <v>60000</v>
      </c>
      <c r="L509" s="17"/>
      <c r="M509" s="17">
        <v>14000</v>
      </c>
      <c r="N509" s="16"/>
      <c r="O509" s="16"/>
    </row>
    <row r="510" spans="1:15">
      <c r="A510" s="38">
        <v>45831</v>
      </c>
      <c r="B510" s="22" t="s">
        <v>17</v>
      </c>
      <c r="C510" s="22" t="s">
        <v>18</v>
      </c>
      <c r="D510" s="23" t="s">
        <v>243</v>
      </c>
      <c r="E510" s="39"/>
      <c r="F510" s="39"/>
      <c r="G510" s="39"/>
      <c r="H510" s="39"/>
      <c r="I510" s="17"/>
      <c r="J510" s="17"/>
      <c r="K510" s="17"/>
      <c r="L510" s="17"/>
      <c r="M510" s="17">
        <v>14000</v>
      </c>
      <c r="N510" s="16"/>
      <c r="O510" s="16"/>
    </row>
    <row r="511" spans="1:15">
      <c r="A511" s="38"/>
      <c r="B511" s="22"/>
      <c r="C511" s="22"/>
      <c r="D511" s="23"/>
      <c r="E511" s="39"/>
      <c r="F511" s="39"/>
      <c r="G511" s="39"/>
      <c r="H511" s="39"/>
      <c r="I511" s="17"/>
      <c r="J511" s="17"/>
      <c r="K511" s="17"/>
      <c r="L511" s="17"/>
      <c r="M511" s="17"/>
      <c r="N511" s="16"/>
      <c r="O511" s="16"/>
    </row>
    <row r="512" spans="1:15">
      <c r="A512" s="38">
        <v>45838</v>
      </c>
      <c r="B512" s="22"/>
      <c r="C512" s="22"/>
      <c r="D512" s="23"/>
      <c r="E512" s="39"/>
      <c r="F512" s="39"/>
      <c r="G512" s="39"/>
      <c r="H512" s="39"/>
      <c r="I512" s="17">
        <v>1000000</v>
      </c>
      <c r="J512" s="17">
        <v>0</v>
      </c>
      <c r="K512" s="17">
        <v>329500</v>
      </c>
      <c r="L512" s="17">
        <v>0</v>
      </c>
      <c r="M512" s="17">
        <v>56000</v>
      </c>
      <c r="N512" s="16" t="s">
        <v>250</v>
      </c>
      <c r="O512" s="16" t="s">
        <v>251</v>
      </c>
    </row>
    <row r="513" spans="1:15">
      <c r="A513" s="38">
        <v>45832</v>
      </c>
      <c r="B513" s="22" t="s">
        <v>17</v>
      </c>
      <c r="C513" s="22" t="s">
        <v>18</v>
      </c>
      <c r="D513" s="23" t="s">
        <v>252</v>
      </c>
      <c r="E513" s="39"/>
      <c r="F513" s="39"/>
      <c r="G513" s="39"/>
      <c r="H513" s="39"/>
      <c r="I513" s="17"/>
      <c r="J513" s="17"/>
      <c r="K513" s="17">
        <v>74500</v>
      </c>
      <c r="L513" s="17"/>
      <c r="M513" s="17">
        <v>7000</v>
      </c>
      <c r="N513" s="16"/>
      <c r="O513" s="16"/>
    </row>
    <row r="514" spans="1:15">
      <c r="A514" s="38">
        <v>45833</v>
      </c>
      <c r="B514" s="22" t="s">
        <v>17</v>
      </c>
      <c r="C514" s="22" t="s">
        <v>18</v>
      </c>
      <c r="D514" s="23" t="s">
        <v>253</v>
      </c>
      <c r="E514" s="39"/>
      <c r="F514" s="39"/>
      <c r="G514" s="39"/>
      <c r="H514" s="39"/>
      <c r="I514" s="17"/>
      <c r="J514" s="17"/>
      <c r="K514" s="17">
        <v>58500</v>
      </c>
      <c r="L514" s="17"/>
      <c r="M514" s="17">
        <v>7000</v>
      </c>
      <c r="N514" s="16"/>
      <c r="O514" s="16"/>
    </row>
    <row r="515" spans="1:15">
      <c r="A515" s="38">
        <v>45834</v>
      </c>
      <c r="B515" s="22" t="s">
        <v>17</v>
      </c>
      <c r="C515" s="22" t="s">
        <v>18</v>
      </c>
      <c r="D515" s="23" t="s">
        <v>120</v>
      </c>
      <c r="E515" s="39"/>
      <c r="F515" s="39"/>
      <c r="G515" s="39"/>
      <c r="H515" s="39"/>
      <c r="I515" s="17"/>
      <c r="J515" s="17"/>
      <c r="K515" s="17">
        <v>85000</v>
      </c>
      <c r="L515" s="17"/>
      <c r="M515" s="17">
        <v>14000</v>
      </c>
      <c r="N515" s="16"/>
      <c r="O515" s="16"/>
    </row>
    <row r="516" spans="1:15">
      <c r="A516" s="38">
        <v>45836</v>
      </c>
      <c r="B516" s="22" t="s">
        <v>17</v>
      </c>
      <c r="C516" s="22" t="s">
        <v>18</v>
      </c>
      <c r="D516" s="23" t="s">
        <v>243</v>
      </c>
      <c r="E516" s="39"/>
      <c r="F516" s="39"/>
      <c r="G516" s="39"/>
      <c r="H516" s="39"/>
      <c r="I516" s="17"/>
      <c r="J516" s="17"/>
      <c r="K516" s="17">
        <v>42500</v>
      </c>
      <c r="L516" s="17"/>
      <c r="M516" s="17">
        <v>14000</v>
      </c>
      <c r="N516" s="16"/>
      <c r="O516" s="16"/>
    </row>
    <row r="517" spans="1:15">
      <c r="A517" s="38">
        <v>45838</v>
      </c>
      <c r="B517" s="22" t="s">
        <v>17</v>
      </c>
      <c r="C517" s="22" t="s">
        <v>18</v>
      </c>
      <c r="D517" s="23" t="s">
        <v>246</v>
      </c>
      <c r="E517" s="39"/>
      <c r="F517" s="39"/>
      <c r="G517" s="39"/>
      <c r="H517" s="39"/>
      <c r="I517" s="17"/>
      <c r="J517" s="17"/>
      <c r="K517" s="17">
        <v>69000</v>
      </c>
      <c r="L517" s="17"/>
      <c r="M517" s="17">
        <v>14000</v>
      </c>
      <c r="N517" s="16"/>
      <c r="O517" s="16"/>
    </row>
    <row r="518" spans="1:15">
      <c r="A518" s="38"/>
      <c r="B518" s="22"/>
      <c r="C518" s="22"/>
      <c r="D518" s="23"/>
      <c r="E518" s="39"/>
      <c r="F518" s="39"/>
      <c r="G518" s="39"/>
      <c r="H518" s="39"/>
      <c r="I518" s="17"/>
      <c r="J518" s="17"/>
      <c r="K518" s="17"/>
      <c r="L518" s="17"/>
      <c r="M518" s="17"/>
      <c r="N518" s="16"/>
      <c r="O518" s="16"/>
    </row>
    <row r="519" spans="1:15">
      <c r="A519" s="38">
        <v>45845</v>
      </c>
      <c r="B519" s="22"/>
      <c r="C519" s="22"/>
      <c r="D519" s="23"/>
      <c r="E519" s="39"/>
      <c r="F519" s="39"/>
      <c r="G519" s="39"/>
      <c r="H519" s="39"/>
      <c r="I519" s="17">
        <v>1000000</v>
      </c>
      <c r="J519" s="17">
        <v>0</v>
      </c>
      <c r="K519" s="17">
        <v>443000</v>
      </c>
      <c r="L519" s="17">
        <v>135000</v>
      </c>
      <c r="M519" s="17">
        <v>91000</v>
      </c>
      <c r="N519" s="16" t="s">
        <v>254</v>
      </c>
      <c r="O519" s="16" t="s">
        <v>255</v>
      </c>
    </row>
    <row r="520" spans="1:15">
      <c r="A520" s="38">
        <v>45839</v>
      </c>
      <c r="B520" s="22" t="s">
        <v>17</v>
      </c>
      <c r="C520" s="22" t="s">
        <v>18</v>
      </c>
      <c r="D520" s="23" t="s">
        <v>120</v>
      </c>
      <c r="E520" s="39"/>
      <c r="F520" s="39"/>
      <c r="G520" s="39"/>
      <c r="H520" s="39"/>
      <c r="I520" s="17"/>
      <c r="J520" s="17"/>
      <c r="K520" s="17">
        <v>67500</v>
      </c>
      <c r="L520" s="17">
        <v>135000</v>
      </c>
      <c r="M520" s="17">
        <v>14000</v>
      </c>
      <c r="N520" s="16"/>
      <c r="O520" s="16"/>
    </row>
    <row r="521" spans="1:15">
      <c r="A521" s="38">
        <v>45840</v>
      </c>
      <c r="B521" s="22" t="s">
        <v>17</v>
      </c>
      <c r="C521" s="22" t="s">
        <v>18</v>
      </c>
      <c r="D521" s="23" t="s">
        <v>120</v>
      </c>
      <c r="E521" s="39"/>
      <c r="F521" s="39"/>
      <c r="G521" s="39"/>
      <c r="H521" s="39"/>
      <c r="I521" s="17"/>
      <c r="J521" s="17"/>
      <c r="K521" s="17">
        <v>85000</v>
      </c>
      <c r="L521" s="17"/>
      <c r="M521" s="17">
        <v>14000</v>
      </c>
      <c r="N521" s="16"/>
      <c r="O521" s="16"/>
    </row>
    <row r="522" spans="1:15">
      <c r="A522" s="38">
        <v>45841</v>
      </c>
      <c r="B522" s="22" t="s">
        <v>17</v>
      </c>
      <c r="C522" s="22" t="s">
        <v>18</v>
      </c>
      <c r="D522" s="23" t="s">
        <v>246</v>
      </c>
      <c r="E522" s="39"/>
      <c r="F522" s="39"/>
      <c r="G522" s="39"/>
      <c r="H522" s="39"/>
      <c r="I522" s="17"/>
      <c r="J522" s="17"/>
      <c r="K522" s="17">
        <v>94000</v>
      </c>
      <c r="L522" s="17"/>
      <c r="M522" s="17">
        <v>14000</v>
      </c>
      <c r="N522" s="16"/>
      <c r="O522" s="16"/>
    </row>
    <row r="523" spans="1:15">
      <c r="A523" s="38">
        <v>45842</v>
      </c>
      <c r="B523" s="22" t="s">
        <v>17</v>
      </c>
      <c r="C523" s="22" t="s">
        <v>18</v>
      </c>
      <c r="D523" s="23" t="s">
        <v>192</v>
      </c>
      <c r="E523" s="39"/>
      <c r="F523" s="39"/>
      <c r="G523" s="39"/>
      <c r="H523" s="39"/>
      <c r="I523" s="17"/>
      <c r="J523" s="17"/>
      <c r="K523" s="17">
        <v>85000</v>
      </c>
      <c r="L523" s="17"/>
      <c r="M523" s="17">
        <v>14000</v>
      </c>
      <c r="N523" s="16"/>
      <c r="O523" s="16"/>
    </row>
    <row r="524" spans="1:15">
      <c r="A524" s="38">
        <v>45843</v>
      </c>
      <c r="B524" s="22" t="s">
        <v>17</v>
      </c>
      <c r="C524" s="22" t="s">
        <v>18</v>
      </c>
      <c r="D524" s="23" t="s">
        <v>120</v>
      </c>
      <c r="E524" s="39"/>
      <c r="F524" s="39"/>
      <c r="G524" s="39"/>
      <c r="H524" s="39"/>
      <c r="I524" s="17"/>
      <c r="J524" s="17"/>
      <c r="K524" s="17">
        <v>69000</v>
      </c>
      <c r="L524" s="17"/>
      <c r="M524" s="17">
        <v>14000</v>
      </c>
      <c r="N524" s="16"/>
      <c r="O524" s="16"/>
    </row>
    <row r="525" spans="1:15">
      <c r="A525" s="38">
        <v>45844</v>
      </c>
      <c r="B525" s="22" t="s">
        <v>17</v>
      </c>
      <c r="C525" s="22" t="s">
        <v>18</v>
      </c>
      <c r="D525" s="23" t="s">
        <v>231</v>
      </c>
      <c r="E525" s="39"/>
      <c r="F525" s="39"/>
      <c r="G525" s="39"/>
      <c r="H525" s="39"/>
      <c r="I525" s="17"/>
      <c r="J525" s="17"/>
      <c r="K525" s="17"/>
      <c r="L525" s="17"/>
      <c r="M525" s="17">
        <v>7000</v>
      </c>
      <c r="N525" s="16"/>
      <c r="O525" s="16"/>
    </row>
    <row r="526" spans="1:15">
      <c r="A526" s="38">
        <v>45845</v>
      </c>
      <c r="B526" s="22" t="s">
        <v>17</v>
      </c>
      <c r="C526" s="22" t="s">
        <v>18</v>
      </c>
      <c r="D526" s="23" t="s">
        <v>256</v>
      </c>
      <c r="E526" s="39"/>
      <c r="F526" s="39"/>
      <c r="G526" s="39"/>
      <c r="H526" s="39"/>
      <c r="I526" s="17"/>
      <c r="J526" s="17"/>
      <c r="K526" s="17">
        <v>42500</v>
      </c>
      <c r="L526" s="17"/>
      <c r="M526" s="17">
        <v>14000</v>
      </c>
      <c r="N526" s="16"/>
      <c r="O526" s="16"/>
    </row>
    <row r="527" spans="1:15">
      <c r="A527" s="38"/>
      <c r="B527" s="22"/>
      <c r="C527" s="22"/>
      <c r="D527" s="23"/>
      <c r="E527" s="39"/>
      <c r="F527" s="39"/>
      <c r="G527" s="39"/>
      <c r="H527" s="39"/>
      <c r="I527" s="17"/>
      <c r="J527" s="17"/>
      <c r="K527" s="17"/>
      <c r="L527" s="17"/>
      <c r="M527" s="17"/>
      <c r="N527" s="16"/>
      <c r="O527" s="16"/>
    </row>
    <row r="528" spans="1:15">
      <c r="A528" s="38">
        <v>45852</v>
      </c>
      <c r="B528" s="22"/>
      <c r="C528" s="22"/>
      <c r="D528" s="23"/>
      <c r="E528" s="39"/>
      <c r="F528" s="39"/>
      <c r="G528" s="39"/>
      <c r="H528" s="39"/>
      <c r="I528" s="17">
        <v>1000000</v>
      </c>
      <c r="J528" s="17">
        <v>0</v>
      </c>
      <c r="K528" s="17">
        <v>341500</v>
      </c>
      <c r="L528" s="17">
        <v>0</v>
      </c>
      <c r="M528" s="17">
        <v>68000</v>
      </c>
      <c r="N528" s="16" t="s">
        <v>257</v>
      </c>
      <c r="O528" s="16" t="s">
        <v>258</v>
      </c>
    </row>
    <row r="529" spans="1:15">
      <c r="A529" s="38">
        <v>45846</v>
      </c>
      <c r="B529" s="22" t="s">
        <v>17</v>
      </c>
      <c r="C529" s="22" t="s">
        <v>18</v>
      </c>
      <c r="D529" s="23" t="s">
        <v>120</v>
      </c>
      <c r="E529" s="39"/>
      <c r="F529" s="39"/>
      <c r="G529" s="39"/>
      <c r="H529" s="39"/>
      <c r="I529" s="17"/>
      <c r="J529" s="17"/>
      <c r="K529" s="17">
        <v>69000</v>
      </c>
      <c r="L529" s="17"/>
      <c r="M529" s="17">
        <v>11000</v>
      </c>
      <c r="N529" s="16"/>
      <c r="O529" s="16"/>
    </row>
    <row r="530" spans="1:15">
      <c r="A530" s="38">
        <v>45848</v>
      </c>
      <c r="B530" s="22" t="s">
        <v>17</v>
      </c>
      <c r="C530" s="22" t="s">
        <v>18</v>
      </c>
      <c r="D530" s="23" t="s">
        <v>246</v>
      </c>
      <c r="E530" s="39"/>
      <c r="F530" s="39"/>
      <c r="G530" s="39"/>
      <c r="H530" s="39"/>
      <c r="I530" s="17"/>
      <c r="J530" s="17"/>
      <c r="K530" s="17">
        <v>85000</v>
      </c>
      <c r="L530" s="17"/>
      <c r="M530" s="17">
        <v>14000</v>
      </c>
      <c r="N530" s="16"/>
      <c r="O530" s="16"/>
    </row>
    <row r="531" spans="1:15">
      <c r="A531" s="38">
        <v>45849</v>
      </c>
      <c r="B531" s="22" t="s">
        <v>17</v>
      </c>
      <c r="C531" s="22" t="s">
        <v>18</v>
      </c>
      <c r="D531" s="23" t="s">
        <v>120</v>
      </c>
      <c r="E531" s="39"/>
      <c r="F531" s="39"/>
      <c r="G531" s="39"/>
      <c r="H531" s="39"/>
      <c r="I531" s="17"/>
      <c r="J531" s="17"/>
      <c r="K531" s="17">
        <v>85000</v>
      </c>
      <c r="L531" s="17"/>
      <c r="M531" s="17">
        <v>14000</v>
      </c>
      <c r="N531" s="16"/>
      <c r="O531" s="16"/>
    </row>
    <row r="532" spans="1:15">
      <c r="A532" s="38">
        <v>45850</v>
      </c>
      <c r="B532" s="22" t="s">
        <v>17</v>
      </c>
      <c r="C532" s="22" t="s">
        <v>18</v>
      </c>
      <c r="D532" s="23" t="s">
        <v>120</v>
      </c>
      <c r="E532" s="39"/>
      <c r="F532" s="39"/>
      <c r="G532" s="39"/>
      <c r="H532" s="39"/>
      <c r="I532" s="17"/>
      <c r="J532" s="17"/>
      <c r="K532" s="17">
        <v>60000</v>
      </c>
      <c r="L532" s="17"/>
      <c r="M532" s="17">
        <v>8000</v>
      </c>
      <c r="N532" s="16"/>
      <c r="O532" s="16"/>
    </row>
    <row r="533" spans="1:15">
      <c r="A533" s="38">
        <v>45851</v>
      </c>
      <c r="B533" s="22" t="s">
        <v>17</v>
      </c>
      <c r="C533" s="22" t="s">
        <v>18</v>
      </c>
      <c r="D533" s="23" t="s">
        <v>231</v>
      </c>
      <c r="E533" s="39"/>
      <c r="F533" s="39"/>
      <c r="G533" s="39"/>
      <c r="H533" s="39"/>
      <c r="I533" s="17"/>
      <c r="J533" s="17"/>
      <c r="K533" s="17"/>
      <c r="L533" s="17"/>
      <c r="M533" s="17">
        <v>7000</v>
      </c>
      <c r="N533" s="16"/>
      <c r="O533" s="16"/>
    </row>
    <row r="534" spans="1:15">
      <c r="A534" s="38">
        <v>45852</v>
      </c>
      <c r="B534" s="22" t="s">
        <v>17</v>
      </c>
      <c r="C534" s="22" t="s">
        <v>18</v>
      </c>
      <c r="D534" s="23" t="s">
        <v>256</v>
      </c>
      <c r="E534" s="39"/>
      <c r="F534" s="39"/>
      <c r="G534" s="39"/>
      <c r="H534" s="39"/>
      <c r="I534" s="17"/>
      <c r="J534" s="17"/>
      <c r="K534" s="17">
        <v>42500</v>
      </c>
      <c r="L534" s="17"/>
      <c r="M534" s="17">
        <v>14000</v>
      </c>
      <c r="N534" s="16"/>
      <c r="O534" s="16"/>
    </row>
    <row r="535" spans="1:15">
      <c r="A535" s="38"/>
      <c r="B535" s="22"/>
      <c r="C535" s="22"/>
      <c r="D535" s="23"/>
      <c r="E535" s="39"/>
      <c r="F535" s="39"/>
      <c r="G535" s="39"/>
      <c r="H535" s="39"/>
      <c r="I535" s="17"/>
      <c r="J535" s="17"/>
      <c r="K535" s="17"/>
      <c r="L535" s="17"/>
      <c r="M535" s="17"/>
      <c r="N535" s="16"/>
      <c r="O535" s="16"/>
    </row>
    <row r="536" spans="1:15">
      <c r="A536" s="38">
        <v>45859</v>
      </c>
      <c r="B536" s="22"/>
      <c r="C536" s="22"/>
      <c r="D536" s="23"/>
      <c r="E536" s="39"/>
      <c r="F536" s="39"/>
      <c r="G536" s="39"/>
      <c r="H536" s="39"/>
      <c r="I536" s="17">
        <v>1000000</v>
      </c>
      <c r="J536" s="17">
        <v>0</v>
      </c>
      <c r="K536" s="17">
        <v>382500</v>
      </c>
      <c r="L536" s="17">
        <v>0</v>
      </c>
      <c r="M536" s="17">
        <v>84000</v>
      </c>
      <c r="N536" s="16" t="s">
        <v>259</v>
      </c>
      <c r="O536" s="16" t="s">
        <v>260</v>
      </c>
    </row>
    <row r="537" spans="1:15">
      <c r="A537" s="38">
        <v>45853</v>
      </c>
      <c r="B537" s="22" t="s">
        <v>17</v>
      </c>
      <c r="C537" s="22" t="s">
        <v>18</v>
      </c>
      <c r="D537" s="23" t="s">
        <v>120</v>
      </c>
      <c r="E537" s="39"/>
      <c r="F537" s="39"/>
      <c r="G537" s="39"/>
      <c r="H537" s="39"/>
      <c r="I537" s="17"/>
      <c r="J537" s="17"/>
      <c r="K537" s="17">
        <v>85000</v>
      </c>
      <c r="L537" s="17"/>
      <c r="M537" s="17">
        <v>14000</v>
      </c>
      <c r="N537" s="16"/>
      <c r="O537" s="16"/>
    </row>
    <row r="538" spans="1:15">
      <c r="A538" s="38">
        <v>45854</v>
      </c>
      <c r="B538" s="22" t="s">
        <v>17</v>
      </c>
      <c r="C538" s="22" t="s">
        <v>18</v>
      </c>
      <c r="D538" s="23" t="s">
        <v>246</v>
      </c>
      <c r="E538" s="39"/>
      <c r="F538" s="39"/>
      <c r="G538" s="39"/>
      <c r="H538" s="39"/>
      <c r="I538" s="17"/>
      <c r="J538" s="17"/>
      <c r="K538" s="17">
        <v>85000</v>
      </c>
      <c r="L538" s="17"/>
      <c r="M538" s="17">
        <v>14000</v>
      </c>
      <c r="N538" s="16"/>
      <c r="O538" s="16"/>
    </row>
    <row r="539" spans="1:15">
      <c r="A539" s="38">
        <v>45855</v>
      </c>
      <c r="B539" s="22" t="s">
        <v>17</v>
      </c>
      <c r="C539" s="22" t="s">
        <v>18</v>
      </c>
      <c r="D539" s="23" t="s">
        <v>243</v>
      </c>
      <c r="E539" s="39"/>
      <c r="F539" s="39"/>
      <c r="G539" s="39"/>
      <c r="H539" s="39"/>
      <c r="I539" s="17"/>
      <c r="J539" s="17"/>
      <c r="K539" s="17">
        <v>16000</v>
      </c>
      <c r="L539" s="17"/>
      <c r="M539" s="17">
        <v>7000</v>
      </c>
      <c r="N539" s="16"/>
      <c r="O539" s="16"/>
    </row>
    <row r="540" spans="1:15">
      <c r="A540" s="38">
        <v>45856</v>
      </c>
      <c r="B540" s="22" t="s">
        <v>17</v>
      </c>
      <c r="C540" s="22" t="s">
        <v>18</v>
      </c>
      <c r="D540" s="23" t="s">
        <v>120</v>
      </c>
      <c r="E540" s="39"/>
      <c r="F540" s="39"/>
      <c r="G540" s="39"/>
      <c r="H540" s="39"/>
      <c r="I540" s="17"/>
      <c r="J540" s="17"/>
      <c r="K540" s="17">
        <v>85000</v>
      </c>
      <c r="L540" s="17"/>
      <c r="M540" s="17">
        <v>14000</v>
      </c>
      <c r="N540" s="16"/>
      <c r="O540" s="16"/>
    </row>
    <row r="541" spans="1:15">
      <c r="A541" s="38">
        <v>45857</v>
      </c>
      <c r="B541" s="22" t="s">
        <v>17</v>
      </c>
      <c r="C541" s="22" t="s">
        <v>18</v>
      </c>
      <c r="D541" s="23" t="s">
        <v>68</v>
      </c>
      <c r="E541" s="39"/>
      <c r="F541" s="39"/>
      <c r="G541" s="39"/>
      <c r="H541" s="39"/>
      <c r="I541" s="17"/>
      <c r="J541" s="17"/>
      <c r="K541" s="17">
        <v>26500</v>
      </c>
      <c r="L541" s="17"/>
      <c r="M541" s="17">
        <v>7000</v>
      </c>
      <c r="N541" s="16"/>
      <c r="O541" s="16"/>
    </row>
    <row r="542" spans="1:15">
      <c r="A542" s="38">
        <v>45858</v>
      </c>
      <c r="B542" s="22" t="s">
        <v>17</v>
      </c>
      <c r="C542" s="22" t="s">
        <v>18</v>
      </c>
      <c r="D542" s="23" t="s">
        <v>231</v>
      </c>
      <c r="E542" s="39"/>
      <c r="F542" s="39"/>
      <c r="G542" s="39"/>
      <c r="H542" s="39"/>
      <c r="I542" s="17"/>
      <c r="J542" s="17"/>
      <c r="K542" s="17">
        <v>0</v>
      </c>
      <c r="L542" s="17"/>
      <c r="M542" s="17">
        <v>14000</v>
      </c>
      <c r="N542" s="16"/>
      <c r="O542" s="16"/>
    </row>
    <row r="543" spans="1:15">
      <c r="A543" s="38">
        <v>45859</v>
      </c>
      <c r="B543" s="22" t="s">
        <v>17</v>
      </c>
      <c r="C543" s="22" t="s">
        <v>18</v>
      </c>
      <c r="D543" s="23" t="s">
        <v>120</v>
      </c>
      <c r="E543" s="39"/>
      <c r="F543" s="39"/>
      <c r="G543" s="39"/>
      <c r="H543" s="39"/>
      <c r="I543" s="17"/>
      <c r="J543" s="17"/>
      <c r="K543" s="17">
        <v>85000</v>
      </c>
      <c r="L543" s="17"/>
      <c r="M543" s="17">
        <v>14000</v>
      </c>
      <c r="N543" s="16"/>
      <c r="O543" s="16"/>
    </row>
    <row r="544" spans="1:15">
      <c r="A544" s="38"/>
      <c r="B544" s="22"/>
      <c r="C544" s="22"/>
      <c r="D544" s="23"/>
      <c r="E544" s="39"/>
      <c r="F544" s="39"/>
      <c r="G544" s="39"/>
      <c r="H544" s="39"/>
      <c r="I544" s="17"/>
      <c r="J544" s="17"/>
      <c r="K544" s="17"/>
      <c r="L544" s="17"/>
      <c r="M544" s="17"/>
      <c r="N544" s="16"/>
      <c r="O544" s="16"/>
    </row>
    <row r="545" spans="1:15">
      <c r="A545" s="38">
        <v>45866</v>
      </c>
      <c r="B545" s="22"/>
      <c r="C545" s="22"/>
      <c r="D545" s="23"/>
      <c r="E545" s="39"/>
      <c r="F545" s="39"/>
      <c r="G545" s="39"/>
      <c r="H545" s="39"/>
      <c r="I545" s="17">
        <v>1000000</v>
      </c>
      <c r="J545" s="17">
        <v>0</v>
      </c>
      <c r="K545" s="17">
        <v>350500</v>
      </c>
      <c r="L545" s="17">
        <v>165000</v>
      </c>
      <c r="M545" s="17">
        <v>78000</v>
      </c>
      <c r="N545" s="16" t="s">
        <v>261</v>
      </c>
      <c r="O545" s="16" t="s">
        <v>262</v>
      </c>
    </row>
    <row r="546" spans="1:15">
      <c r="A546" s="38">
        <v>45861</v>
      </c>
      <c r="B546" s="22" t="s">
        <v>17</v>
      </c>
      <c r="C546" s="22" t="s">
        <v>18</v>
      </c>
      <c r="D546" s="23" t="s">
        <v>246</v>
      </c>
      <c r="E546" s="39"/>
      <c r="F546" s="39"/>
      <c r="G546" s="39"/>
      <c r="H546" s="39"/>
      <c r="I546" s="17"/>
      <c r="J546" s="17"/>
      <c r="K546" s="17">
        <v>69000</v>
      </c>
      <c r="L546" s="17"/>
      <c r="M546" s="17">
        <v>14000</v>
      </c>
      <c r="N546" s="16"/>
      <c r="O546" s="16"/>
    </row>
    <row r="547" spans="1:15">
      <c r="A547" s="38">
        <v>45862</v>
      </c>
      <c r="B547" s="22" t="s">
        <v>17</v>
      </c>
      <c r="C547" s="22" t="s">
        <v>18</v>
      </c>
      <c r="D547" s="23" t="s">
        <v>263</v>
      </c>
      <c r="E547" s="39"/>
      <c r="F547" s="39"/>
      <c r="G547" s="39"/>
      <c r="H547" s="39"/>
      <c r="I547" s="17"/>
      <c r="J547" s="17"/>
      <c r="K547" s="17">
        <v>42500</v>
      </c>
      <c r="L547" s="17"/>
      <c r="M547" s="17">
        <v>14000</v>
      </c>
      <c r="N547" s="16"/>
      <c r="O547" s="16"/>
    </row>
    <row r="548" spans="1:15">
      <c r="A548" s="38">
        <v>45863</v>
      </c>
      <c r="B548" s="22" t="s">
        <v>17</v>
      </c>
      <c r="C548" s="22" t="s">
        <v>18</v>
      </c>
      <c r="D548" s="23" t="s">
        <v>192</v>
      </c>
      <c r="E548" s="39"/>
      <c r="F548" s="39"/>
      <c r="G548" s="39"/>
      <c r="H548" s="39"/>
      <c r="I548" s="17"/>
      <c r="J548" s="17"/>
      <c r="K548" s="17">
        <v>69000</v>
      </c>
      <c r="L548" s="17"/>
      <c r="M548" s="17">
        <v>14000</v>
      </c>
      <c r="N548" s="16"/>
      <c r="O548" s="16"/>
    </row>
    <row r="549" spans="1:15">
      <c r="A549" s="38">
        <v>45864</v>
      </c>
      <c r="B549" s="22" t="s">
        <v>17</v>
      </c>
      <c r="C549" s="22" t="s">
        <v>18</v>
      </c>
      <c r="D549" s="23" t="s">
        <v>40</v>
      </c>
      <c r="E549" s="39"/>
      <c r="F549" s="39"/>
      <c r="G549" s="39"/>
      <c r="H549" s="39"/>
      <c r="I549" s="17"/>
      <c r="J549" s="17"/>
      <c r="K549" s="17">
        <v>85000</v>
      </c>
      <c r="L549" s="17">
        <v>165000</v>
      </c>
      <c r="M549" s="17">
        <v>14000</v>
      </c>
      <c r="N549" s="16"/>
      <c r="O549" s="16"/>
    </row>
    <row r="550" spans="1:15">
      <c r="A550" s="38">
        <v>45865</v>
      </c>
      <c r="B550" s="22" t="s">
        <v>17</v>
      </c>
      <c r="C550" s="22" t="s">
        <v>18</v>
      </c>
      <c r="D550" s="23" t="s">
        <v>264</v>
      </c>
      <c r="E550" s="39"/>
      <c r="F550" s="39"/>
      <c r="G550" s="39"/>
      <c r="H550" s="39"/>
      <c r="I550" s="17"/>
      <c r="J550" s="17"/>
      <c r="K550" s="17">
        <v>16000</v>
      </c>
      <c r="L550" s="17"/>
      <c r="M550" s="17">
        <v>11000</v>
      </c>
      <c r="N550" s="16"/>
      <c r="O550" s="16"/>
    </row>
    <row r="551" spans="1:15">
      <c r="A551" s="38">
        <v>45866</v>
      </c>
      <c r="B551" s="22" t="s">
        <v>17</v>
      </c>
      <c r="C551" s="22" t="s">
        <v>18</v>
      </c>
      <c r="D551" s="23" t="s">
        <v>120</v>
      </c>
      <c r="E551" s="39"/>
      <c r="F551" s="39"/>
      <c r="G551" s="39"/>
      <c r="H551" s="39"/>
      <c r="I551" s="17"/>
      <c r="J551" s="17"/>
      <c r="K551" s="17">
        <v>69000</v>
      </c>
      <c r="L551" s="17"/>
      <c r="M551" s="17">
        <v>11000</v>
      </c>
      <c r="N551" s="16"/>
      <c r="O551" s="16"/>
    </row>
    <row r="552" spans="1:15">
      <c r="A552" s="38"/>
      <c r="B552" s="22"/>
      <c r="C552" s="22"/>
      <c r="D552" s="23"/>
      <c r="E552" s="39"/>
      <c r="F552" s="39"/>
      <c r="G552" s="39"/>
      <c r="H552" s="39"/>
      <c r="I552" s="17"/>
      <c r="J552" s="17"/>
      <c r="K552" s="17"/>
      <c r="L552" s="17"/>
      <c r="M552" s="17"/>
      <c r="N552" s="16"/>
      <c r="O552" s="16"/>
    </row>
    <row r="553" spans="1:15">
      <c r="A553" s="38">
        <v>45873</v>
      </c>
      <c r="B553" s="22"/>
      <c r="C553" s="22"/>
      <c r="D553" s="23"/>
      <c r="E553" s="39"/>
      <c r="F553" s="39"/>
      <c r="G553" s="39"/>
      <c r="H553" s="39"/>
      <c r="I553" s="17">
        <v>1000000</v>
      </c>
      <c r="J553" s="17">
        <v>0</v>
      </c>
      <c r="K553" s="17">
        <v>354500</v>
      </c>
      <c r="L553" s="17">
        <v>120000</v>
      </c>
      <c r="M553" s="17">
        <v>84000</v>
      </c>
      <c r="N553" s="16" t="s">
        <v>265</v>
      </c>
      <c r="O553" s="16" t="s">
        <v>266</v>
      </c>
    </row>
    <row r="554" spans="1:15">
      <c r="A554" s="38">
        <v>45868</v>
      </c>
      <c r="B554" s="22" t="s">
        <v>17</v>
      </c>
      <c r="C554" s="22" t="s">
        <v>18</v>
      </c>
      <c r="D554" s="23" t="s">
        <v>120</v>
      </c>
      <c r="E554" s="39"/>
      <c r="F554" s="39"/>
      <c r="G554" s="39"/>
      <c r="H554" s="39"/>
      <c r="I554" s="17"/>
      <c r="J554" s="17"/>
      <c r="K554" s="17">
        <v>85000</v>
      </c>
      <c r="L554" s="17"/>
      <c r="M554" s="17">
        <v>14000</v>
      </c>
      <c r="N554" s="16"/>
      <c r="O554" s="16"/>
    </row>
    <row r="555" spans="1:15">
      <c r="A555" s="38">
        <v>45869</v>
      </c>
      <c r="B555" s="22" t="s">
        <v>17</v>
      </c>
      <c r="C555" s="22" t="s">
        <v>18</v>
      </c>
      <c r="D555" s="23" t="s">
        <v>86</v>
      </c>
      <c r="E555" s="39"/>
      <c r="F555" s="39"/>
      <c r="G555" s="39"/>
      <c r="H555" s="39"/>
      <c r="I555" s="17"/>
      <c r="J555" s="17"/>
      <c r="K555" s="17">
        <v>85000</v>
      </c>
      <c r="L555" s="17"/>
      <c r="M555" s="17">
        <v>14000</v>
      </c>
      <c r="N555" s="16"/>
      <c r="O555" s="16"/>
    </row>
    <row r="556" spans="1:15">
      <c r="A556" s="38">
        <v>45870</v>
      </c>
      <c r="B556" s="22" t="s">
        <v>17</v>
      </c>
      <c r="C556" s="22" t="s">
        <v>18</v>
      </c>
      <c r="D556" s="23" t="s">
        <v>120</v>
      </c>
      <c r="E556" s="39"/>
      <c r="F556" s="39"/>
      <c r="G556" s="39"/>
      <c r="H556" s="39"/>
      <c r="I556" s="17"/>
      <c r="J556" s="17"/>
      <c r="K556" s="17">
        <v>42500</v>
      </c>
      <c r="L556" s="17"/>
      <c r="M556" s="17">
        <v>14000</v>
      </c>
      <c r="N556" s="16"/>
      <c r="O556" s="16"/>
    </row>
    <row r="557" spans="1:15">
      <c r="A557" s="38">
        <v>45871</v>
      </c>
      <c r="B557" s="22" t="s">
        <v>17</v>
      </c>
      <c r="C557" s="22" t="s">
        <v>18</v>
      </c>
      <c r="D557" s="23" t="s">
        <v>267</v>
      </c>
      <c r="E557" s="39"/>
      <c r="F557" s="39"/>
      <c r="G557" s="39"/>
      <c r="H557" s="39"/>
      <c r="I557" s="17"/>
      <c r="J557" s="17"/>
      <c r="K557" s="17">
        <v>66000</v>
      </c>
      <c r="L557" s="17"/>
      <c r="M557" s="17">
        <v>14000</v>
      </c>
      <c r="N557" s="16"/>
      <c r="O557" s="16"/>
    </row>
    <row r="558" spans="1:15">
      <c r="A558" s="38">
        <v>45872</v>
      </c>
      <c r="B558" s="22" t="s">
        <v>17</v>
      </c>
      <c r="C558" s="22" t="s">
        <v>18</v>
      </c>
      <c r="D558" s="23" t="s">
        <v>120</v>
      </c>
      <c r="E558" s="39"/>
      <c r="F558" s="39"/>
      <c r="G558" s="39"/>
      <c r="H558" s="39"/>
      <c r="I558" s="17"/>
      <c r="J558" s="17"/>
      <c r="K558" s="17">
        <v>33500</v>
      </c>
      <c r="L558" s="17"/>
      <c r="M558" s="17">
        <v>14000</v>
      </c>
      <c r="N558" s="16"/>
      <c r="O558" s="16"/>
    </row>
    <row r="559" spans="1:15">
      <c r="A559" s="38">
        <v>45873</v>
      </c>
      <c r="B559" s="22" t="s">
        <v>17</v>
      </c>
      <c r="C559" s="22" t="s">
        <v>18</v>
      </c>
      <c r="D559" s="23" t="s">
        <v>69</v>
      </c>
      <c r="E559" s="39"/>
      <c r="F559" s="39"/>
      <c r="G559" s="39"/>
      <c r="H559" s="39"/>
      <c r="I559" s="17"/>
      <c r="J559" s="17"/>
      <c r="K559" s="17">
        <v>42500</v>
      </c>
      <c r="L559" s="17">
        <v>120000</v>
      </c>
      <c r="M559" s="17">
        <v>14000</v>
      </c>
      <c r="N559" s="16"/>
      <c r="O559" s="16"/>
    </row>
    <row r="560" spans="1:15">
      <c r="A560" s="38"/>
      <c r="B560" s="22"/>
      <c r="C560" s="22"/>
      <c r="D560" s="23"/>
      <c r="E560" s="39"/>
      <c r="F560" s="39"/>
      <c r="G560" s="39"/>
      <c r="H560" s="39"/>
      <c r="I560" s="17"/>
      <c r="J560" s="17"/>
      <c r="K560" s="17"/>
      <c r="L560" s="17"/>
      <c r="M560" s="17"/>
      <c r="N560" s="16"/>
      <c r="O560" s="16"/>
    </row>
    <row r="561" spans="1:15">
      <c r="A561" s="38">
        <v>45884</v>
      </c>
      <c r="B561" s="22"/>
      <c r="C561" s="22"/>
      <c r="D561" s="23"/>
      <c r="E561" s="39"/>
      <c r="F561" s="39"/>
      <c r="G561" s="39"/>
      <c r="H561" s="39"/>
      <c r="I561" s="17">
        <v>1000000</v>
      </c>
      <c r="J561" s="17">
        <v>0</v>
      </c>
      <c r="K561" s="17">
        <v>694500</v>
      </c>
      <c r="L561" s="17">
        <v>120000</v>
      </c>
      <c r="M561" s="17">
        <v>130000</v>
      </c>
      <c r="N561" s="16" t="s">
        <v>268</v>
      </c>
      <c r="O561" s="16" t="s">
        <v>269</v>
      </c>
    </row>
    <row r="562" spans="1:15">
      <c r="A562" s="38">
        <v>45874</v>
      </c>
      <c r="B562" s="22" t="s">
        <v>17</v>
      </c>
      <c r="C562" s="22" t="s">
        <v>18</v>
      </c>
      <c r="D562" s="23" t="s">
        <v>120</v>
      </c>
      <c r="E562" s="39"/>
      <c r="F562" s="39"/>
      <c r="G562" s="39"/>
      <c r="H562" s="39"/>
      <c r="I562" s="17"/>
      <c r="J562" s="17"/>
      <c r="K562" s="17">
        <v>85000</v>
      </c>
      <c r="L562" s="17"/>
      <c r="M562" s="17">
        <v>14000</v>
      </c>
      <c r="N562" s="16"/>
      <c r="O562" s="16"/>
    </row>
    <row r="563" spans="1:15">
      <c r="A563" s="38">
        <v>45875</v>
      </c>
      <c r="B563" s="22" t="s">
        <v>17</v>
      </c>
      <c r="C563" s="22" t="s">
        <v>18</v>
      </c>
      <c r="D563" s="23" t="s">
        <v>86</v>
      </c>
      <c r="E563" s="39"/>
      <c r="F563" s="39"/>
      <c r="G563" s="39"/>
      <c r="H563" s="39"/>
      <c r="I563" s="17"/>
      <c r="J563" s="17"/>
      <c r="K563" s="17">
        <v>69000</v>
      </c>
      <c r="L563" s="17"/>
      <c r="M563" s="17">
        <v>14000</v>
      </c>
      <c r="N563" s="16"/>
      <c r="O563" s="16"/>
    </row>
    <row r="564" spans="1:15">
      <c r="A564" s="38">
        <v>45876</v>
      </c>
      <c r="B564" s="22" t="s">
        <v>17</v>
      </c>
      <c r="C564" s="22" t="s">
        <v>18</v>
      </c>
      <c r="D564" s="23" t="s">
        <v>270</v>
      </c>
      <c r="E564" s="39"/>
      <c r="F564" s="39"/>
      <c r="G564" s="39"/>
      <c r="H564" s="39"/>
      <c r="I564" s="17"/>
      <c r="J564" s="17"/>
      <c r="K564" s="17">
        <v>85000</v>
      </c>
      <c r="L564" s="17"/>
      <c r="M564" s="17">
        <v>11000</v>
      </c>
      <c r="N564" s="16"/>
      <c r="O564" s="16"/>
    </row>
    <row r="565" spans="1:15">
      <c r="A565" s="38">
        <v>45877</v>
      </c>
      <c r="B565" s="22" t="s">
        <v>17</v>
      </c>
      <c r="C565" s="22" t="s">
        <v>18</v>
      </c>
      <c r="D565" s="23" t="s">
        <v>45</v>
      </c>
      <c r="E565" s="39"/>
      <c r="F565" s="39"/>
      <c r="G565" s="39"/>
      <c r="H565" s="39"/>
      <c r="I565" s="17"/>
      <c r="J565" s="17"/>
      <c r="K565" s="17">
        <v>42500</v>
      </c>
      <c r="L565" s="17"/>
      <c r="M565" s="17">
        <v>7000</v>
      </c>
      <c r="N565" s="16"/>
      <c r="O565" s="16"/>
    </row>
    <row r="566" spans="1:15">
      <c r="A566" s="38">
        <v>45878</v>
      </c>
      <c r="B566" s="22" t="s">
        <v>17</v>
      </c>
      <c r="C566" s="22" t="s">
        <v>18</v>
      </c>
      <c r="D566" s="23" t="s">
        <v>120</v>
      </c>
      <c r="E566" s="39"/>
      <c r="F566" s="39"/>
      <c r="G566" s="39"/>
      <c r="H566" s="39"/>
      <c r="I566" s="17"/>
      <c r="J566" s="17"/>
      <c r="K566" s="17">
        <v>85000</v>
      </c>
      <c r="L566" s="17"/>
      <c r="M566" s="17">
        <v>14000</v>
      </c>
      <c r="N566" s="16"/>
      <c r="O566" s="16"/>
    </row>
    <row r="567" spans="1:15">
      <c r="A567" s="38">
        <v>45879</v>
      </c>
      <c r="B567" s="22" t="s">
        <v>17</v>
      </c>
      <c r="C567" s="22" t="s">
        <v>18</v>
      </c>
      <c r="D567" s="23" t="s">
        <v>271</v>
      </c>
      <c r="E567" s="39"/>
      <c r="F567" s="39"/>
      <c r="G567" s="39"/>
      <c r="H567" s="39"/>
      <c r="I567" s="17"/>
      <c r="J567" s="17"/>
      <c r="K567" s="17"/>
      <c r="L567" s="17">
        <v>120000</v>
      </c>
      <c r="M567" s="17"/>
      <c r="N567" s="16"/>
      <c r="O567" s="16"/>
    </row>
    <row r="568" spans="1:15">
      <c r="A568" s="38">
        <v>45880</v>
      </c>
      <c r="B568" s="22" t="s">
        <v>17</v>
      </c>
      <c r="C568" s="22" t="s">
        <v>18</v>
      </c>
      <c r="D568" s="23" t="s">
        <v>115</v>
      </c>
      <c r="E568" s="39"/>
      <c r="F568" s="39"/>
      <c r="G568" s="39"/>
      <c r="H568" s="39"/>
      <c r="I568" s="17"/>
      <c r="J568" s="17"/>
      <c r="K568" s="17">
        <v>9000</v>
      </c>
      <c r="L568" s="17"/>
      <c r="M568" s="17">
        <v>14000</v>
      </c>
      <c r="N568" s="16"/>
      <c r="O568" s="16"/>
    </row>
    <row r="569" spans="1:15">
      <c r="A569" s="38">
        <v>45881</v>
      </c>
      <c r="B569" s="22" t="s">
        <v>17</v>
      </c>
      <c r="C569" s="22" t="s">
        <v>18</v>
      </c>
      <c r="D569" s="23" t="s">
        <v>120</v>
      </c>
      <c r="E569" s="39"/>
      <c r="F569" s="39"/>
      <c r="G569" s="39"/>
      <c r="H569" s="39"/>
      <c r="I569" s="17"/>
      <c r="J569" s="17"/>
      <c r="K569" s="17">
        <v>85000</v>
      </c>
      <c r="L569" s="17"/>
      <c r="M569" s="17">
        <v>14000</v>
      </c>
      <c r="N569" s="16"/>
      <c r="O569" s="16"/>
    </row>
    <row r="570" spans="1:15">
      <c r="A570" s="38">
        <v>45882</v>
      </c>
      <c r="B570" s="22" t="s">
        <v>17</v>
      </c>
      <c r="C570" s="22" t="s">
        <v>18</v>
      </c>
      <c r="D570" s="23" t="s">
        <v>120</v>
      </c>
      <c r="E570" s="39"/>
      <c r="F570" s="39"/>
      <c r="G570" s="39"/>
      <c r="H570" s="39"/>
      <c r="I570" s="17"/>
      <c r="J570" s="17"/>
      <c r="K570" s="17">
        <v>85000</v>
      </c>
      <c r="L570" s="17"/>
      <c r="M570" s="17">
        <v>14000</v>
      </c>
      <c r="N570" s="16"/>
      <c r="O570" s="16"/>
    </row>
    <row r="571" spans="1:15">
      <c r="A571" s="38">
        <v>45883</v>
      </c>
      <c r="B571" s="22" t="s">
        <v>17</v>
      </c>
      <c r="C571" s="22" t="s">
        <v>18</v>
      </c>
      <c r="D571" s="23" t="s">
        <v>192</v>
      </c>
      <c r="E571" s="39"/>
      <c r="F571" s="39"/>
      <c r="G571" s="39"/>
      <c r="H571" s="39"/>
      <c r="I571" s="17"/>
      <c r="J571" s="17"/>
      <c r="K571" s="17">
        <v>78000</v>
      </c>
      <c r="L571" s="17"/>
      <c r="M571" s="17">
        <v>14000</v>
      </c>
      <c r="N571" s="16"/>
      <c r="O571" s="16"/>
    </row>
    <row r="572" spans="1:15">
      <c r="A572" s="38">
        <v>45884</v>
      </c>
      <c r="B572" s="22" t="s">
        <v>17</v>
      </c>
      <c r="C572" s="22" t="s">
        <v>18</v>
      </c>
      <c r="D572" s="23" t="s">
        <v>86</v>
      </c>
      <c r="E572" s="39"/>
      <c r="F572" s="39"/>
      <c r="G572" s="39"/>
      <c r="H572" s="39"/>
      <c r="I572" s="17"/>
      <c r="J572" s="17"/>
      <c r="K572" s="17">
        <v>71000</v>
      </c>
      <c r="L572" s="17"/>
      <c r="M572" s="17">
        <v>14000</v>
      </c>
      <c r="N572" s="16"/>
      <c r="O572" s="16"/>
    </row>
    <row r="573" spans="1:15">
      <c r="A573" s="38"/>
      <c r="B573" s="22"/>
      <c r="C573" s="22"/>
      <c r="D573" s="23"/>
      <c r="E573" s="39"/>
      <c r="F573" s="39"/>
      <c r="G573" s="39"/>
      <c r="H573" s="39"/>
      <c r="I573" s="17"/>
      <c r="J573" s="17"/>
      <c r="K573" s="17"/>
      <c r="L573" s="17"/>
      <c r="M573" s="17"/>
      <c r="N573" s="16"/>
      <c r="O573" s="16"/>
    </row>
    <row r="574" spans="1:15">
      <c r="A574" s="38">
        <v>45894</v>
      </c>
      <c r="B574" s="22"/>
      <c r="C574" s="22"/>
      <c r="D574" s="23"/>
      <c r="E574" s="39"/>
      <c r="F574" s="39"/>
      <c r="G574" s="39"/>
      <c r="H574" s="39"/>
      <c r="I574" s="17">
        <v>1000000</v>
      </c>
      <c r="J574" s="17">
        <v>0</v>
      </c>
      <c r="K574" s="17">
        <v>511500</v>
      </c>
      <c r="L574" s="17">
        <v>0</v>
      </c>
      <c r="M574" s="17">
        <v>127000</v>
      </c>
      <c r="N574" s="16" t="s">
        <v>272</v>
      </c>
      <c r="O574" s="16" t="s">
        <v>273</v>
      </c>
    </row>
    <row r="575" spans="1:15">
      <c r="A575" s="38">
        <v>45885</v>
      </c>
      <c r="B575" s="22" t="s">
        <v>17</v>
      </c>
      <c r="C575" s="22" t="s">
        <v>18</v>
      </c>
      <c r="D575" s="23" t="s">
        <v>120</v>
      </c>
      <c r="E575" s="39"/>
      <c r="F575" s="39"/>
      <c r="G575" s="39"/>
      <c r="H575" s="39"/>
      <c r="I575" s="17"/>
      <c r="J575" s="17"/>
      <c r="K575" s="17">
        <v>69000</v>
      </c>
      <c r="L575" s="17"/>
      <c r="M575" s="17">
        <v>14000</v>
      </c>
      <c r="N575" s="16"/>
      <c r="O575" s="16"/>
    </row>
    <row r="576" spans="1:15">
      <c r="A576" s="38">
        <v>45886</v>
      </c>
      <c r="B576" s="22" t="s">
        <v>17</v>
      </c>
      <c r="C576" s="22" t="s">
        <v>18</v>
      </c>
      <c r="D576" s="23" t="s">
        <v>274</v>
      </c>
      <c r="E576" s="39"/>
      <c r="F576" s="39"/>
      <c r="G576" s="39"/>
      <c r="H576" s="39"/>
      <c r="I576" s="17"/>
      <c r="J576" s="17"/>
      <c r="K576" s="17"/>
      <c r="L576" s="17"/>
      <c r="M576" s="17">
        <v>14000</v>
      </c>
      <c r="N576" s="16"/>
      <c r="O576" s="16"/>
    </row>
    <row r="577" spans="1:15">
      <c r="A577" s="38">
        <v>45887</v>
      </c>
      <c r="B577" s="22" t="s">
        <v>17</v>
      </c>
      <c r="C577" s="22" t="s">
        <v>18</v>
      </c>
      <c r="D577" s="23" t="s">
        <v>275</v>
      </c>
      <c r="E577" s="39"/>
      <c r="F577" s="39"/>
      <c r="G577" s="39"/>
      <c r="H577" s="39"/>
      <c r="I577" s="17"/>
      <c r="J577" s="17"/>
      <c r="K577" s="17"/>
      <c r="L577" s="17"/>
      <c r="M577" s="17">
        <v>7000</v>
      </c>
      <c r="N577" s="16"/>
      <c r="O577" s="16"/>
    </row>
    <row r="578" spans="1:15">
      <c r="A578" s="38">
        <v>45888</v>
      </c>
      <c r="B578" s="22" t="s">
        <v>17</v>
      </c>
      <c r="C578" s="22" t="s">
        <v>18</v>
      </c>
      <c r="D578" s="23" t="s">
        <v>120</v>
      </c>
      <c r="E578" s="39"/>
      <c r="F578" s="39"/>
      <c r="G578" s="39"/>
      <c r="H578" s="39"/>
      <c r="I578" s="17"/>
      <c r="J578" s="17"/>
      <c r="K578" s="17">
        <v>85000</v>
      </c>
      <c r="L578" s="17"/>
      <c r="M578" s="17">
        <v>14000</v>
      </c>
      <c r="N578" s="16"/>
      <c r="O578" s="16"/>
    </row>
    <row r="579" spans="1:15">
      <c r="A579" s="38">
        <v>45889</v>
      </c>
      <c r="B579" s="22" t="s">
        <v>17</v>
      </c>
      <c r="C579" s="22" t="s">
        <v>18</v>
      </c>
      <c r="D579" s="23" t="s">
        <v>120</v>
      </c>
      <c r="E579" s="39"/>
      <c r="F579" s="39"/>
      <c r="G579" s="39"/>
      <c r="H579" s="39"/>
      <c r="I579" s="17"/>
      <c r="J579" s="17"/>
      <c r="K579" s="17">
        <v>69000</v>
      </c>
      <c r="L579" s="17"/>
      <c r="M579" s="17">
        <v>11000</v>
      </c>
      <c r="N579" s="16"/>
      <c r="O579" s="16"/>
    </row>
    <row r="580" spans="1:15">
      <c r="A580" s="38">
        <v>45890</v>
      </c>
      <c r="B580" s="22" t="s">
        <v>17</v>
      </c>
      <c r="C580" s="22" t="s">
        <v>18</v>
      </c>
      <c r="D580" s="23" t="s">
        <v>86</v>
      </c>
      <c r="E580" s="39"/>
      <c r="F580" s="39"/>
      <c r="G580" s="39"/>
      <c r="H580" s="39"/>
      <c r="I580" s="17"/>
      <c r="J580" s="17"/>
      <c r="K580" s="17">
        <v>85000</v>
      </c>
      <c r="L580" s="17"/>
      <c r="M580" s="17">
        <v>14000</v>
      </c>
      <c r="N580" s="16"/>
      <c r="O580" s="16"/>
    </row>
    <row r="581" spans="1:15">
      <c r="A581" s="38">
        <v>45891</v>
      </c>
      <c r="B581" s="22" t="s">
        <v>17</v>
      </c>
      <c r="C581" s="22" t="s">
        <v>18</v>
      </c>
      <c r="D581" s="23" t="s">
        <v>276</v>
      </c>
      <c r="E581" s="39"/>
      <c r="F581" s="39"/>
      <c r="G581" s="39"/>
      <c r="H581" s="39"/>
      <c r="I581" s="17"/>
      <c r="J581" s="17"/>
      <c r="K581" s="17">
        <v>85000</v>
      </c>
      <c r="L581" s="17"/>
      <c r="M581" s="17">
        <v>14000</v>
      </c>
      <c r="N581" s="16"/>
      <c r="O581" s="16"/>
    </row>
    <row r="582" spans="1:15">
      <c r="A582" s="38">
        <v>45892</v>
      </c>
      <c r="B582" s="22" t="s">
        <v>17</v>
      </c>
      <c r="C582" s="22" t="s">
        <v>18</v>
      </c>
      <c r="D582" s="23" t="s">
        <v>277</v>
      </c>
      <c r="E582" s="39"/>
      <c r="F582" s="39"/>
      <c r="G582" s="39"/>
      <c r="H582" s="39"/>
      <c r="I582" s="17"/>
      <c r="J582" s="17"/>
      <c r="K582" s="17">
        <v>42500</v>
      </c>
      <c r="L582" s="17"/>
      <c r="M582" s="17">
        <v>11000</v>
      </c>
      <c r="N582" s="16"/>
      <c r="O582" s="16"/>
    </row>
    <row r="583" spans="1:15">
      <c r="A583" s="38">
        <v>45893</v>
      </c>
      <c r="B583" s="22" t="s">
        <v>17</v>
      </c>
      <c r="C583" s="22" t="s">
        <v>18</v>
      </c>
      <c r="D583" s="23" t="s">
        <v>267</v>
      </c>
      <c r="E583" s="39"/>
      <c r="F583" s="39"/>
      <c r="G583" s="39"/>
      <c r="H583" s="39"/>
      <c r="I583" s="17"/>
      <c r="J583" s="17"/>
      <c r="K583" s="17"/>
      <c r="L583" s="17"/>
      <c r="M583" s="17">
        <v>14000</v>
      </c>
      <c r="N583" s="16"/>
      <c r="O583" s="16"/>
    </row>
    <row r="584" spans="1:15">
      <c r="A584" s="38">
        <v>45894</v>
      </c>
      <c r="B584" s="22" t="s">
        <v>17</v>
      </c>
      <c r="C584" s="22" t="s">
        <v>18</v>
      </c>
      <c r="D584" s="23" t="s">
        <v>86</v>
      </c>
      <c r="E584" s="39"/>
      <c r="F584" s="39"/>
      <c r="G584" s="39"/>
      <c r="H584" s="39"/>
      <c r="I584" s="17"/>
      <c r="J584" s="17"/>
      <c r="K584" s="17">
        <v>76000</v>
      </c>
      <c r="L584" s="17"/>
      <c r="M584" s="17">
        <v>14000</v>
      </c>
      <c r="N584" s="16"/>
      <c r="O584" s="16"/>
    </row>
    <row r="585" spans="1:15">
      <c r="A585" s="38"/>
      <c r="B585" s="22"/>
      <c r="C585" s="22"/>
      <c r="D585" s="23"/>
      <c r="E585" s="39"/>
      <c r="F585" s="39"/>
      <c r="G585" s="39"/>
      <c r="H585" s="39"/>
      <c r="I585" s="17"/>
      <c r="J585" s="17"/>
      <c r="K585" s="17"/>
      <c r="L585" s="17"/>
      <c r="M585" s="17"/>
      <c r="N585" s="16"/>
      <c r="O585" s="16"/>
    </row>
    <row r="586" spans="1:15">
      <c r="A586" s="38">
        <v>45901</v>
      </c>
      <c r="B586" s="22"/>
      <c r="C586" s="22"/>
      <c r="D586" s="23"/>
      <c r="E586" s="39"/>
      <c r="F586" s="39"/>
      <c r="G586" s="39"/>
      <c r="H586" s="39"/>
      <c r="I586" s="17">
        <v>1000000</v>
      </c>
      <c r="J586" s="17">
        <v>0</v>
      </c>
      <c r="K586" s="17">
        <v>329500</v>
      </c>
      <c r="L586" s="17">
        <v>0</v>
      </c>
      <c r="M586" s="17">
        <v>64000</v>
      </c>
      <c r="N586" s="16" t="s">
        <v>278</v>
      </c>
      <c r="O586" s="16" t="s">
        <v>279</v>
      </c>
    </row>
    <row r="587" spans="1:15">
      <c r="A587" s="38">
        <v>45895</v>
      </c>
      <c r="B587" s="22" t="s">
        <v>17</v>
      </c>
      <c r="C587" s="22" t="s">
        <v>18</v>
      </c>
      <c r="D587" s="23" t="s">
        <v>120</v>
      </c>
      <c r="E587" s="39"/>
      <c r="F587" s="39"/>
      <c r="G587" s="39"/>
      <c r="H587" s="39"/>
      <c r="I587" s="17"/>
      <c r="J587" s="17"/>
      <c r="K587" s="17">
        <v>85000</v>
      </c>
      <c r="L587" s="17"/>
      <c r="M587" s="17">
        <v>14000</v>
      </c>
      <c r="N587" s="16"/>
      <c r="O587" s="16"/>
    </row>
    <row r="588" spans="1:15">
      <c r="A588" s="38">
        <v>45896</v>
      </c>
      <c r="B588" s="22" t="s">
        <v>17</v>
      </c>
      <c r="C588" s="22" t="s">
        <v>18</v>
      </c>
      <c r="D588" s="23" t="s">
        <v>280</v>
      </c>
      <c r="E588" s="39"/>
      <c r="F588" s="39"/>
      <c r="G588" s="39"/>
      <c r="H588" s="39"/>
      <c r="I588" s="17"/>
      <c r="J588" s="17"/>
      <c r="K588" s="17">
        <v>32000</v>
      </c>
      <c r="L588" s="17"/>
      <c r="M588" s="17">
        <v>4000</v>
      </c>
      <c r="N588" s="16"/>
      <c r="O588" s="16"/>
    </row>
    <row r="589" spans="1:15">
      <c r="A589" s="38">
        <v>45897</v>
      </c>
      <c r="B589" s="22" t="s">
        <v>17</v>
      </c>
      <c r="C589" s="22" t="s">
        <v>18</v>
      </c>
      <c r="D589" s="23" t="s">
        <v>68</v>
      </c>
      <c r="E589" s="39"/>
      <c r="F589" s="39"/>
      <c r="G589" s="39"/>
      <c r="H589" s="39"/>
      <c r="I589" s="17"/>
      <c r="J589" s="17"/>
      <c r="K589" s="17">
        <v>42500</v>
      </c>
      <c r="L589" s="17"/>
      <c r="M589" s="17">
        <v>7000</v>
      </c>
      <c r="N589" s="16"/>
      <c r="O589" s="16"/>
    </row>
    <row r="590" spans="1:15">
      <c r="A590" s="38">
        <v>45898</v>
      </c>
      <c r="B590" s="22" t="s">
        <v>17</v>
      </c>
      <c r="C590" s="22" t="s">
        <v>18</v>
      </c>
      <c r="D590" s="23" t="s">
        <v>45</v>
      </c>
      <c r="E590" s="39"/>
      <c r="F590" s="39"/>
      <c r="G590" s="39"/>
      <c r="H590" s="39"/>
      <c r="I590" s="17"/>
      <c r="J590" s="17"/>
      <c r="K590" s="17">
        <v>26500</v>
      </c>
      <c r="L590" s="17"/>
      <c r="M590" s="17">
        <v>4000</v>
      </c>
      <c r="N590" s="16"/>
      <c r="O590" s="16"/>
    </row>
    <row r="591" spans="1:15">
      <c r="A591" s="38">
        <v>45899</v>
      </c>
      <c r="B591" s="22" t="s">
        <v>17</v>
      </c>
      <c r="C591" s="22" t="s">
        <v>18</v>
      </c>
      <c r="D591" s="23" t="s">
        <v>68</v>
      </c>
      <c r="E591" s="39"/>
      <c r="F591" s="39"/>
      <c r="G591" s="39"/>
      <c r="H591" s="39"/>
      <c r="I591" s="17"/>
      <c r="J591" s="17"/>
      <c r="K591" s="17">
        <v>42500</v>
      </c>
      <c r="L591" s="17"/>
      <c r="M591" s="17">
        <v>7000</v>
      </c>
      <c r="N591" s="16"/>
      <c r="O591" s="16"/>
    </row>
    <row r="592" spans="1:15">
      <c r="A592" s="38">
        <v>45900</v>
      </c>
      <c r="B592" s="22" t="s">
        <v>17</v>
      </c>
      <c r="C592" s="22" t="s">
        <v>18</v>
      </c>
      <c r="D592" s="23" t="s">
        <v>267</v>
      </c>
      <c r="E592" s="39"/>
      <c r="F592" s="39"/>
      <c r="G592" s="39"/>
      <c r="H592" s="39"/>
      <c r="I592" s="17"/>
      <c r="J592" s="17"/>
      <c r="K592" s="17">
        <v>16000</v>
      </c>
      <c r="L592" s="17"/>
      <c r="M592" s="17">
        <v>14000</v>
      </c>
      <c r="N592" s="16"/>
      <c r="O592" s="16"/>
    </row>
    <row r="593" spans="1:15">
      <c r="A593" s="38">
        <v>45901</v>
      </c>
      <c r="B593" s="22" t="s">
        <v>17</v>
      </c>
      <c r="C593" s="22" t="s">
        <v>18</v>
      </c>
      <c r="D593" s="23" t="s">
        <v>120</v>
      </c>
      <c r="E593" s="39"/>
      <c r="F593" s="39"/>
      <c r="G593" s="39"/>
      <c r="H593" s="39"/>
      <c r="I593" s="17"/>
      <c r="J593" s="17"/>
      <c r="K593" s="17">
        <v>85000</v>
      </c>
      <c r="L593" s="17"/>
      <c r="M593" s="17">
        <v>14000</v>
      </c>
      <c r="N593" s="16"/>
      <c r="O593" s="16"/>
    </row>
    <row r="594" spans="1:15">
      <c r="A594" s="38"/>
      <c r="B594" s="22"/>
      <c r="C594" s="22"/>
      <c r="D594" s="23"/>
      <c r="E594" s="39"/>
      <c r="F594" s="39"/>
      <c r="G594" s="39"/>
      <c r="H594" s="39"/>
      <c r="I594" s="17"/>
      <c r="J594" s="17"/>
      <c r="K594" s="17"/>
      <c r="L594" s="17"/>
      <c r="M594" s="17"/>
      <c r="N594" s="16"/>
      <c r="O594" s="16"/>
    </row>
    <row r="595" spans="1:15">
      <c r="A595" s="38">
        <v>45909</v>
      </c>
      <c r="B595" s="22"/>
      <c r="C595" s="22"/>
      <c r="D595" s="23"/>
      <c r="E595" s="39"/>
      <c r="F595" s="39"/>
      <c r="G595" s="39"/>
      <c r="H595" s="39"/>
      <c r="I595" s="17">
        <v>1000000</v>
      </c>
      <c r="J595" s="17">
        <v>0</v>
      </c>
      <c r="K595" s="17">
        <v>450000</v>
      </c>
      <c r="L595" s="17">
        <v>0</v>
      </c>
      <c r="M595" s="17">
        <v>81000</v>
      </c>
      <c r="N595" s="16" t="s">
        <v>281</v>
      </c>
      <c r="O595" s="16" t="s">
        <v>282</v>
      </c>
    </row>
    <row r="596" spans="1:15">
      <c r="A596" s="38">
        <v>45902</v>
      </c>
      <c r="B596" s="22" t="s">
        <v>17</v>
      </c>
      <c r="C596" s="22" t="s">
        <v>18</v>
      </c>
      <c r="D596" s="23" t="s">
        <v>283</v>
      </c>
      <c r="E596" s="39">
        <v>6</v>
      </c>
      <c r="F596" s="39"/>
      <c r="G596" s="39"/>
      <c r="H596" s="39"/>
      <c r="I596" s="17"/>
      <c r="J596" s="17"/>
      <c r="K596" s="17">
        <v>42500</v>
      </c>
      <c r="L596" s="17"/>
      <c r="M596" s="17">
        <v>7000</v>
      </c>
      <c r="N596" s="16"/>
      <c r="O596" s="16"/>
    </row>
    <row r="597" spans="1:15">
      <c r="A597" s="38">
        <v>45902</v>
      </c>
      <c r="B597" s="22" t="s">
        <v>17</v>
      </c>
      <c r="C597" s="22" t="s">
        <v>18</v>
      </c>
      <c r="D597" s="23" t="s">
        <v>68</v>
      </c>
      <c r="E597" s="39">
        <v>6</v>
      </c>
      <c r="F597" s="39"/>
      <c r="G597" s="39"/>
      <c r="H597" s="39"/>
      <c r="I597" s="17"/>
      <c r="J597" s="17"/>
      <c r="K597" s="17">
        <v>42500</v>
      </c>
      <c r="L597" s="17"/>
      <c r="M597" s="17">
        <v>7000</v>
      </c>
      <c r="N597" s="16"/>
      <c r="O597" s="16"/>
    </row>
    <row r="598" spans="1:15">
      <c r="A598" s="38">
        <v>45903</v>
      </c>
      <c r="B598" s="22" t="s">
        <v>17</v>
      </c>
      <c r="C598" s="22" t="s">
        <v>18</v>
      </c>
      <c r="D598" s="23" t="s">
        <v>68</v>
      </c>
      <c r="E598" s="39">
        <v>6</v>
      </c>
      <c r="F598" s="39"/>
      <c r="G598" s="39"/>
      <c r="H598" s="39"/>
      <c r="I598" s="17"/>
      <c r="J598" s="17"/>
      <c r="K598" s="17">
        <v>42500</v>
      </c>
      <c r="L598" s="17"/>
      <c r="M598" s="17">
        <v>7000</v>
      </c>
      <c r="N598" s="16"/>
      <c r="O598" s="16"/>
    </row>
    <row r="599" spans="1:15">
      <c r="A599" s="38">
        <v>45903</v>
      </c>
      <c r="B599" s="22" t="s">
        <v>17</v>
      </c>
      <c r="C599" s="22" t="s">
        <v>18</v>
      </c>
      <c r="D599" s="23" t="s">
        <v>280</v>
      </c>
      <c r="E599" s="39">
        <v>6</v>
      </c>
      <c r="F599" s="39"/>
      <c r="G599" s="39"/>
      <c r="H599" s="39"/>
      <c r="I599" s="17"/>
      <c r="J599" s="17"/>
      <c r="K599" s="17">
        <v>26500</v>
      </c>
      <c r="L599" s="17"/>
      <c r="M599" s="17">
        <v>7000</v>
      </c>
      <c r="N599" s="16"/>
      <c r="O599" s="16"/>
    </row>
    <row r="600" spans="1:15">
      <c r="A600" s="38">
        <v>45904</v>
      </c>
      <c r="B600" s="22" t="s">
        <v>17</v>
      </c>
      <c r="C600" s="22" t="s">
        <v>18</v>
      </c>
      <c r="D600" s="23" t="s">
        <v>68</v>
      </c>
      <c r="E600" s="39">
        <v>6</v>
      </c>
      <c r="F600" s="39"/>
      <c r="G600" s="39"/>
      <c r="H600" s="39"/>
      <c r="I600" s="17"/>
      <c r="J600" s="17"/>
      <c r="K600" s="17">
        <v>42500</v>
      </c>
      <c r="L600" s="17"/>
      <c r="M600" s="17">
        <v>7000</v>
      </c>
      <c r="N600" s="16"/>
      <c r="O600" s="16"/>
    </row>
    <row r="601" spans="1:15">
      <c r="A601" s="38">
        <v>45904</v>
      </c>
      <c r="B601" s="22" t="s">
        <v>17</v>
      </c>
      <c r="C601" s="22" t="s">
        <v>18</v>
      </c>
      <c r="D601" s="23" t="s">
        <v>45</v>
      </c>
      <c r="E601" s="39">
        <v>6</v>
      </c>
      <c r="F601" s="39"/>
      <c r="G601" s="39"/>
      <c r="H601" s="39"/>
      <c r="I601" s="17"/>
      <c r="J601" s="17"/>
      <c r="K601" s="17">
        <v>42500</v>
      </c>
      <c r="L601" s="17"/>
      <c r="M601" s="17">
        <v>7000</v>
      </c>
      <c r="N601" s="16"/>
      <c r="O601" s="16"/>
    </row>
    <row r="602" spans="1:15">
      <c r="A602" s="38">
        <v>45906</v>
      </c>
      <c r="B602" s="22" t="s">
        <v>17</v>
      </c>
      <c r="C602" s="22" t="s">
        <v>18</v>
      </c>
      <c r="D602" s="23" t="s">
        <v>68</v>
      </c>
      <c r="E602" s="39">
        <v>6</v>
      </c>
      <c r="F602" s="39"/>
      <c r="G602" s="39"/>
      <c r="H602" s="39"/>
      <c r="I602" s="17"/>
      <c r="J602" s="17"/>
      <c r="K602" s="17">
        <v>42500</v>
      </c>
      <c r="L602" s="17"/>
      <c r="M602" s="17">
        <v>7000</v>
      </c>
      <c r="N602" s="16"/>
      <c r="O602" s="16"/>
    </row>
    <row r="603" spans="1:15">
      <c r="A603" s="38">
        <v>45906</v>
      </c>
      <c r="B603" s="22" t="s">
        <v>17</v>
      </c>
      <c r="C603" s="22" t="s">
        <v>18</v>
      </c>
      <c r="D603" s="23" t="s">
        <v>45</v>
      </c>
      <c r="E603" s="39">
        <v>6</v>
      </c>
      <c r="F603" s="39"/>
      <c r="G603" s="39"/>
      <c r="H603" s="39"/>
      <c r="I603" s="17"/>
      <c r="J603" s="17"/>
      <c r="K603" s="17">
        <v>42500</v>
      </c>
      <c r="L603" s="17"/>
      <c r="M603" s="17">
        <v>7000</v>
      </c>
      <c r="N603" s="16"/>
      <c r="O603" s="16"/>
    </row>
    <row r="604" spans="1:15">
      <c r="A604" s="38">
        <v>45907</v>
      </c>
      <c r="B604" s="22" t="s">
        <v>17</v>
      </c>
      <c r="C604" s="22" t="s">
        <v>18</v>
      </c>
      <c r="D604" s="23" t="s">
        <v>68</v>
      </c>
      <c r="E604" s="39">
        <v>6</v>
      </c>
      <c r="F604" s="39"/>
      <c r="G604" s="39"/>
      <c r="H604" s="39"/>
      <c r="I604" s="17"/>
      <c r="J604" s="17"/>
      <c r="K604" s="17">
        <v>33500</v>
      </c>
      <c r="L604" s="17"/>
      <c r="M604" s="17">
        <v>7000</v>
      </c>
      <c r="N604" s="16"/>
      <c r="O604" s="16"/>
    </row>
    <row r="605" spans="1:15">
      <c r="A605" s="38">
        <v>45907</v>
      </c>
      <c r="B605" s="22" t="s">
        <v>17</v>
      </c>
      <c r="C605" s="22" t="s">
        <v>18</v>
      </c>
      <c r="D605" s="23" t="s">
        <v>284</v>
      </c>
      <c r="E605" s="40">
        <v>1</v>
      </c>
      <c r="F605" s="40"/>
      <c r="G605" s="40"/>
      <c r="H605" s="40"/>
      <c r="I605" s="17"/>
      <c r="J605" s="17"/>
      <c r="K605" s="17">
        <v>9000</v>
      </c>
      <c r="L605" s="17"/>
      <c r="M605" s="17">
        <v>7000</v>
      </c>
      <c r="N605" s="16"/>
      <c r="O605" s="16"/>
    </row>
    <row r="606" spans="1:15">
      <c r="A606" s="38">
        <v>45908</v>
      </c>
      <c r="B606" s="22" t="s">
        <v>17</v>
      </c>
      <c r="C606" s="22" t="s">
        <v>18</v>
      </c>
      <c r="D606" s="23" t="s">
        <v>285</v>
      </c>
      <c r="E606" s="39"/>
      <c r="F606" s="39"/>
      <c r="G606" s="39"/>
      <c r="H606" s="39"/>
      <c r="I606" s="17"/>
      <c r="J606" s="17"/>
      <c r="K606" s="17">
        <v>9000</v>
      </c>
      <c r="L606" s="17"/>
      <c r="M606" s="17"/>
      <c r="N606" s="16"/>
      <c r="O606" s="16"/>
    </row>
    <row r="607" spans="1:15">
      <c r="A607" s="38">
        <v>45909</v>
      </c>
      <c r="B607" s="22" t="s">
        <v>17</v>
      </c>
      <c r="C607" s="22" t="s">
        <v>18</v>
      </c>
      <c r="D607" s="23" t="s">
        <v>68</v>
      </c>
      <c r="E607" s="39">
        <v>6</v>
      </c>
      <c r="F607" s="39"/>
      <c r="G607" s="39"/>
      <c r="H607" s="39"/>
      <c r="I607" s="17"/>
      <c r="J607" s="17"/>
      <c r="K607" s="17">
        <v>42500</v>
      </c>
      <c r="L607" s="17"/>
      <c r="M607" s="17">
        <v>7000</v>
      </c>
      <c r="N607" s="16"/>
      <c r="O607" s="16"/>
    </row>
    <row r="608" spans="1:15">
      <c r="A608" s="38">
        <v>45909</v>
      </c>
      <c r="B608" s="22" t="s">
        <v>17</v>
      </c>
      <c r="C608" s="22" t="s">
        <v>18</v>
      </c>
      <c r="D608" s="23" t="s">
        <v>45</v>
      </c>
      <c r="E608" s="39">
        <v>6</v>
      </c>
      <c r="F608" s="39"/>
      <c r="G608" s="39"/>
      <c r="H608" s="39"/>
      <c r="I608" s="17"/>
      <c r="J608" s="17"/>
      <c r="K608" s="17">
        <v>32000</v>
      </c>
      <c r="L608" s="17"/>
      <c r="M608" s="17">
        <v>4000</v>
      </c>
      <c r="N608" s="16"/>
      <c r="O608" s="16"/>
    </row>
    <row r="609" spans="1:15">
      <c r="A609" s="38"/>
      <c r="B609" s="22"/>
      <c r="C609" s="22"/>
      <c r="D609" s="23"/>
      <c r="E609" s="39"/>
      <c r="F609" s="39"/>
      <c r="G609" s="39"/>
      <c r="H609" s="39"/>
      <c r="I609" s="17"/>
      <c r="J609" s="17"/>
      <c r="K609" s="17"/>
      <c r="L609" s="17"/>
      <c r="M609" s="17"/>
      <c r="N609" s="16"/>
      <c r="O609" s="16"/>
    </row>
    <row r="610" spans="1:15">
      <c r="A610" s="38">
        <v>45914</v>
      </c>
      <c r="B610" s="22"/>
      <c r="C610" s="22"/>
      <c r="D610" s="23"/>
      <c r="E610" s="41"/>
      <c r="F610" s="41"/>
      <c r="G610" s="41"/>
      <c r="H610" s="41"/>
      <c r="I610" s="17">
        <v>1000000</v>
      </c>
      <c r="J610" s="17">
        <v>0</v>
      </c>
      <c r="K610" s="17">
        <v>334500</v>
      </c>
      <c r="L610" s="17">
        <v>0</v>
      </c>
      <c r="M610" s="17">
        <v>81000</v>
      </c>
      <c r="N610" s="16" t="s">
        <v>286</v>
      </c>
      <c r="O610" s="16" t="s">
        <v>287</v>
      </c>
    </row>
    <row r="611" spans="1:15">
      <c r="A611" s="38">
        <v>45910</v>
      </c>
      <c r="B611" s="22" t="s">
        <v>17</v>
      </c>
      <c r="C611" s="22" t="s">
        <v>18</v>
      </c>
      <c r="D611" s="23" t="s">
        <v>197</v>
      </c>
      <c r="E611" s="39">
        <v>6</v>
      </c>
      <c r="F611" s="42">
        <v>6400</v>
      </c>
      <c r="G611" s="42">
        <v>3820</v>
      </c>
      <c r="H611" s="42">
        <v>2580</v>
      </c>
      <c r="I611" s="17"/>
      <c r="J611" s="17"/>
      <c r="K611" s="17">
        <v>42500</v>
      </c>
      <c r="L611" s="17"/>
      <c r="M611" s="17">
        <v>7000</v>
      </c>
      <c r="N611" s="16"/>
      <c r="O611" s="16"/>
    </row>
    <row r="612" spans="1:15">
      <c r="A612" s="38">
        <v>45910</v>
      </c>
      <c r="B612" s="22" t="s">
        <v>17</v>
      </c>
      <c r="C612" s="22" t="s">
        <v>18</v>
      </c>
      <c r="D612" s="23" t="s">
        <v>68</v>
      </c>
      <c r="E612" s="39">
        <v>6</v>
      </c>
      <c r="F612" s="42">
        <v>4890</v>
      </c>
      <c r="G612" s="42">
        <v>3830</v>
      </c>
      <c r="H612" s="42">
        <v>1060</v>
      </c>
      <c r="I612" s="17"/>
      <c r="J612" s="17"/>
      <c r="K612" s="17">
        <v>42500</v>
      </c>
      <c r="L612" s="17"/>
      <c r="M612" s="17">
        <v>7000</v>
      </c>
      <c r="N612" s="16"/>
      <c r="O612" s="16"/>
    </row>
    <row r="613" spans="1:15">
      <c r="A613" s="38">
        <v>45911</v>
      </c>
      <c r="B613" s="22" t="s">
        <v>17</v>
      </c>
      <c r="C613" s="22" t="s">
        <v>18</v>
      </c>
      <c r="D613" s="23" t="s">
        <v>45</v>
      </c>
      <c r="E613" s="39">
        <v>6</v>
      </c>
      <c r="F613" s="42">
        <v>4910</v>
      </c>
      <c r="G613" s="42">
        <v>3900</v>
      </c>
      <c r="H613" s="42">
        <v>1010</v>
      </c>
      <c r="I613" s="17"/>
      <c r="J613" s="17"/>
      <c r="K613" s="17">
        <v>42500</v>
      </c>
      <c r="L613" s="17"/>
      <c r="M613" s="17">
        <v>7000</v>
      </c>
      <c r="N613" s="16"/>
      <c r="O613" s="16"/>
    </row>
    <row r="614" spans="1:15">
      <c r="A614" s="38">
        <v>45911</v>
      </c>
      <c r="B614" s="22" t="s">
        <v>17</v>
      </c>
      <c r="C614" s="22" t="s">
        <v>18</v>
      </c>
      <c r="D614" s="23" t="s">
        <v>45</v>
      </c>
      <c r="E614" s="39">
        <v>6</v>
      </c>
      <c r="F614" s="42">
        <v>4620</v>
      </c>
      <c r="G614" s="42">
        <v>3940</v>
      </c>
      <c r="H614" s="42">
        <v>680</v>
      </c>
      <c r="I614" s="17"/>
      <c r="J614" s="17"/>
      <c r="K614" s="17">
        <v>42500</v>
      </c>
      <c r="L614" s="17"/>
      <c r="M614" s="17">
        <v>7000</v>
      </c>
      <c r="N614" s="16"/>
      <c r="O614" s="16"/>
    </row>
    <row r="615" spans="1:15">
      <c r="A615" s="38">
        <v>45911</v>
      </c>
      <c r="B615" s="22" t="s">
        <v>17</v>
      </c>
      <c r="C615" s="22" t="s">
        <v>18</v>
      </c>
      <c r="D615" s="23" t="s">
        <v>288</v>
      </c>
      <c r="E615" s="39"/>
      <c r="F615" s="42"/>
      <c r="G615" s="42"/>
      <c r="H615" s="42"/>
      <c r="I615" s="17"/>
      <c r="J615" s="17"/>
      <c r="K615" s="17"/>
      <c r="L615" s="17"/>
      <c r="M615" s="17">
        <v>4000</v>
      </c>
      <c r="N615" s="16"/>
      <c r="O615" s="16"/>
    </row>
    <row r="616" spans="1:15">
      <c r="A616" s="38">
        <v>45912</v>
      </c>
      <c r="B616" s="22" t="s">
        <v>17</v>
      </c>
      <c r="C616" s="22" t="s">
        <v>18</v>
      </c>
      <c r="D616" s="23" t="s">
        <v>45</v>
      </c>
      <c r="E616" s="39">
        <v>6</v>
      </c>
      <c r="F616" s="42">
        <v>5100</v>
      </c>
      <c r="G616" s="42">
        <v>3900</v>
      </c>
      <c r="H616" s="42">
        <v>1200</v>
      </c>
      <c r="I616" s="17"/>
      <c r="J616" s="17"/>
      <c r="K616" s="17">
        <v>42500</v>
      </c>
      <c r="L616" s="17"/>
      <c r="M616" s="17">
        <v>7000</v>
      </c>
      <c r="N616" s="16"/>
      <c r="O616" s="16"/>
    </row>
    <row r="617" spans="1:15">
      <c r="A617" s="38">
        <v>45912</v>
      </c>
      <c r="B617" s="22" t="s">
        <v>17</v>
      </c>
      <c r="C617" s="22" t="s">
        <v>18</v>
      </c>
      <c r="D617" s="23" t="s">
        <v>68</v>
      </c>
      <c r="E617" s="39">
        <v>6</v>
      </c>
      <c r="F617" s="42">
        <v>5610</v>
      </c>
      <c r="G617" s="42">
        <v>3780</v>
      </c>
      <c r="H617" s="42">
        <v>1830</v>
      </c>
      <c r="I617" s="17"/>
      <c r="J617" s="17"/>
      <c r="K617" s="17">
        <v>42500</v>
      </c>
      <c r="L617" s="17"/>
      <c r="M617" s="17">
        <v>7000</v>
      </c>
      <c r="N617" s="16"/>
      <c r="O617" s="16"/>
    </row>
    <row r="618" spans="1:15">
      <c r="A618" s="38">
        <v>45913</v>
      </c>
      <c r="B618" s="22" t="s">
        <v>17</v>
      </c>
      <c r="C618" s="22" t="s">
        <v>18</v>
      </c>
      <c r="D618" s="23" t="s">
        <v>45</v>
      </c>
      <c r="E618" s="39">
        <v>6</v>
      </c>
      <c r="F618" s="42">
        <v>4870</v>
      </c>
      <c r="G618" s="42">
        <v>3810</v>
      </c>
      <c r="H618" s="42">
        <v>1060</v>
      </c>
      <c r="I618" s="17"/>
      <c r="J618" s="17"/>
      <c r="K618" s="17">
        <v>26500</v>
      </c>
      <c r="L618" s="17"/>
      <c r="M618" s="17">
        <v>7000</v>
      </c>
      <c r="N618" s="16"/>
      <c r="O618" s="16"/>
    </row>
    <row r="619" spans="1:15">
      <c r="A619" s="38">
        <v>45913</v>
      </c>
      <c r="B619" s="22" t="s">
        <v>17</v>
      </c>
      <c r="C619" s="22" t="s">
        <v>18</v>
      </c>
      <c r="D619" s="23" t="s">
        <v>68</v>
      </c>
      <c r="E619" s="39">
        <v>6</v>
      </c>
      <c r="F619" s="42">
        <v>4880</v>
      </c>
      <c r="G619" s="42">
        <v>3870</v>
      </c>
      <c r="H619" s="42">
        <v>1010</v>
      </c>
      <c r="I619" s="17"/>
      <c r="J619" s="17"/>
      <c r="K619" s="17">
        <v>26500</v>
      </c>
      <c r="L619" s="17"/>
      <c r="M619" s="17">
        <v>7000</v>
      </c>
      <c r="N619" s="16"/>
      <c r="O619" s="16"/>
    </row>
    <row r="620" spans="1:15">
      <c r="A620" s="38">
        <v>45913</v>
      </c>
      <c r="B620" s="22" t="s">
        <v>17</v>
      </c>
      <c r="C620" s="22" t="s">
        <v>18</v>
      </c>
      <c r="D620" s="23" t="s">
        <v>68</v>
      </c>
      <c r="E620" s="39">
        <v>6</v>
      </c>
      <c r="F620" s="42">
        <v>5010</v>
      </c>
      <c r="G620" s="42">
        <v>3920</v>
      </c>
      <c r="H620" s="42">
        <v>1090</v>
      </c>
      <c r="I620" s="17"/>
      <c r="J620" s="17"/>
      <c r="K620" s="17">
        <v>26500</v>
      </c>
      <c r="L620" s="17"/>
      <c r="M620" s="17">
        <v>7000</v>
      </c>
      <c r="N620" s="16"/>
      <c r="O620" s="16"/>
    </row>
    <row r="621" spans="1:15">
      <c r="A621" s="38">
        <v>45914</v>
      </c>
      <c r="B621" s="22" t="s">
        <v>17</v>
      </c>
      <c r="C621" s="22" t="s">
        <v>18</v>
      </c>
      <c r="D621" s="23" t="s">
        <v>284</v>
      </c>
      <c r="E621" s="39">
        <v>6</v>
      </c>
      <c r="F621" s="42">
        <v>4710</v>
      </c>
      <c r="G621" s="42">
        <v>3820</v>
      </c>
      <c r="H621" s="42">
        <v>890</v>
      </c>
      <c r="I621" s="17"/>
      <c r="J621" s="17"/>
      <c r="K621" s="17"/>
      <c r="L621" s="17"/>
      <c r="M621" s="17">
        <v>7000</v>
      </c>
      <c r="N621" s="16"/>
      <c r="O621" s="16"/>
    </row>
    <row r="622" spans="1:15">
      <c r="A622" s="38">
        <v>45914</v>
      </c>
      <c r="B622" s="22" t="s">
        <v>17</v>
      </c>
      <c r="C622" s="22" t="s">
        <v>18</v>
      </c>
      <c r="D622" s="23" t="s">
        <v>284</v>
      </c>
      <c r="E622" s="39">
        <v>6</v>
      </c>
      <c r="F622" s="42">
        <v>4760</v>
      </c>
      <c r="G622" s="42">
        <v>3870</v>
      </c>
      <c r="H622" s="42">
        <v>890</v>
      </c>
      <c r="I622" s="17"/>
      <c r="J622" s="17"/>
      <c r="K622" s="17"/>
      <c r="L622" s="17"/>
      <c r="M622" s="17">
        <v>7000</v>
      </c>
      <c r="N622" s="16"/>
      <c r="O622" s="16"/>
    </row>
    <row r="623" spans="1:15">
      <c r="A623" s="38"/>
      <c r="B623" s="22"/>
      <c r="C623" s="22"/>
      <c r="D623" s="23"/>
      <c r="E623" s="39"/>
      <c r="F623" s="42"/>
      <c r="G623" s="42"/>
      <c r="H623" s="42"/>
      <c r="I623" s="17"/>
      <c r="J623" s="17"/>
      <c r="K623" s="17"/>
      <c r="L623" s="17"/>
      <c r="M623" s="17"/>
      <c r="N623" s="16"/>
      <c r="O623" s="16"/>
    </row>
    <row r="624" spans="1:15">
      <c r="A624" s="38">
        <v>45922</v>
      </c>
      <c r="B624" s="22"/>
      <c r="C624" s="22"/>
      <c r="D624" s="23"/>
      <c r="E624" s="39"/>
      <c r="F624" s="42"/>
      <c r="G624" s="42"/>
      <c r="H624" s="42"/>
      <c r="I624" s="17">
        <v>1000000</v>
      </c>
      <c r="J624" s="17">
        <v>0</v>
      </c>
      <c r="K624" s="17">
        <v>543500</v>
      </c>
      <c r="L624" s="17">
        <v>0</v>
      </c>
      <c r="M624" s="17">
        <v>108000</v>
      </c>
      <c r="N624" s="16" t="s">
        <v>289</v>
      </c>
      <c r="O624" s="16" t="s">
        <v>290</v>
      </c>
    </row>
    <row r="625" spans="1:15">
      <c r="A625" s="38">
        <v>45916</v>
      </c>
      <c r="B625" s="22" t="s">
        <v>17</v>
      </c>
      <c r="C625" s="22" t="s">
        <v>18</v>
      </c>
      <c r="D625" s="23" t="s">
        <v>68</v>
      </c>
      <c r="E625" s="39">
        <v>6</v>
      </c>
      <c r="F625" s="42">
        <v>4430</v>
      </c>
      <c r="G625" s="42">
        <v>3790</v>
      </c>
      <c r="H625" s="42">
        <v>640</v>
      </c>
      <c r="I625" s="17"/>
      <c r="J625" s="17"/>
      <c r="K625" s="17">
        <v>26500</v>
      </c>
      <c r="L625" s="17"/>
      <c r="M625" s="17">
        <v>4000</v>
      </c>
      <c r="N625" s="16"/>
      <c r="O625" s="16"/>
    </row>
    <row r="626" spans="1:15">
      <c r="A626" s="38">
        <v>45916</v>
      </c>
      <c r="B626" s="22" t="s">
        <v>17</v>
      </c>
      <c r="C626" s="22" t="s">
        <v>18</v>
      </c>
      <c r="D626" s="23" t="s">
        <v>45</v>
      </c>
      <c r="E626" s="39">
        <v>6</v>
      </c>
      <c r="F626" s="42">
        <v>4940</v>
      </c>
      <c r="G626" s="42">
        <v>3800</v>
      </c>
      <c r="H626" s="42">
        <v>1140</v>
      </c>
      <c r="I626" s="17"/>
      <c r="J626" s="17"/>
      <c r="K626" s="17">
        <v>33500</v>
      </c>
      <c r="L626" s="17"/>
      <c r="M626" s="17">
        <v>7000</v>
      </c>
      <c r="N626" s="16"/>
      <c r="O626" s="16"/>
    </row>
    <row r="627" spans="1:15">
      <c r="A627" s="38">
        <v>45916</v>
      </c>
      <c r="B627" s="22" t="s">
        <v>17</v>
      </c>
      <c r="C627" s="22" t="s">
        <v>18</v>
      </c>
      <c r="D627" s="23" t="s">
        <v>288</v>
      </c>
      <c r="E627" s="39">
        <v>6</v>
      </c>
      <c r="F627" s="42">
        <v>4940</v>
      </c>
      <c r="G627" s="42">
        <v>3890</v>
      </c>
      <c r="H627" s="42">
        <v>1050</v>
      </c>
      <c r="I627" s="17"/>
      <c r="J627" s="17"/>
      <c r="K627" s="17">
        <v>25000</v>
      </c>
      <c r="L627" s="17"/>
      <c r="M627" s="17">
        <v>7000</v>
      </c>
      <c r="N627" s="16"/>
      <c r="O627" s="16"/>
    </row>
    <row r="628" spans="1:15">
      <c r="A628" s="38">
        <v>45917</v>
      </c>
      <c r="B628" s="22" t="s">
        <v>17</v>
      </c>
      <c r="C628" s="22" t="s">
        <v>18</v>
      </c>
      <c r="D628" s="23" t="s">
        <v>45</v>
      </c>
      <c r="E628" s="39">
        <v>6</v>
      </c>
      <c r="F628" s="42">
        <v>4680</v>
      </c>
      <c r="G628" s="42">
        <v>3870</v>
      </c>
      <c r="H628" s="42">
        <v>810</v>
      </c>
      <c r="I628" s="17"/>
      <c r="J628" s="17"/>
      <c r="K628" s="17">
        <v>42500</v>
      </c>
      <c r="L628" s="17"/>
      <c r="M628" s="17">
        <v>4000</v>
      </c>
      <c r="N628" s="16"/>
      <c r="O628" s="16"/>
    </row>
    <row r="629" spans="1:15">
      <c r="A629" s="38">
        <v>45917</v>
      </c>
      <c r="B629" s="22" t="s">
        <v>17</v>
      </c>
      <c r="C629" s="22" t="s">
        <v>18</v>
      </c>
      <c r="D629" s="23" t="s">
        <v>68</v>
      </c>
      <c r="E629" s="39">
        <v>6</v>
      </c>
      <c r="F629" s="42">
        <v>5290</v>
      </c>
      <c r="G629" s="42">
        <v>3840</v>
      </c>
      <c r="H629" s="42">
        <v>1450</v>
      </c>
      <c r="I629" s="17"/>
      <c r="J629" s="17"/>
      <c r="K629" s="17">
        <v>26500</v>
      </c>
      <c r="L629" s="17"/>
      <c r="M629" s="17">
        <v>7000</v>
      </c>
      <c r="N629" s="16"/>
      <c r="O629" s="16"/>
    </row>
    <row r="630" spans="1:15">
      <c r="A630" s="38">
        <v>45918</v>
      </c>
      <c r="B630" s="22" t="s">
        <v>17</v>
      </c>
      <c r="C630" s="22" t="s">
        <v>18</v>
      </c>
      <c r="D630" s="23" t="s">
        <v>283</v>
      </c>
      <c r="E630" s="39">
        <v>6</v>
      </c>
      <c r="F630" s="42">
        <v>4620</v>
      </c>
      <c r="G630" s="42">
        <v>3800</v>
      </c>
      <c r="H630" s="42">
        <v>820</v>
      </c>
      <c r="I630" s="17"/>
      <c r="J630" s="17"/>
      <c r="K630" s="17">
        <v>42500</v>
      </c>
      <c r="L630" s="17"/>
      <c r="M630" s="17">
        <v>7000</v>
      </c>
      <c r="N630" s="16"/>
      <c r="O630" s="16"/>
    </row>
    <row r="631" spans="1:15">
      <c r="A631" s="38">
        <v>45918</v>
      </c>
      <c r="B631" s="22" t="s">
        <v>17</v>
      </c>
      <c r="C631" s="22" t="s">
        <v>18</v>
      </c>
      <c r="D631" s="23" t="s">
        <v>68</v>
      </c>
      <c r="E631" s="39">
        <v>6</v>
      </c>
      <c r="F631" s="42">
        <v>4710</v>
      </c>
      <c r="G631" s="42">
        <v>3840</v>
      </c>
      <c r="H631" s="42">
        <v>870</v>
      </c>
      <c r="I631" s="17"/>
      <c r="J631" s="17"/>
      <c r="K631" s="17">
        <v>42500</v>
      </c>
      <c r="L631" s="17"/>
      <c r="M631" s="17">
        <v>7000</v>
      </c>
      <c r="N631" s="16"/>
      <c r="O631" s="16"/>
    </row>
    <row r="632" spans="1:15">
      <c r="A632" s="38">
        <v>45918</v>
      </c>
      <c r="B632" s="22" t="s">
        <v>17</v>
      </c>
      <c r="C632" s="22" t="s">
        <v>18</v>
      </c>
      <c r="D632" s="23" t="s">
        <v>68</v>
      </c>
      <c r="E632" s="39">
        <v>6</v>
      </c>
      <c r="F632" s="42">
        <v>4290</v>
      </c>
      <c r="G632" s="42">
        <v>3880</v>
      </c>
      <c r="H632" s="42">
        <v>410</v>
      </c>
      <c r="I632" s="17"/>
      <c r="J632" s="17"/>
      <c r="K632" s="17">
        <v>42500</v>
      </c>
      <c r="L632" s="17"/>
      <c r="M632" s="17">
        <v>7000</v>
      </c>
      <c r="N632" s="16"/>
      <c r="O632" s="16"/>
    </row>
    <row r="633" spans="1:15">
      <c r="A633" s="38">
        <v>45919</v>
      </c>
      <c r="B633" s="22" t="s">
        <v>17</v>
      </c>
      <c r="C633" s="22" t="s">
        <v>18</v>
      </c>
      <c r="D633" s="23" t="s">
        <v>68</v>
      </c>
      <c r="E633" s="39">
        <v>6</v>
      </c>
      <c r="F633" s="42">
        <v>4820</v>
      </c>
      <c r="G633" s="42">
        <v>3790</v>
      </c>
      <c r="H633" s="42">
        <v>1030</v>
      </c>
      <c r="I633" s="17"/>
      <c r="J633" s="17"/>
      <c r="K633" s="17">
        <v>42500</v>
      </c>
      <c r="L633" s="17"/>
      <c r="M633" s="17">
        <v>9000</v>
      </c>
      <c r="N633" s="16"/>
      <c r="O633" s="16"/>
    </row>
    <row r="634" spans="1:15">
      <c r="A634" s="38">
        <v>45919</v>
      </c>
      <c r="B634" s="22" t="s">
        <v>17</v>
      </c>
      <c r="C634" s="22" t="s">
        <v>18</v>
      </c>
      <c r="D634" s="23" t="s">
        <v>45</v>
      </c>
      <c r="E634" s="39">
        <v>6</v>
      </c>
      <c r="F634" s="42">
        <v>4520</v>
      </c>
      <c r="G634" s="42">
        <v>3810</v>
      </c>
      <c r="H634" s="42">
        <v>710</v>
      </c>
      <c r="I634" s="17"/>
      <c r="J634" s="17"/>
      <c r="K634" s="17">
        <v>33500</v>
      </c>
      <c r="L634" s="17"/>
      <c r="M634" s="17">
        <v>7000</v>
      </c>
      <c r="N634" s="16"/>
      <c r="O634" s="16"/>
    </row>
    <row r="635" spans="1:15">
      <c r="A635" s="38">
        <v>45920</v>
      </c>
      <c r="B635" s="22" t="s">
        <v>17</v>
      </c>
      <c r="C635" s="22" t="s">
        <v>18</v>
      </c>
      <c r="D635" s="23" t="s">
        <v>197</v>
      </c>
      <c r="E635" s="39">
        <v>6</v>
      </c>
      <c r="F635" s="42">
        <v>5300</v>
      </c>
      <c r="G635" s="42">
        <v>3880</v>
      </c>
      <c r="H635" s="42">
        <v>1420</v>
      </c>
      <c r="I635" s="17"/>
      <c r="J635" s="17"/>
      <c r="K635" s="17">
        <v>42500</v>
      </c>
      <c r="L635" s="17"/>
      <c r="M635" s="17">
        <v>7000</v>
      </c>
      <c r="N635" s="16"/>
      <c r="O635" s="16"/>
    </row>
    <row r="636" spans="1:15">
      <c r="A636" s="38">
        <v>45920</v>
      </c>
      <c r="B636" s="22" t="s">
        <v>17</v>
      </c>
      <c r="C636" s="22" t="s">
        <v>18</v>
      </c>
      <c r="D636" s="23" t="s">
        <v>291</v>
      </c>
      <c r="E636" s="39">
        <v>6</v>
      </c>
      <c r="F636" s="42">
        <v>4200</v>
      </c>
      <c r="G636" s="42">
        <v>3870</v>
      </c>
      <c r="H636" s="42">
        <v>330</v>
      </c>
      <c r="I636" s="17"/>
      <c r="J636" s="17"/>
      <c r="K636" s="17">
        <v>42500</v>
      </c>
      <c r="L636" s="17"/>
      <c r="M636" s="17">
        <v>7000</v>
      </c>
      <c r="N636" s="16"/>
      <c r="O636" s="16"/>
    </row>
    <row r="637" spans="1:15">
      <c r="A637" s="38">
        <v>45921</v>
      </c>
      <c r="B637" s="22" t="s">
        <v>17</v>
      </c>
      <c r="C637" s="22" t="s">
        <v>18</v>
      </c>
      <c r="D637" s="23" t="s">
        <v>284</v>
      </c>
      <c r="E637" s="39">
        <v>6</v>
      </c>
      <c r="F637" s="42">
        <v>4670</v>
      </c>
      <c r="G637" s="42">
        <v>3830</v>
      </c>
      <c r="H637" s="42">
        <v>840</v>
      </c>
      <c r="I637" s="17"/>
      <c r="J637" s="17"/>
      <c r="K637" s="17">
        <v>9000</v>
      </c>
      <c r="L637" s="17"/>
      <c r="M637" s="17">
        <v>7000</v>
      </c>
      <c r="N637" s="16"/>
      <c r="O637" s="16"/>
    </row>
    <row r="638" spans="1:15">
      <c r="A638" s="38">
        <v>45921</v>
      </c>
      <c r="B638" s="22" t="s">
        <v>17</v>
      </c>
      <c r="C638" s="22" t="s">
        <v>18</v>
      </c>
      <c r="D638" s="23" t="s">
        <v>284</v>
      </c>
      <c r="E638" s="39">
        <v>6</v>
      </c>
      <c r="F638" s="42">
        <v>5110</v>
      </c>
      <c r="G638" s="42">
        <v>3890</v>
      </c>
      <c r="H638" s="42">
        <v>1220</v>
      </c>
      <c r="I638" s="17"/>
      <c r="J638" s="17"/>
      <c r="K638" s="17">
        <v>7000</v>
      </c>
      <c r="L638" s="17"/>
      <c r="M638" s="17">
        <v>7000</v>
      </c>
      <c r="N638" s="16"/>
      <c r="O638" s="16"/>
    </row>
    <row r="639" spans="1:15">
      <c r="A639" s="38">
        <v>45922</v>
      </c>
      <c r="B639" s="22" t="s">
        <v>17</v>
      </c>
      <c r="C639" s="22" t="s">
        <v>18</v>
      </c>
      <c r="D639" s="23" t="s">
        <v>120</v>
      </c>
      <c r="E639" s="39">
        <v>6</v>
      </c>
      <c r="F639" s="42">
        <v>4520</v>
      </c>
      <c r="G639" s="42">
        <v>3830</v>
      </c>
      <c r="H639" s="42">
        <v>690</v>
      </c>
      <c r="I639" s="17"/>
      <c r="J639" s="17"/>
      <c r="K639" s="17">
        <v>42500</v>
      </c>
      <c r="L639" s="17"/>
      <c r="M639" s="17">
        <v>7000</v>
      </c>
      <c r="N639" s="16"/>
      <c r="O639" s="16"/>
    </row>
    <row r="640" spans="1:15">
      <c r="A640" s="38">
        <v>45922</v>
      </c>
      <c r="B640" s="22" t="s">
        <v>17</v>
      </c>
      <c r="C640" s="22" t="s">
        <v>18</v>
      </c>
      <c r="D640" s="23"/>
      <c r="E640" s="39">
        <v>6</v>
      </c>
      <c r="F640" s="42">
        <v>5410</v>
      </c>
      <c r="G640" s="42">
        <v>3830</v>
      </c>
      <c r="H640" s="42">
        <v>1580</v>
      </c>
      <c r="I640" s="17"/>
      <c r="J640" s="17"/>
      <c r="K640" s="17">
        <v>42500</v>
      </c>
      <c r="L640" s="17"/>
      <c r="M640" s="17">
        <v>7000</v>
      </c>
      <c r="N640" s="16"/>
      <c r="O640" s="16"/>
    </row>
    <row r="641" spans="1:15">
      <c r="A641" s="38"/>
      <c r="B641" s="22"/>
      <c r="C641" s="22"/>
      <c r="D641" s="23"/>
      <c r="E641" s="39"/>
      <c r="F641" s="42"/>
      <c r="G641" s="42"/>
      <c r="H641" s="42"/>
      <c r="I641" s="17"/>
      <c r="J641" s="17"/>
      <c r="K641" s="17"/>
      <c r="L641" s="17"/>
      <c r="M641" s="17"/>
      <c r="N641" s="16"/>
      <c r="O641" s="16"/>
    </row>
    <row r="642" spans="1:15">
      <c r="A642" s="38">
        <v>45929</v>
      </c>
      <c r="B642" s="22"/>
      <c r="C642" s="22"/>
      <c r="D642" s="23"/>
      <c r="E642" s="39"/>
      <c r="F642" s="42"/>
      <c r="G642" s="42"/>
      <c r="H642" s="42"/>
      <c r="I642" s="17">
        <v>1000000</v>
      </c>
      <c r="J642" s="17">
        <v>0</v>
      </c>
      <c r="K642" s="17">
        <v>434500</v>
      </c>
      <c r="L642" s="17">
        <v>0</v>
      </c>
      <c r="M642" s="17">
        <v>89000</v>
      </c>
      <c r="N642" s="16" t="s">
        <v>292</v>
      </c>
      <c r="O642" s="16" t="s">
        <v>293</v>
      </c>
    </row>
    <row r="643" spans="1:15">
      <c r="A643" s="38">
        <v>45923</v>
      </c>
      <c r="B643" s="22" t="s">
        <v>17</v>
      </c>
      <c r="C643" s="22" t="s">
        <v>18</v>
      </c>
      <c r="D643" s="23" t="s">
        <v>45</v>
      </c>
      <c r="E643" s="39">
        <v>6</v>
      </c>
      <c r="F643" s="42">
        <v>4300</v>
      </c>
      <c r="G643" s="42">
        <v>3810</v>
      </c>
      <c r="H643" s="42">
        <v>490</v>
      </c>
      <c r="I643" s="17"/>
      <c r="J643" s="17"/>
      <c r="K643" s="17">
        <v>16000</v>
      </c>
      <c r="L643" s="17"/>
      <c r="M643" s="17">
        <v>7000</v>
      </c>
      <c r="N643" s="16"/>
      <c r="O643" s="16"/>
    </row>
    <row r="644" spans="1:15">
      <c r="A644" s="38">
        <v>45923</v>
      </c>
      <c r="B644" s="22" t="s">
        <v>17</v>
      </c>
      <c r="C644" s="22" t="s">
        <v>18</v>
      </c>
      <c r="D644" s="23" t="s">
        <v>294</v>
      </c>
      <c r="E644" s="39">
        <v>6</v>
      </c>
      <c r="F644" s="42">
        <v>4650</v>
      </c>
      <c r="G644" s="42">
        <v>3910</v>
      </c>
      <c r="H644" s="42">
        <v>740</v>
      </c>
      <c r="I644" s="17"/>
      <c r="J644" s="17"/>
      <c r="K644" s="17">
        <v>26500</v>
      </c>
      <c r="L644" s="17"/>
      <c r="M644" s="17">
        <v>4000</v>
      </c>
      <c r="N644" s="16"/>
      <c r="O644" s="16"/>
    </row>
    <row r="645" spans="1:15">
      <c r="A645" s="38">
        <v>45924</v>
      </c>
      <c r="B645" s="22" t="s">
        <v>17</v>
      </c>
      <c r="C645" s="22" t="s">
        <v>18</v>
      </c>
      <c r="D645" s="23" t="s">
        <v>45</v>
      </c>
      <c r="E645" s="39">
        <v>6</v>
      </c>
      <c r="F645" s="42">
        <v>5100</v>
      </c>
      <c r="G645" s="42">
        <v>3890</v>
      </c>
      <c r="H645" s="42">
        <v>1210</v>
      </c>
      <c r="I645" s="17"/>
      <c r="J645" s="17"/>
      <c r="K645" s="17">
        <v>42500</v>
      </c>
      <c r="L645" s="17"/>
      <c r="M645" s="17">
        <v>7000</v>
      </c>
      <c r="N645" s="16"/>
      <c r="O645" s="16"/>
    </row>
    <row r="646" spans="1:15">
      <c r="A646" s="38">
        <v>45924</v>
      </c>
      <c r="B646" s="22" t="s">
        <v>17</v>
      </c>
      <c r="C646" s="22" t="s">
        <v>18</v>
      </c>
      <c r="D646" s="23" t="s">
        <v>294</v>
      </c>
      <c r="E646" s="39">
        <v>6</v>
      </c>
      <c r="F646" s="42">
        <v>4900</v>
      </c>
      <c r="G646" s="42">
        <v>3900</v>
      </c>
      <c r="H646" s="42">
        <v>1000</v>
      </c>
      <c r="I646" s="17"/>
      <c r="J646" s="17"/>
      <c r="K646" s="17">
        <v>42500</v>
      </c>
      <c r="L646" s="17"/>
      <c r="M646" s="17">
        <v>7000</v>
      </c>
      <c r="N646" s="16"/>
      <c r="O646" s="16"/>
    </row>
    <row r="647" spans="1:15">
      <c r="A647" s="38">
        <v>45925</v>
      </c>
      <c r="B647" s="22" t="s">
        <v>17</v>
      </c>
      <c r="C647" s="22" t="s">
        <v>18</v>
      </c>
      <c r="D647" s="23" t="s">
        <v>197</v>
      </c>
      <c r="E647" s="39">
        <v>6</v>
      </c>
      <c r="F647" s="42">
        <v>6060</v>
      </c>
      <c r="G647" s="42">
        <v>3820</v>
      </c>
      <c r="H647" s="42">
        <v>2240</v>
      </c>
      <c r="I647" s="17"/>
      <c r="J647" s="17"/>
      <c r="K647" s="17">
        <v>26500</v>
      </c>
      <c r="L647" s="17"/>
      <c r="M647" s="17">
        <v>7000</v>
      </c>
      <c r="N647" s="16"/>
      <c r="O647" s="16"/>
    </row>
    <row r="648" spans="1:15">
      <c r="A648" s="38">
        <v>45925</v>
      </c>
      <c r="B648" s="22" t="s">
        <v>17</v>
      </c>
      <c r="C648" s="22" t="s">
        <v>18</v>
      </c>
      <c r="D648" s="23" t="s">
        <v>68</v>
      </c>
      <c r="E648" s="39">
        <v>6</v>
      </c>
      <c r="F648" s="42">
        <v>4840</v>
      </c>
      <c r="G648" s="42">
        <v>3840</v>
      </c>
      <c r="H648" s="42">
        <v>1000</v>
      </c>
      <c r="I648" s="17"/>
      <c r="J648" s="17"/>
      <c r="K648" s="17">
        <v>42500</v>
      </c>
      <c r="L648" s="17"/>
      <c r="M648" s="17">
        <v>7000</v>
      </c>
      <c r="N648" s="16"/>
      <c r="O648" s="16"/>
    </row>
    <row r="649" spans="1:15">
      <c r="A649" s="38">
        <v>45926</v>
      </c>
      <c r="B649" s="22" t="s">
        <v>17</v>
      </c>
      <c r="C649" s="22" t="s">
        <v>18</v>
      </c>
      <c r="D649" s="23" t="s">
        <v>45</v>
      </c>
      <c r="E649" s="39">
        <v>6</v>
      </c>
      <c r="F649" s="42">
        <v>4060</v>
      </c>
      <c r="G649" s="42">
        <v>3850</v>
      </c>
      <c r="H649" s="42">
        <v>210</v>
      </c>
      <c r="I649" s="17"/>
      <c r="J649" s="17"/>
      <c r="K649" s="17">
        <v>42500</v>
      </c>
      <c r="L649" s="17"/>
      <c r="M649" s="17">
        <v>7000</v>
      </c>
      <c r="N649" s="16"/>
      <c r="O649" s="16"/>
    </row>
    <row r="650" spans="1:15">
      <c r="A650" s="38">
        <v>45926</v>
      </c>
      <c r="B650" s="22" t="s">
        <v>17</v>
      </c>
      <c r="C650" s="22" t="s">
        <v>18</v>
      </c>
      <c r="D650" s="23" t="s">
        <v>68</v>
      </c>
      <c r="E650" s="39">
        <v>6</v>
      </c>
      <c r="F650" s="42">
        <v>5110</v>
      </c>
      <c r="G650" s="42">
        <v>3840</v>
      </c>
      <c r="H650" s="42">
        <v>1270</v>
      </c>
      <c r="I650" s="17"/>
      <c r="J650" s="17"/>
      <c r="K650" s="17">
        <v>39500</v>
      </c>
      <c r="L650" s="17"/>
      <c r="M650" s="17">
        <v>7000</v>
      </c>
      <c r="N650" s="16"/>
      <c r="O650" s="16"/>
    </row>
    <row r="651" spans="1:15">
      <c r="A651" s="38">
        <v>45927</v>
      </c>
      <c r="B651" s="22" t="s">
        <v>17</v>
      </c>
      <c r="C651" s="22" t="s">
        <v>18</v>
      </c>
      <c r="D651" s="23" t="s">
        <v>45</v>
      </c>
      <c r="E651" s="39">
        <v>6</v>
      </c>
      <c r="F651" s="42">
        <v>5030</v>
      </c>
      <c r="G651" s="42">
        <v>3820</v>
      </c>
      <c r="H651" s="42">
        <v>1210</v>
      </c>
      <c r="I651" s="17"/>
      <c r="J651" s="17"/>
      <c r="K651" s="17">
        <v>35500</v>
      </c>
      <c r="L651" s="17"/>
      <c r="M651" s="17">
        <v>7000</v>
      </c>
      <c r="N651" s="16"/>
      <c r="O651" s="16"/>
    </row>
    <row r="652" spans="1:15">
      <c r="A652" s="38">
        <v>45927</v>
      </c>
      <c r="B652" s="22" t="s">
        <v>17</v>
      </c>
      <c r="C652" s="22" t="s">
        <v>18</v>
      </c>
      <c r="D652" s="23" t="s">
        <v>68</v>
      </c>
      <c r="E652" s="39">
        <v>6</v>
      </c>
      <c r="F652" s="42">
        <v>5090</v>
      </c>
      <c r="G652" s="42">
        <v>3800</v>
      </c>
      <c r="H652" s="42">
        <v>1290</v>
      </c>
      <c r="I652" s="17"/>
      <c r="J652" s="17"/>
      <c r="K652" s="17">
        <v>35500</v>
      </c>
      <c r="L652" s="17"/>
      <c r="M652" s="17">
        <v>7000</v>
      </c>
      <c r="N652" s="16"/>
      <c r="O652" s="16"/>
    </row>
    <row r="653" spans="1:15">
      <c r="A653" s="38">
        <v>45928</v>
      </c>
      <c r="B653" s="22" t="s">
        <v>17</v>
      </c>
      <c r="C653" s="22" t="s">
        <v>18</v>
      </c>
      <c r="D653" s="23" t="s">
        <v>284</v>
      </c>
      <c r="E653" s="39">
        <v>6</v>
      </c>
      <c r="F653" s="42">
        <v>4540</v>
      </c>
      <c r="G653" s="42">
        <v>3880</v>
      </c>
      <c r="H653" s="42">
        <v>660</v>
      </c>
      <c r="I653" s="17"/>
      <c r="J653" s="17"/>
      <c r="K653" s="17">
        <v>16000</v>
      </c>
      <c r="L653" s="17"/>
      <c r="M653" s="17">
        <v>8000</v>
      </c>
      <c r="N653" s="16"/>
      <c r="O653" s="16"/>
    </row>
    <row r="654" spans="1:15">
      <c r="A654" s="38">
        <v>45929</v>
      </c>
      <c r="B654" s="22" t="s">
        <v>17</v>
      </c>
      <c r="C654" s="22" t="s">
        <v>18</v>
      </c>
      <c r="D654" s="23" t="s">
        <v>45</v>
      </c>
      <c r="E654" s="39">
        <v>6</v>
      </c>
      <c r="F654" s="42">
        <v>4710</v>
      </c>
      <c r="G654" s="42">
        <v>3860</v>
      </c>
      <c r="H654" s="42">
        <v>850</v>
      </c>
      <c r="I654" s="17"/>
      <c r="J654" s="17"/>
      <c r="K654" s="17">
        <v>35500</v>
      </c>
      <c r="L654" s="17"/>
      <c r="M654" s="17">
        <v>7000</v>
      </c>
      <c r="N654" s="16"/>
      <c r="O654" s="16"/>
    </row>
    <row r="655" spans="1:15">
      <c r="A655" s="38">
        <v>45929</v>
      </c>
      <c r="B655" s="22" t="s">
        <v>17</v>
      </c>
      <c r="C655" s="22" t="s">
        <v>18</v>
      </c>
      <c r="D655" s="23" t="s">
        <v>68</v>
      </c>
      <c r="E655" s="39">
        <v>6</v>
      </c>
      <c r="F655" s="42">
        <v>4700</v>
      </c>
      <c r="G655" s="42">
        <v>3780</v>
      </c>
      <c r="H655" s="42">
        <v>920</v>
      </c>
      <c r="I655" s="17"/>
      <c r="J655" s="17"/>
      <c r="K655" s="17">
        <v>33500</v>
      </c>
      <c r="L655" s="17"/>
      <c r="M655" s="17">
        <v>7000</v>
      </c>
      <c r="N655" s="16"/>
      <c r="O655" s="16"/>
    </row>
    <row r="656" spans="1:15">
      <c r="A656" s="38"/>
      <c r="B656" s="22"/>
      <c r="C656" s="22"/>
      <c r="D656" s="23"/>
      <c r="E656" s="39"/>
      <c r="F656" s="42"/>
      <c r="G656" s="42"/>
      <c r="H656" s="42"/>
      <c r="I656" s="17"/>
      <c r="J656" s="17"/>
      <c r="K656" s="17"/>
      <c r="L656" s="17"/>
      <c r="M656" s="17"/>
      <c r="N656" s="16"/>
      <c r="O656" s="16"/>
    </row>
    <row r="657" spans="1:15">
      <c r="A657" s="126">
        <v>45936</v>
      </c>
      <c r="B657" s="127"/>
      <c r="C657" s="127"/>
      <c r="D657" s="128"/>
      <c r="E657" s="133"/>
      <c r="F657" s="130"/>
      <c r="G657" s="130"/>
      <c r="H657" s="130"/>
      <c r="I657" s="131">
        <v>1000000</v>
      </c>
      <c r="J657" s="131">
        <v>0</v>
      </c>
      <c r="K657" s="131">
        <v>445500</v>
      </c>
      <c r="L657" s="131">
        <v>0</v>
      </c>
      <c r="M657" s="131">
        <v>89000</v>
      </c>
      <c r="N657" s="132" t="s">
        <v>295</v>
      </c>
      <c r="O657" s="132" t="s">
        <v>296</v>
      </c>
    </row>
    <row r="658" spans="1:15">
      <c r="A658" s="38">
        <v>45930</v>
      </c>
      <c r="B658" s="22" t="s">
        <v>17</v>
      </c>
      <c r="C658" s="22" t="s">
        <v>18</v>
      </c>
      <c r="D658" s="23" t="s">
        <v>68</v>
      </c>
      <c r="E658" s="39">
        <v>6</v>
      </c>
      <c r="F658" s="42">
        <v>4690</v>
      </c>
      <c r="G658" s="42">
        <v>3890</v>
      </c>
      <c r="H658" s="42">
        <v>800</v>
      </c>
      <c r="I658" s="17"/>
      <c r="J658" s="17"/>
      <c r="K658" s="17">
        <v>26500</v>
      </c>
      <c r="L658" s="17"/>
      <c r="M658" s="17">
        <v>7000</v>
      </c>
      <c r="N658" s="16"/>
      <c r="O658" s="16"/>
    </row>
    <row r="659" spans="1:15">
      <c r="A659" s="38">
        <v>45930</v>
      </c>
      <c r="B659" s="22" t="s">
        <v>17</v>
      </c>
      <c r="C659" s="22" t="s">
        <v>18</v>
      </c>
      <c r="D659" s="23" t="s">
        <v>288</v>
      </c>
      <c r="E659" s="39">
        <v>6</v>
      </c>
      <c r="F659" s="42">
        <v>4840</v>
      </c>
      <c r="G659" s="42">
        <v>3810</v>
      </c>
      <c r="H659" s="42">
        <v>1030</v>
      </c>
      <c r="I659" s="17"/>
      <c r="J659" s="17"/>
      <c r="K659" s="17">
        <v>16000</v>
      </c>
      <c r="L659" s="17"/>
      <c r="M659" s="17">
        <v>7000</v>
      </c>
      <c r="N659" s="16"/>
      <c r="O659" s="16"/>
    </row>
    <row r="660" spans="1:15">
      <c r="A660" s="111">
        <v>45931</v>
      </c>
      <c r="B660" s="112" t="s">
        <v>17</v>
      </c>
      <c r="C660" s="112" t="s">
        <v>18</v>
      </c>
      <c r="D660" s="113" t="s">
        <v>68</v>
      </c>
      <c r="E660" s="114">
        <v>6</v>
      </c>
      <c r="F660" s="115">
        <v>4690</v>
      </c>
      <c r="G660" s="115">
        <v>3890</v>
      </c>
      <c r="H660" s="115">
        <v>800</v>
      </c>
      <c r="I660" s="116"/>
      <c r="J660" s="116"/>
      <c r="K660" s="116">
        <v>42500</v>
      </c>
      <c r="L660" s="116"/>
      <c r="M660" s="116">
        <v>7000</v>
      </c>
      <c r="N660" s="117"/>
      <c r="O660" s="117"/>
    </row>
    <row r="661" spans="1:15">
      <c r="A661" s="111">
        <v>45931</v>
      </c>
      <c r="B661" s="112" t="s">
        <v>17</v>
      </c>
      <c r="C661" s="112" t="s">
        <v>18</v>
      </c>
      <c r="D661" s="113" t="s">
        <v>45</v>
      </c>
      <c r="E661" s="114">
        <v>6</v>
      </c>
      <c r="F661" s="115">
        <v>4950</v>
      </c>
      <c r="G661" s="115">
        <v>3880</v>
      </c>
      <c r="H661" s="115">
        <v>1070</v>
      </c>
      <c r="I661" s="116"/>
      <c r="J661" s="116"/>
      <c r="K661" s="116">
        <v>42500</v>
      </c>
      <c r="L661" s="116"/>
      <c r="M661" s="116">
        <v>7000</v>
      </c>
      <c r="N661" s="117"/>
      <c r="O661" s="117"/>
    </row>
    <row r="662" spans="1:15">
      <c r="A662" s="111">
        <v>45932</v>
      </c>
      <c r="B662" s="112" t="s">
        <v>17</v>
      </c>
      <c r="C662" s="112" t="s">
        <v>18</v>
      </c>
      <c r="D662" s="113" t="s">
        <v>197</v>
      </c>
      <c r="E662" s="114">
        <v>6</v>
      </c>
      <c r="F662" s="115">
        <v>4730</v>
      </c>
      <c r="G662" s="115">
        <v>3800</v>
      </c>
      <c r="H662" s="115">
        <v>930</v>
      </c>
      <c r="I662" s="116"/>
      <c r="J662" s="116"/>
      <c r="K662" s="116">
        <v>35500</v>
      </c>
      <c r="L662" s="116"/>
      <c r="M662" s="116">
        <v>7000</v>
      </c>
      <c r="N662" s="117"/>
      <c r="O662" s="117"/>
    </row>
    <row r="663" spans="1:15">
      <c r="A663" s="111">
        <v>45932</v>
      </c>
      <c r="B663" s="112" t="s">
        <v>17</v>
      </c>
      <c r="C663" s="112" t="s">
        <v>18</v>
      </c>
      <c r="D663" s="113" t="s">
        <v>68</v>
      </c>
      <c r="E663" s="114">
        <v>6</v>
      </c>
      <c r="F663" s="115">
        <v>5200</v>
      </c>
      <c r="G663" s="115">
        <v>3790</v>
      </c>
      <c r="H663" s="115">
        <v>1410</v>
      </c>
      <c r="I663" s="116"/>
      <c r="J663" s="116"/>
      <c r="K663" s="116">
        <v>33500</v>
      </c>
      <c r="L663" s="116"/>
      <c r="M663" s="116">
        <v>7000</v>
      </c>
      <c r="N663" s="117"/>
      <c r="O663" s="117"/>
    </row>
    <row r="664" spans="1:15">
      <c r="A664" s="111">
        <v>45933</v>
      </c>
      <c r="B664" s="112" t="s">
        <v>17</v>
      </c>
      <c r="C664" s="112" t="s">
        <v>18</v>
      </c>
      <c r="D664" s="113" t="s">
        <v>45</v>
      </c>
      <c r="E664" s="114">
        <v>6</v>
      </c>
      <c r="F664" s="115">
        <v>5210</v>
      </c>
      <c r="G664" s="115">
        <v>3920</v>
      </c>
      <c r="H664" s="115">
        <v>1290</v>
      </c>
      <c r="I664" s="116"/>
      <c r="J664" s="116"/>
      <c r="K664" s="116">
        <v>42500</v>
      </c>
      <c r="L664" s="116"/>
      <c r="M664" s="116">
        <v>7000</v>
      </c>
      <c r="N664" s="117"/>
      <c r="O664" s="117"/>
    </row>
    <row r="665" spans="1:15">
      <c r="A665" s="111">
        <v>45933</v>
      </c>
      <c r="B665" s="112" t="s">
        <v>17</v>
      </c>
      <c r="C665" s="112" t="s">
        <v>18</v>
      </c>
      <c r="D665" s="113" t="s">
        <v>68</v>
      </c>
      <c r="E665" s="114">
        <v>6</v>
      </c>
      <c r="F665" s="115">
        <v>4760</v>
      </c>
      <c r="G665" s="115">
        <v>3880</v>
      </c>
      <c r="H665" s="115">
        <v>880</v>
      </c>
      <c r="I665" s="116"/>
      <c r="J665" s="116"/>
      <c r="K665" s="116">
        <v>39500</v>
      </c>
      <c r="L665" s="116"/>
      <c r="M665" s="116">
        <v>7000</v>
      </c>
      <c r="N665" s="117"/>
      <c r="O665" s="117"/>
    </row>
    <row r="666" spans="1:15">
      <c r="A666" s="111">
        <v>45934</v>
      </c>
      <c r="B666" s="112" t="s">
        <v>17</v>
      </c>
      <c r="C666" s="112" t="s">
        <v>18</v>
      </c>
      <c r="D666" s="113" t="s">
        <v>45</v>
      </c>
      <c r="E666" s="114">
        <v>6</v>
      </c>
      <c r="F666" s="115">
        <v>4690</v>
      </c>
      <c r="G666" s="115">
        <v>3900</v>
      </c>
      <c r="H666" s="115">
        <v>790</v>
      </c>
      <c r="I666" s="116"/>
      <c r="J666" s="116"/>
      <c r="K666" s="116">
        <v>42500</v>
      </c>
      <c r="L666" s="116"/>
      <c r="M666" s="116">
        <v>7000</v>
      </c>
      <c r="N666" s="117"/>
      <c r="O666" s="117"/>
    </row>
    <row r="667" spans="1:15">
      <c r="A667" s="111">
        <v>45934</v>
      </c>
      <c r="B667" s="112" t="s">
        <v>17</v>
      </c>
      <c r="C667" s="112" t="s">
        <v>18</v>
      </c>
      <c r="D667" s="113" t="s">
        <v>68</v>
      </c>
      <c r="E667" s="114">
        <v>6</v>
      </c>
      <c r="F667" s="115">
        <v>5070</v>
      </c>
      <c r="G667" s="115">
        <v>3910</v>
      </c>
      <c r="H667" s="115">
        <v>1160</v>
      </c>
      <c r="I667" s="116"/>
      <c r="J667" s="116"/>
      <c r="K667" s="116">
        <v>42500</v>
      </c>
      <c r="L667" s="116"/>
      <c r="M667" s="116">
        <v>4000</v>
      </c>
      <c r="N667" s="117"/>
      <c r="O667" s="117"/>
    </row>
    <row r="668" spans="1:15">
      <c r="A668" s="111">
        <v>45935</v>
      </c>
      <c r="B668" s="112" t="s">
        <v>17</v>
      </c>
      <c r="C668" s="112" t="s">
        <v>18</v>
      </c>
      <c r="D668" s="113" t="s">
        <v>297</v>
      </c>
      <c r="E668" s="114">
        <v>6</v>
      </c>
      <c r="F668" s="115">
        <v>4360</v>
      </c>
      <c r="G668" s="115">
        <v>3790</v>
      </c>
      <c r="H668" s="115">
        <v>570</v>
      </c>
      <c r="I668" s="116"/>
      <c r="J668" s="116"/>
      <c r="K668" s="116">
        <v>16000</v>
      </c>
      <c r="L668" s="116"/>
      <c r="M668" s="116">
        <v>11000</v>
      </c>
      <c r="N668" s="117"/>
      <c r="O668" s="117"/>
    </row>
    <row r="669" spans="1:15">
      <c r="A669" s="111">
        <v>45936</v>
      </c>
      <c r="B669" s="112" t="s">
        <v>17</v>
      </c>
      <c r="C669" s="112" t="s">
        <v>18</v>
      </c>
      <c r="D669" s="113" t="s">
        <v>283</v>
      </c>
      <c r="E669" s="114">
        <v>6</v>
      </c>
      <c r="F669" s="115">
        <v>4430</v>
      </c>
      <c r="G669" s="115">
        <v>3780</v>
      </c>
      <c r="H669" s="115">
        <v>650</v>
      </c>
      <c r="I669" s="116"/>
      <c r="J669" s="116"/>
      <c r="K669" s="116">
        <v>33500</v>
      </c>
      <c r="L669" s="116"/>
      <c r="M669" s="116">
        <v>7000</v>
      </c>
      <c r="N669" s="117"/>
      <c r="O669" s="117"/>
    </row>
    <row r="670" spans="1:15">
      <c r="A670" s="111">
        <v>45936</v>
      </c>
      <c r="B670" s="112" t="s">
        <v>17</v>
      </c>
      <c r="C670" s="112" t="s">
        <v>18</v>
      </c>
      <c r="D670" s="113" t="s">
        <v>68</v>
      </c>
      <c r="E670" s="114">
        <v>6</v>
      </c>
      <c r="F670" s="115">
        <v>4290</v>
      </c>
      <c r="G670" s="115">
        <v>3870</v>
      </c>
      <c r="H670" s="115">
        <v>420</v>
      </c>
      <c r="I670" s="116"/>
      <c r="J670" s="116"/>
      <c r="K670" s="116">
        <v>32500</v>
      </c>
      <c r="L670" s="116"/>
      <c r="M670" s="116">
        <v>4000</v>
      </c>
      <c r="N670" s="117"/>
      <c r="O670" s="117"/>
    </row>
    <row r="671" spans="1:15">
      <c r="A671" s="38"/>
      <c r="B671" s="22"/>
      <c r="C671" s="22"/>
      <c r="D671" s="23"/>
      <c r="E671" s="39"/>
      <c r="F671" s="42"/>
      <c r="G671" s="42"/>
      <c r="H671" s="42"/>
      <c r="I671" s="17"/>
      <c r="J671" s="17"/>
      <c r="K671" s="17"/>
      <c r="L671" s="17"/>
      <c r="M671" s="17"/>
      <c r="N671" s="16"/>
      <c r="O671" s="16"/>
    </row>
    <row r="672" spans="1:15">
      <c r="A672" s="126">
        <v>45942</v>
      </c>
      <c r="B672" s="127"/>
      <c r="C672" s="127"/>
      <c r="D672" s="128"/>
      <c r="E672" s="133"/>
      <c r="F672" s="130"/>
      <c r="G672" s="130"/>
      <c r="H672" s="130"/>
      <c r="I672" s="131">
        <v>1000000</v>
      </c>
      <c r="J672" s="131">
        <v>0</v>
      </c>
      <c r="K672" s="131">
        <v>382500</v>
      </c>
      <c r="L672" s="131">
        <v>0</v>
      </c>
      <c r="M672" s="131">
        <v>81000</v>
      </c>
      <c r="N672" s="132" t="s">
        <v>298</v>
      </c>
      <c r="O672" s="132" t="s">
        <v>299</v>
      </c>
    </row>
    <row r="673" spans="1:15">
      <c r="A673" s="111">
        <v>45937</v>
      </c>
      <c r="B673" s="112" t="s">
        <v>17</v>
      </c>
      <c r="C673" s="112" t="s">
        <v>18</v>
      </c>
      <c r="D673" s="113" t="s">
        <v>45</v>
      </c>
      <c r="E673" s="118">
        <v>6</v>
      </c>
      <c r="F673" s="115">
        <v>4810</v>
      </c>
      <c r="G673" s="115">
        <v>3920</v>
      </c>
      <c r="H673" s="115">
        <v>890</v>
      </c>
      <c r="I673" s="116"/>
      <c r="J673" s="116"/>
      <c r="K673" s="116">
        <v>26500</v>
      </c>
      <c r="L673" s="116"/>
      <c r="M673" s="116">
        <v>7000</v>
      </c>
      <c r="N673" s="117"/>
      <c r="O673" s="117"/>
    </row>
    <row r="674" spans="1:15">
      <c r="A674" s="111">
        <v>45937</v>
      </c>
      <c r="B674" s="112" t="s">
        <v>17</v>
      </c>
      <c r="C674" s="112" t="s">
        <v>18</v>
      </c>
      <c r="D674" s="113" t="s">
        <v>288</v>
      </c>
      <c r="E674" s="118">
        <v>6</v>
      </c>
      <c r="F674" s="115">
        <v>4320</v>
      </c>
      <c r="G674" s="115">
        <v>3820</v>
      </c>
      <c r="H674" s="115">
        <v>500</v>
      </c>
      <c r="I674" s="116"/>
      <c r="J674" s="116"/>
      <c r="K674" s="116">
        <v>16000</v>
      </c>
      <c r="L674" s="116"/>
      <c r="M674" s="116">
        <v>7000</v>
      </c>
      <c r="N674" s="117"/>
      <c r="O674" s="117"/>
    </row>
    <row r="675" spans="1:15">
      <c r="A675" s="111">
        <v>45938</v>
      </c>
      <c r="B675" s="112" t="s">
        <v>17</v>
      </c>
      <c r="C675" s="112" t="s">
        <v>18</v>
      </c>
      <c r="D675" s="113" t="s">
        <v>197</v>
      </c>
      <c r="E675" s="118">
        <v>6</v>
      </c>
      <c r="F675" s="115">
        <v>5240</v>
      </c>
      <c r="G675" s="115">
        <v>3910</v>
      </c>
      <c r="H675" s="115">
        <v>1330</v>
      </c>
      <c r="I675" s="116"/>
      <c r="J675" s="116"/>
      <c r="K675" s="116">
        <v>42500</v>
      </c>
      <c r="L675" s="116"/>
      <c r="M675" s="116">
        <v>4000</v>
      </c>
      <c r="N675" s="117"/>
      <c r="O675" s="117"/>
    </row>
    <row r="676" spans="1:15">
      <c r="A676" s="111">
        <v>45938</v>
      </c>
      <c r="B676" s="112" t="s">
        <v>17</v>
      </c>
      <c r="C676" s="112" t="s">
        <v>18</v>
      </c>
      <c r="D676" s="113" t="s">
        <v>68</v>
      </c>
      <c r="E676" s="118">
        <v>6</v>
      </c>
      <c r="F676" s="115">
        <v>4850</v>
      </c>
      <c r="G676" s="115">
        <v>3900</v>
      </c>
      <c r="H676" s="115">
        <v>950</v>
      </c>
      <c r="I676" s="116"/>
      <c r="J676" s="116"/>
      <c r="K676" s="116">
        <v>42500</v>
      </c>
      <c r="L676" s="116"/>
      <c r="M676" s="116">
        <v>7000</v>
      </c>
      <c r="N676" s="117"/>
      <c r="O676" s="117"/>
    </row>
    <row r="677" spans="1:15">
      <c r="A677" s="111">
        <v>45939</v>
      </c>
      <c r="B677" s="112" t="s">
        <v>17</v>
      </c>
      <c r="C677" s="112" t="s">
        <v>18</v>
      </c>
      <c r="D677" s="113" t="s">
        <v>45</v>
      </c>
      <c r="E677" s="118">
        <v>6</v>
      </c>
      <c r="F677" s="115">
        <v>4800</v>
      </c>
      <c r="G677" s="115">
        <v>3900</v>
      </c>
      <c r="H677" s="115">
        <v>900</v>
      </c>
      <c r="I677" s="116"/>
      <c r="J677" s="116"/>
      <c r="K677" s="116">
        <v>42500</v>
      </c>
      <c r="L677" s="116"/>
      <c r="M677" s="116">
        <v>7000</v>
      </c>
      <c r="N677" s="117"/>
      <c r="O677" s="117"/>
    </row>
    <row r="678" spans="1:15">
      <c r="A678" s="111">
        <v>45939</v>
      </c>
      <c r="B678" s="112" t="s">
        <v>17</v>
      </c>
      <c r="C678" s="112" t="s">
        <v>18</v>
      </c>
      <c r="D678" s="113" t="s">
        <v>68</v>
      </c>
      <c r="E678" s="118">
        <v>6</v>
      </c>
      <c r="F678" s="115">
        <v>4620</v>
      </c>
      <c r="G678" s="115">
        <v>3810</v>
      </c>
      <c r="H678" s="115">
        <v>810</v>
      </c>
      <c r="I678" s="116"/>
      <c r="J678" s="116"/>
      <c r="K678" s="116">
        <v>42500</v>
      </c>
      <c r="L678" s="116"/>
      <c r="M678" s="116">
        <v>7000</v>
      </c>
      <c r="N678" s="117"/>
      <c r="O678" s="117"/>
    </row>
    <row r="679" spans="1:15">
      <c r="A679" s="111">
        <v>45940</v>
      </c>
      <c r="B679" s="112" t="s">
        <v>17</v>
      </c>
      <c r="C679" s="112" t="s">
        <v>18</v>
      </c>
      <c r="D679" s="113" t="s">
        <v>45</v>
      </c>
      <c r="E679" s="118">
        <v>6</v>
      </c>
      <c r="F679" s="115">
        <v>5150</v>
      </c>
      <c r="G679" s="115">
        <v>3790</v>
      </c>
      <c r="H679" s="115">
        <v>1360</v>
      </c>
      <c r="I679" s="116"/>
      <c r="J679" s="116"/>
      <c r="K679" s="116">
        <v>42500</v>
      </c>
      <c r="L679" s="116"/>
      <c r="M679" s="116">
        <v>7000</v>
      </c>
      <c r="N679" s="117"/>
      <c r="O679" s="117"/>
    </row>
    <row r="680" spans="1:15">
      <c r="A680" s="111">
        <v>45940</v>
      </c>
      <c r="B680" s="112" t="s">
        <v>17</v>
      </c>
      <c r="C680" s="112" t="s">
        <v>18</v>
      </c>
      <c r="D680" s="113" t="s">
        <v>68</v>
      </c>
      <c r="E680" s="118">
        <v>6</v>
      </c>
      <c r="F680" s="115">
        <v>5170</v>
      </c>
      <c r="G680" s="115">
        <v>3800</v>
      </c>
      <c r="H680" s="115">
        <v>1370</v>
      </c>
      <c r="I680" s="116"/>
      <c r="J680" s="116"/>
      <c r="K680" s="116">
        <v>42500</v>
      </c>
      <c r="L680" s="116"/>
      <c r="M680" s="116">
        <v>7000</v>
      </c>
      <c r="N680" s="117"/>
      <c r="O680" s="117"/>
    </row>
    <row r="681" spans="1:15">
      <c r="A681" s="111">
        <v>45941</v>
      </c>
      <c r="B681" s="112" t="s">
        <v>17</v>
      </c>
      <c r="C681" s="112" t="s">
        <v>18</v>
      </c>
      <c r="D681" s="113" t="s">
        <v>45</v>
      </c>
      <c r="E681" s="118">
        <v>6</v>
      </c>
      <c r="F681" s="115">
        <v>5120</v>
      </c>
      <c r="G681" s="115">
        <v>3860</v>
      </c>
      <c r="H681" s="115">
        <v>1260</v>
      </c>
      <c r="I681" s="116"/>
      <c r="J681" s="116"/>
      <c r="K681" s="116">
        <v>42500</v>
      </c>
      <c r="L681" s="116"/>
      <c r="M681" s="116">
        <v>7000</v>
      </c>
      <c r="N681" s="117"/>
      <c r="O681" s="117"/>
    </row>
    <row r="682" spans="1:15">
      <c r="A682" s="111">
        <v>45941</v>
      </c>
      <c r="B682" s="112" t="s">
        <v>17</v>
      </c>
      <c r="C682" s="112" t="s">
        <v>18</v>
      </c>
      <c r="D682" s="113" t="s">
        <v>68</v>
      </c>
      <c r="E682" s="118">
        <v>6</v>
      </c>
      <c r="F682" s="115">
        <v>4960</v>
      </c>
      <c r="G682" s="115">
        <v>3910</v>
      </c>
      <c r="H682" s="115">
        <v>1050</v>
      </c>
      <c r="I682" s="116"/>
      <c r="J682" s="116"/>
      <c r="K682" s="116">
        <v>26500</v>
      </c>
      <c r="L682" s="116"/>
      <c r="M682" s="116">
        <v>7000</v>
      </c>
      <c r="N682" s="117"/>
      <c r="O682" s="117"/>
    </row>
    <row r="683" spans="1:15">
      <c r="A683" s="111">
        <v>45942</v>
      </c>
      <c r="B683" s="112" t="s">
        <v>17</v>
      </c>
      <c r="C683" s="112" t="s">
        <v>18</v>
      </c>
      <c r="D683" s="113" t="s">
        <v>284</v>
      </c>
      <c r="E683" s="118"/>
      <c r="F683" s="115">
        <v>0</v>
      </c>
      <c r="G683" s="115">
        <v>0</v>
      </c>
      <c r="H683" s="115">
        <v>0</v>
      </c>
      <c r="I683" s="116"/>
      <c r="J683" s="116"/>
      <c r="K683" s="116">
        <v>0</v>
      </c>
      <c r="L683" s="116"/>
      <c r="M683" s="116"/>
      <c r="N683" s="117"/>
      <c r="O683" s="117"/>
    </row>
    <row r="684" spans="1:15">
      <c r="A684" s="111">
        <v>45942</v>
      </c>
      <c r="B684" s="112" t="s">
        <v>17</v>
      </c>
      <c r="C684" s="112" t="s">
        <v>18</v>
      </c>
      <c r="D684" s="113" t="s">
        <v>288</v>
      </c>
      <c r="E684" s="118">
        <v>6</v>
      </c>
      <c r="F684" s="115">
        <v>4180</v>
      </c>
      <c r="G684" s="115">
        <v>3860</v>
      </c>
      <c r="H684" s="115">
        <v>320</v>
      </c>
      <c r="I684" s="116"/>
      <c r="J684" s="116"/>
      <c r="K684" s="116">
        <v>16000</v>
      </c>
      <c r="L684" s="116"/>
      <c r="M684" s="116">
        <v>14000</v>
      </c>
      <c r="N684" s="117"/>
      <c r="O684" s="117"/>
    </row>
    <row r="685" spans="1:15">
      <c r="A685" s="38"/>
      <c r="B685" s="22"/>
      <c r="C685" s="22"/>
      <c r="D685" s="23"/>
      <c r="E685" s="43"/>
      <c r="F685" s="42"/>
      <c r="G685" s="42"/>
      <c r="H685" s="42"/>
      <c r="I685" s="17"/>
      <c r="J685" s="17"/>
      <c r="K685" s="17"/>
      <c r="L685" s="17"/>
      <c r="M685" s="17"/>
      <c r="N685" s="16"/>
      <c r="O685" s="16"/>
    </row>
    <row r="686" spans="1:15">
      <c r="A686" s="126">
        <v>45951</v>
      </c>
      <c r="B686" s="127"/>
      <c r="C686" s="127"/>
      <c r="D686" s="128"/>
      <c r="E686" s="129"/>
      <c r="F686" s="130"/>
      <c r="G686" s="130"/>
      <c r="H686" s="130"/>
      <c r="I686" s="131">
        <v>1000000</v>
      </c>
      <c r="J686" s="131">
        <v>0</v>
      </c>
      <c r="K686" s="131">
        <v>572000</v>
      </c>
      <c r="L686" s="131">
        <v>115000</v>
      </c>
      <c r="M686" s="131">
        <v>99000</v>
      </c>
      <c r="N686" s="132" t="s">
        <v>300</v>
      </c>
      <c r="O686" s="132" t="s">
        <v>301</v>
      </c>
    </row>
    <row r="687" spans="1:15">
      <c r="A687" s="111">
        <v>45943</v>
      </c>
      <c r="B687" s="112" t="s">
        <v>17</v>
      </c>
      <c r="C687" s="112" t="s">
        <v>18</v>
      </c>
      <c r="D687" s="113" t="s">
        <v>283</v>
      </c>
      <c r="E687" s="118">
        <v>6</v>
      </c>
      <c r="F687" s="115">
        <v>4400</v>
      </c>
      <c r="G687" s="115">
        <v>3950</v>
      </c>
      <c r="H687" s="115">
        <v>450</v>
      </c>
      <c r="I687" s="116"/>
      <c r="J687" s="116"/>
      <c r="K687" s="116">
        <v>42500</v>
      </c>
      <c r="L687" s="116"/>
      <c r="M687" s="116">
        <v>7000</v>
      </c>
      <c r="N687" s="117"/>
      <c r="O687" s="117"/>
    </row>
    <row r="688" spans="1:15">
      <c r="A688" s="111">
        <v>45943</v>
      </c>
      <c r="B688" s="112" t="s">
        <v>17</v>
      </c>
      <c r="C688" s="112" t="s">
        <v>18</v>
      </c>
      <c r="D688" s="113" t="s">
        <v>68</v>
      </c>
      <c r="E688" s="118">
        <v>6</v>
      </c>
      <c r="F688" s="115">
        <v>4940</v>
      </c>
      <c r="G688" s="115">
        <v>3840</v>
      </c>
      <c r="H688" s="115">
        <v>1100</v>
      </c>
      <c r="I688" s="116"/>
      <c r="J688" s="116"/>
      <c r="K688" s="116">
        <v>42500</v>
      </c>
      <c r="L688" s="116"/>
      <c r="M688" s="116">
        <v>7000</v>
      </c>
      <c r="N688" s="117"/>
      <c r="O688" s="117"/>
    </row>
    <row r="689" spans="1:15">
      <c r="A689" s="111">
        <v>45944</v>
      </c>
      <c r="B689" s="112" t="s">
        <v>17</v>
      </c>
      <c r="C689" s="112" t="s">
        <v>18</v>
      </c>
      <c r="D689" s="113" t="s">
        <v>197</v>
      </c>
      <c r="E689" s="118">
        <v>6</v>
      </c>
      <c r="F689" s="115">
        <v>4980</v>
      </c>
      <c r="G689" s="115">
        <v>3940</v>
      </c>
      <c r="H689" s="115">
        <v>1040</v>
      </c>
      <c r="I689" s="116"/>
      <c r="J689" s="116"/>
      <c r="K689" s="116">
        <v>42500</v>
      </c>
      <c r="L689" s="116"/>
      <c r="M689" s="116">
        <v>7000</v>
      </c>
      <c r="N689" s="117"/>
      <c r="O689" s="117"/>
    </row>
    <row r="690" spans="1:15">
      <c r="A690" s="111">
        <v>45944</v>
      </c>
      <c r="B690" s="112" t="s">
        <v>17</v>
      </c>
      <c r="C690" s="112" t="s">
        <v>18</v>
      </c>
      <c r="D690" s="113" t="s">
        <v>68</v>
      </c>
      <c r="E690" s="118">
        <v>6</v>
      </c>
      <c r="F690" s="115">
        <v>5300</v>
      </c>
      <c r="G690" s="115">
        <v>3800</v>
      </c>
      <c r="H690" s="115">
        <v>1500</v>
      </c>
      <c r="I690" s="116"/>
      <c r="J690" s="116"/>
      <c r="K690" s="116">
        <v>35500</v>
      </c>
      <c r="L690" s="116"/>
      <c r="M690" s="116">
        <v>7000</v>
      </c>
      <c r="N690" s="117"/>
      <c r="O690" s="117"/>
    </row>
    <row r="691" spans="1:15">
      <c r="A691" s="111">
        <v>45945</v>
      </c>
      <c r="B691" s="112" t="s">
        <v>17</v>
      </c>
      <c r="C691" s="112" t="s">
        <v>18</v>
      </c>
      <c r="D691" s="113" t="s">
        <v>68</v>
      </c>
      <c r="E691" s="118">
        <v>6</v>
      </c>
      <c r="F691" s="115">
        <v>4810</v>
      </c>
      <c r="G691" s="115">
        <v>3840</v>
      </c>
      <c r="H691" s="115">
        <v>970</v>
      </c>
      <c r="I691" s="116"/>
      <c r="J691" s="116"/>
      <c r="K691" s="116">
        <v>26500</v>
      </c>
      <c r="L691" s="116">
        <v>115000</v>
      </c>
      <c r="M691" s="116">
        <v>7000</v>
      </c>
      <c r="N691" s="117"/>
      <c r="O691" s="117"/>
    </row>
    <row r="692" spans="1:15">
      <c r="A692" s="111">
        <v>45945</v>
      </c>
      <c r="B692" s="112" t="s">
        <v>17</v>
      </c>
      <c r="C692" s="112" t="s">
        <v>18</v>
      </c>
      <c r="D692" s="113" t="s">
        <v>45</v>
      </c>
      <c r="E692" s="118">
        <v>6</v>
      </c>
      <c r="F692" s="115">
        <v>4940</v>
      </c>
      <c r="G692" s="115">
        <v>3800</v>
      </c>
      <c r="H692" s="115">
        <v>1140</v>
      </c>
      <c r="I692" s="116"/>
      <c r="J692" s="116"/>
      <c r="K692" s="116">
        <v>42500</v>
      </c>
      <c r="L692" s="116"/>
      <c r="M692" s="116">
        <v>7000</v>
      </c>
      <c r="N692" s="117"/>
      <c r="O692" s="117"/>
    </row>
    <row r="693" spans="1:15">
      <c r="A693" s="111">
        <v>45947</v>
      </c>
      <c r="B693" s="112" t="s">
        <v>17</v>
      </c>
      <c r="C693" s="112" t="s">
        <v>18</v>
      </c>
      <c r="D693" s="113" t="s">
        <v>45</v>
      </c>
      <c r="E693" s="118">
        <v>6</v>
      </c>
      <c r="F693" s="115">
        <v>4380</v>
      </c>
      <c r="G693" s="115">
        <v>3830</v>
      </c>
      <c r="H693" s="115">
        <v>550</v>
      </c>
      <c r="I693" s="116"/>
      <c r="J693" s="116"/>
      <c r="K693" s="116">
        <v>42500</v>
      </c>
      <c r="L693" s="116"/>
      <c r="M693" s="116">
        <v>7000</v>
      </c>
      <c r="N693" s="117"/>
      <c r="O693" s="117"/>
    </row>
    <row r="694" spans="1:15">
      <c r="A694" s="111">
        <v>45947</v>
      </c>
      <c r="B694" s="112" t="s">
        <v>17</v>
      </c>
      <c r="C694" s="112" t="s">
        <v>18</v>
      </c>
      <c r="D694" s="113" t="s">
        <v>68</v>
      </c>
      <c r="E694" s="118">
        <v>6</v>
      </c>
      <c r="F694" s="115">
        <v>5870</v>
      </c>
      <c r="G694" s="115">
        <v>3830</v>
      </c>
      <c r="H694" s="115">
        <v>2040</v>
      </c>
      <c r="I694" s="116"/>
      <c r="J694" s="116"/>
      <c r="K694" s="116">
        <v>42500</v>
      </c>
      <c r="L694" s="116"/>
      <c r="M694" s="116">
        <v>7000</v>
      </c>
      <c r="N694" s="117"/>
      <c r="O694" s="117"/>
    </row>
    <row r="695" spans="1:15">
      <c r="A695" s="111">
        <v>45948</v>
      </c>
      <c r="B695" s="112" t="s">
        <v>17</v>
      </c>
      <c r="C695" s="112" t="s">
        <v>18</v>
      </c>
      <c r="D695" s="113" t="s">
        <v>68</v>
      </c>
      <c r="E695" s="118">
        <v>6</v>
      </c>
      <c r="F695" s="115">
        <v>4760</v>
      </c>
      <c r="G695" s="115">
        <v>3880</v>
      </c>
      <c r="H695" s="115">
        <v>880</v>
      </c>
      <c r="I695" s="116"/>
      <c r="J695" s="116"/>
      <c r="K695" s="116">
        <v>42500</v>
      </c>
      <c r="L695" s="116"/>
      <c r="M695" s="116">
        <v>7000</v>
      </c>
      <c r="N695" s="117"/>
      <c r="O695" s="117"/>
    </row>
    <row r="696" spans="1:15">
      <c r="A696" s="111">
        <v>45948</v>
      </c>
      <c r="B696" s="112" t="s">
        <v>17</v>
      </c>
      <c r="C696" s="112" t="s">
        <v>18</v>
      </c>
      <c r="D696" s="113" t="s">
        <v>197</v>
      </c>
      <c r="E696" s="118">
        <v>6</v>
      </c>
      <c r="F696" s="115">
        <v>5280</v>
      </c>
      <c r="G696" s="115">
        <v>3800</v>
      </c>
      <c r="H696" s="115">
        <v>1480</v>
      </c>
      <c r="I696" s="116"/>
      <c r="J696" s="116"/>
      <c r="K696" s="116">
        <v>42500</v>
      </c>
      <c r="L696" s="116"/>
      <c r="M696" s="116">
        <v>7000</v>
      </c>
      <c r="N696" s="117"/>
      <c r="O696" s="117"/>
    </row>
    <row r="697" spans="1:15">
      <c r="A697" s="111">
        <v>45949</v>
      </c>
      <c r="B697" s="112" t="s">
        <v>17</v>
      </c>
      <c r="C697" s="112" t="s">
        <v>18</v>
      </c>
      <c r="D697" s="113" t="s">
        <v>288</v>
      </c>
      <c r="E697" s="118">
        <v>6</v>
      </c>
      <c r="F697" s="115">
        <v>4740</v>
      </c>
      <c r="G697" s="115">
        <v>3850</v>
      </c>
      <c r="H697" s="115">
        <v>890</v>
      </c>
      <c r="I697" s="116"/>
      <c r="J697" s="116"/>
      <c r="K697" s="116"/>
      <c r="L697" s="116"/>
      <c r="M697" s="116">
        <v>7000</v>
      </c>
      <c r="N697" s="117"/>
      <c r="O697" s="117"/>
    </row>
    <row r="698" spans="1:15">
      <c r="A698" s="111">
        <v>45950</v>
      </c>
      <c r="B698" s="112" t="s">
        <v>17</v>
      </c>
      <c r="C698" s="112" t="s">
        <v>18</v>
      </c>
      <c r="D698" s="113" t="s">
        <v>45</v>
      </c>
      <c r="E698" s="118">
        <v>6</v>
      </c>
      <c r="F698" s="115">
        <v>4750</v>
      </c>
      <c r="G698" s="115">
        <v>3820</v>
      </c>
      <c r="H698" s="115">
        <v>930</v>
      </c>
      <c r="I698" s="116"/>
      <c r="J698" s="116"/>
      <c r="K698" s="116">
        <v>42500</v>
      </c>
      <c r="L698" s="116"/>
      <c r="M698" s="116">
        <v>4000</v>
      </c>
      <c r="N698" s="117"/>
      <c r="O698" s="117"/>
    </row>
    <row r="699" spans="1:15">
      <c r="A699" s="111">
        <v>45950</v>
      </c>
      <c r="B699" s="112" t="s">
        <v>17</v>
      </c>
      <c r="C699" s="112" t="s">
        <v>18</v>
      </c>
      <c r="D699" s="113" t="s">
        <v>68</v>
      </c>
      <c r="E699" s="118">
        <v>6</v>
      </c>
      <c r="F699" s="115">
        <v>4960</v>
      </c>
      <c r="G699" s="115">
        <v>3910</v>
      </c>
      <c r="H699" s="115">
        <v>1050</v>
      </c>
      <c r="I699" s="116"/>
      <c r="J699" s="116"/>
      <c r="K699" s="116">
        <v>42500</v>
      </c>
      <c r="L699" s="116"/>
      <c r="M699" s="116">
        <v>4000</v>
      </c>
      <c r="N699" s="117"/>
      <c r="O699" s="117"/>
    </row>
    <row r="700" spans="1:15">
      <c r="A700" s="111">
        <v>45951</v>
      </c>
      <c r="B700" s="112" t="s">
        <v>17</v>
      </c>
      <c r="C700" s="112" t="s">
        <v>18</v>
      </c>
      <c r="D700" s="113" t="s">
        <v>283</v>
      </c>
      <c r="E700" s="118">
        <v>6</v>
      </c>
      <c r="F700" s="115">
        <v>4500</v>
      </c>
      <c r="G700" s="115">
        <v>3890</v>
      </c>
      <c r="H700" s="115">
        <v>610</v>
      </c>
      <c r="I700" s="116"/>
      <c r="J700" s="116"/>
      <c r="K700" s="116">
        <v>42500</v>
      </c>
      <c r="L700" s="116"/>
      <c r="M700" s="116">
        <v>7000</v>
      </c>
      <c r="N700" s="117"/>
      <c r="O700" s="117"/>
    </row>
    <row r="701" spans="1:15">
      <c r="A701" s="111">
        <v>45951</v>
      </c>
      <c r="B701" s="112" t="s">
        <v>17</v>
      </c>
      <c r="C701" s="112" t="s">
        <v>18</v>
      </c>
      <c r="D701" s="113" t="s">
        <v>68</v>
      </c>
      <c r="E701" s="118">
        <v>6</v>
      </c>
      <c r="F701" s="115">
        <v>4800</v>
      </c>
      <c r="G701" s="115">
        <v>3800</v>
      </c>
      <c r="H701" s="115">
        <v>1000</v>
      </c>
      <c r="I701" s="116"/>
      <c r="J701" s="116"/>
      <c r="K701" s="116">
        <v>42500</v>
      </c>
      <c r="L701" s="116"/>
      <c r="M701" s="116">
        <v>7000</v>
      </c>
      <c r="N701" s="117"/>
      <c r="O701" s="117"/>
    </row>
    <row r="702" spans="1:15">
      <c r="A702" s="38"/>
      <c r="B702" s="22"/>
      <c r="C702" s="22"/>
      <c r="D702" s="23"/>
      <c r="E702" s="43"/>
      <c r="F702" s="42"/>
      <c r="G702" s="42"/>
      <c r="H702" s="42"/>
      <c r="I702" s="17"/>
      <c r="J702" s="17"/>
      <c r="K702" s="17"/>
      <c r="L702" s="17"/>
      <c r="M702" s="17"/>
      <c r="N702" s="16"/>
      <c r="O702" s="16"/>
    </row>
    <row r="703" spans="1:15">
      <c r="A703" s="38"/>
      <c r="B703" s="22"/>
      <c r="C703" s="22"/>
      <c r="D703" s="23"/>
      <c r="E703" s="43"/>
      <c r="F703" s="42"/>
      <c r="G703" s="42"/>
      <c r="H703" s="42"/>
      <c r="I703" s="17"/>
      <c r="J703" s="17"/>
      <c r="K703" s="17"/>
      <c r="L703" s="17"/>
      <c r="M703" s="17"/>
      <c r="N703" s="16"/>
      <c r="O703" s="16"/>
    </row>
    <row r="704" spans="1:15">
      <c r="A704" s="126">
        <v>45952</v>
      </c>
      <c r="B704" s="127"/>
      <c r="C704" s="127"/>
      <c r="D704" s="128"/>
      <c r="E704" s="129"/>
      <c r="F704" s="130"/>
      <c r="G704" s="130"/>
      <c r="H704" s="130"/>
      <c r="I704" s="131">
        <v>1000000</v>
      </c>
      <c r="J704" s="131">
        <v>0</v>
      </c>
      <c r="K704" s="131">
        <v>825000</v>
      </c>
      <c r="L704" s="131">
        <v>0</v>
      </c>
      <c r="M704" s="131">
        <v>152000</v>
      </c>
      <c r="N704" s="132" t="s">
        <v>302</v>
      </c>
      <c r="O704" s="132" t="s">
        <v>303</v>
      </c>
    </row>
    <row r="705" spans="1:15">
      <c r="A705" s="111">
        <v>45952</v>
      </c>
      <c r="B705" s="112" t="s">
        <v>17</v>
      </c>
      <c r="C705" s="112" t="s">
        <v>18</v>
      </c>
      <c r="D705" s="113" t="s">
        <v>304</v>
      </c>
      <c r="E705" s="118">
        <v>6</v>
      </c>
      <c r="F705" s="115">
        <v>4910</v>
      </c>
      <c r="G705" s="115">
        <v>3880</v>
      </c>
      <c r="H705" s="115">
        <v>1030</v>
      </c>
      <c r="I705" s="116"/>
      <c r="J705" s="116"/>
      <c r="K705" s="116">
        <v>42500</v>
      </c>
      <c r="L705" s="116"/>
      <c r="M705" s="116">
        <v>7000</v>
      </c>
      <c r="N705" s="117"/>
      <c r="O705" s="117"/>
    </row>
    <row r="706" spans="1:15">
      <c r="A706" s="111">
        <v>45952</v>
      </c>
      <c r="B706" s="112" t="s">
        <v>17</v>
      </c>
      <c r="C706" s="112" t="s">
        <v>18</v>
      </c>
      <c r="D706" s="113" t="s">
        <v>68</v>
      </c>
      <c r="E706" s="118">
        <v>6</v>
      </c>
      <c r="F706" s="115">
        <v>4800</v>
      </c>
      <c r="G706" s="115">
        <v>3800</v>
      </c>
      <c r="H706" s="115">
        <v>1000</v>
      </c>
      <c r="I706" s="116"/>
      <c r="J706" s="116"/>
      <c r="K706" s="116">
        <v>42500</v>
      </c>
      <c r="L706" s="116"/>
      <c r="M706" s="116">
        <v>7000</v>
      </c>
      <c r="N706" s="117"/>
      <c r="O706" s="117"/>
    </row>
    <row r="707" spans="1:15">
      <c r="A707" s="111">
        <v>45953</v>
      </c>
      <c r="B707" s="112" t="s">
        <v>17</v>
      </c>
      <c r="C707" s="112" t="s">
        <v>18</v>
      </c>
      <c r="D707" s="113" t="s">
        <v>305</v>
      </c>
      <c r="E707" s="118">
        <v>6</v>
      </c>
      <c r="F707" s="115">
        <v>4690</v>
      </c>
      <c r="G707" s="115">
        <v>3910</v>
      </c>
      <c r="H707" s="115">
        <v>780</v>
      </c>
      <c r="I707" s="116"/>
      <c r="J707" s="116"/>
      <c r="K707" s="116">
        <v>16000</v>
      </c>
      <c r="L707" s="116"/>
      <c r="M707" s="116">
        <v>4000</v>
      </c>
      <c r="N707" s="117"/>
      <c r="O707" s="117"/>
    </row>
    <row r="708" spans="1:15">
      <c r="A708" s="111">
        <v>45953</v>
      </c>
      <c r="B708" s="112" t="s">
        <v>17</v>
      </c>
      <c r="C708" s="112" t="s">
        <v>18</v>
      </c>
      <c r="D708" s="113" t="s">
        <v>68</v>
      </c>
      <c r="E708" s="118">
        <v>6</v>
      </c>
      <c r="F708" s="115">
        <v>4930</v>
      </c>
      <c r="G708" s="115">
        <v>3870</v>
      </c>
      <c r="H708" s="115">
        <v>1060</v>
      </c>
      <c r="I708" s="116"/>
      <c r="J708" s="116"/>
      <c r="K708" s="116">
        <v>53000</v>
      </c>
      <c r="L708" s="116"/>
      <c r="M708" s="116">
        <v>7000</v>
      </c>
      <c r="N708" s="117"/>
      <c r="O708" s="117"/>
    </row>
    <row r="709" spans="1:15">
      <c r="A709" s="111">
        <v>45954</v>
      </c>
      <c r="B709" s="112" t="s">
        <v>17</v>
      </c>
      <c r="C709" s="112" t="s">
        <v>18</v>
      </c>
      <c r="D709" s="113" t="s">
        <v>304</v>
      </c>
      <c r="E709" s="118">
        <v>6</v>
      </c>
      <c r="F709" s="115">
        <v>5100</v>
      </c>
      <c r="G709" s="115">
        <v>3810</v>
      </c>
      <c r="H709" s="115">
        <v>1290</v>
      </c>
      <c r="I709" s="116"/>
      <c r="J709" s="116"/>
      <c r="K709" s="116">
        <v>42500</v>
      </c>
      <c r="L709" s="116"/>
      <c r="M709" s="116">
        <v>7000</v>
      </c>
      <c r="N709" s="117"/>
      <c r="O709" s="117"/>
    </row>
    <row r="710" spans="1:15">
      <c r="A710" s="111">
        <v>45954</v>
      </c>
      <c r="B710" s="112" t="s">
        <v>17</v>
      </c>
      <c r="C710" s="112" t="s">
        <v>18</v>
      </c>
      <c r="D710" s="113" t="s">
        <v>68</v>
      </c>
      <c r="E710" s="118">
        <v>6</v>
      </c>
      <c r="F710" s="115">
        <v>4900</v>
      </c>
      <c r="G710" s="115">
        <v>3870</v>
      </c>
      <c r="H710" s="115">
        <v>1030</v>
      </c>
      <c r="I710" s="116"/>
      <c r="J710" s="116"/>
      <c r="K710" s="116">
        <v>42500</v>
      </c>
      <c r="L710" s="116"/>
      <c r="M710" s="116">
        <v>7000</v>
      </c>
      <c r="N710" s="117"/>
      <c r="O710" s="117"/>
    </row>
    <row r="711" spans="1:15">
      <c r="A711" s="111">
        <v>45955</v>
      </c>
      <c r="B711" s="112" t="s">
        <v>17</v>
      </c>
      <c r="C711" s="112" t="s">
        <v>18</v>
      </c>
      <c r="D711" s="113" t="s">
        <v>306</v>
      </c>
      <c r="E711" s="118">
        <v>6</v>
      </c>
      <c r="F711" s="115">
        <v>4730</v>
      </c>
      <c r="G711" s="115">
        <v>3880</v>
      </c>
      <c r="H711" s="115">
        <v>850</v>
      </c>
      <c r="I711" s="116"/>
      <c r="J711" s="116"/>
      <c r="K711" s="116">
        <v>42500</v>
      </c>
      <c r="L711" s="116"/>
      <c r="M711" s="116">
        <v>7000</v>
      </c>
      <c r="N711" s="117"/>
      <c r="O711" s="117"/>
    </row>
    <row r="712" spans="1:15">
      <c r="A712" s="111">
        <v>45955</v>
      </c>
      <c r="B712" s="112" t="s">
        <v>17</v>
      </c>
      <c r="C712" s="112" t="s">
        <v>18</v>
      </c>
      <c r="D712" s="113" t="s">
        <v>68</v>
      </c>
      <c r="E712" s="118">
        <v>6</v>
      </c>
      <c r="F712" s="115">
        <v>4270</v>
      </c>
      <c r="G712" s="115">
        <v>3870</v>
      </c>
      <c r="H712" s="115">
        <v>400</v>
      </c>
      <c r="I712" s="116"/>
      <c r="J712" s="116"/>
      <c r="K712" s="116">
        <v>42500</v>
      </c>
      <c r="L712" s="116"/>
      <c r="M712" s="116">
        <v>7000</v>
      </c>
      <c r="N712" s="117"/>
      <c r="O712" s="117"/>
    </row>
    <row r="713" spans="1:15">
      <c r="A713" s="111">
        <v>45956</v>
      </c>
      <c r="B713" s="112" t="s">
        <v>17</v>
      </c>
      <c r="C713" s="112" t="s">
        <v>18</v>
      </c>
      <c r="D713" s="113" t="s">
        <v>284</v>
      </c>
      <c r="E713" s="118">
        <v>6</v>
      </c>
      <c r="F713" s="115">
        <v>4420</v>
      </c>
      <c r="G713" s="115">
        <v>3880</v>
      </c>
      <c r="H713" s="115">
        <v>540</v>
      </c>
      <c r="I713" s="116"/>
      <c r="J713" s="116"/>
      <c r="K713" s="116">
        <v>0</v>
      </c>
      <c r="L713" s="116"/>
      <c r="M713" s="116">
        <v>7000</v>
      </c>
      <c r="N713" s="117"/>
      <c r="O713" s="117"/>
    </row>
    <row r="714" spans="1:15">
      <c r="A714" s="111">
        <v>45956</v>
      </c>
      <c r="B714" s="112" t="s">
        <v>17</v>
      </c>
      <c r="C714" s="112" t="s">
        <v>18</v>
      </c>
      <c r="D714" s="113" t="s">
        <v>280</v>
      </c>
      <c r="E714" s="118">
        <v>6</v>
      </c>
      <c r="F714" s="115">
        <v>4220</v>
      </c>
      <c r="G714" s="115">
        <v>3780</v>
      </c>
      <c r="H714" s="115">
        <v>440</v>
      </c>
      <c r="I714" s="116"/>
      <c r="J714" s="116"/>
      <c r="K714" s="116">
        <v>16000</v>
      </c>
      <c r="L714" s="116"/>
      <c r="M714" s="116">
        <v>7000</v>
      </c>
      <c r="N714" s="117"/>
      <c r="O714" s="117"/>
    </row>
    <row r="715" spans="1:15">
      <c r="A715" s="111">
        <v>45957</v>
      </c>
      <c r="B715" s="112" t="s">
        <v>17</v>
      </c>
      <c r="C715" s="112" t="s">
        <v>18</v>
      </c>
      <c r="D715" s="113" t="s">
        <v>68</v>
      </c>
      <c r="E715" s="118">
        <v>6</v>
      </c>
      <c r="F715" s="115">
        <v>5170</v>
      </c>
      <c r="G715" s="115">
        <v>3860</v>
      </c>
      <c r="H715" s="115">
        <v>1310</v>
      </c>
      <c r="I715" s="116"/>
      <c r="J715" s="116"/>
      <c r="K715" s="116">
        <v>26500</v>
      </c>
      <c r="L715" s="116"/>
      <c r="M715" s="116">
        <v>7000</v>
      </c>
      <c r="N715" s="117"/>
      <c r="O715" s="117"/>
    </row>
    <row r="716" spans="1:15">
      <c r="A716" s="111">
        <v>45957</v>
      </c>
      <c r="B716" s="112" t="s">
        <v>17</v>
      </c>
      <c r="C716" s="112" t="s">
        <v>18</v>
      </c>
      <c r="D716" s="113" t="s">
        <v>68</v>
      </c>
      <c r="E716" s="118">
        <v>6</v>
      </c>
      <c r="F716" s="115">
        <v>4730</v>
      </c>
      <c r="G716" s="115">
        <v>3900</v>
      </c>
      <c r="H716" s="115">
        <v>830</v>
      </c>
      <c r="I716" s="116"/>
      <c r="J716" s="116"/>
      <c r="K716" s="116">
        <v>42500</v>
      </c>
      <c r="L716" s="116"/>
      <c r="M716" s="116">
        <v>7000</v>
      </c>
      <c r="N716" s="117"/>
      <c r="O716" s="117"/>
    </row>
    <row r="717" spans="1:15">
      <c r="A717" s="111">
        <v>45958</v>
      </c>
      <c r="B717" s="112" t="s">
        <v>17</v>
      </c>
      <c r="C717" s="112" t="s">
        <v>18</v>
      </c>
      <c r="D717" s="113" t="s">
        <v>304</v>
      </c>
      <c r="E717" s="118">
        <v>6</v>
      </c>
      <c r="F717" s="115">
        <v>4680</v>
      </c>
      <c r="G717" s="115">
        <v>3990</v>
      </c>
      <c r="H717" s="115">
        <v>690</v>
      </c>
      <c r="I717" s="116"/>
      <c r="J717" s="116"/>
      <c r="K717" s="116">
        <v>42500</v>
      </c>
      <c r="L717" s="116"/>
      <c r="M717" s="116">
        <v>7000</v>
      </c>
      <c r="N717" s="117"/>
      <c r="O717" s="117"/>
    </row>
    <row r="718" spans="1:15">
      <c r="A718" s="111">
        <v>45958</v>
      </c>
      <c r="B718" s="112" t="s">
        <v>17</v>
      </c>
      <c r="C718" s="112" t="s">
        <v>18</v>
      </c>
      <c r="D718" s="113" t="s">
        <v>68</v>
      </c>
      <c r="E718" s="118">
        <v>6</v>
      </c>
      <c r="F718" s="115">
        <v>4870</v>
      </c>
      <c r="G718" s="115">
        <v>3900</v>
      </c>
      <c r="H718" s="115">
        <v>970</v>
      </c>
      <c r="I718" s="116"/>
      <c r="J718" s="116"/>
      <c r="K718" s="116">
        <v>42500</v>
      </c>
      <c r="L718" s="116"/>
      <c r="M718" s="116">
        <v>7000</v>
      </c>
      <c r="N718" s="117"/>
      <c r="O718" s="117"/>
    </row>
    <row r="719" spans="1:15">
      <c r="A719" s="111">
        <v>45959</v>
      </c>
      <c r="B719" s="112" t="s">
        <v>17</v>
      </c>
      <c r="C719" s="112" t="s">
        <v>18</v>
      </c>
      <c r="D719" s="113" t="s">
        <v>305</v>
      </c>
      <c r="E719" s="118">
        <v>6</v>
      </c>
      <c r="F719" s="115">
        <v>5150</v>
      </c>
      <c r="G719" s="115">
        <v>3880</v>
      </c>
      <c r="H719" s="115">
        <v>1270</v>
      </c>
      <c r="I719" s="116"/>
      <c r="J719" s="116"/>
      <c r="K719" s="116">
        <v>33500</v>
      </c>
      <c r="L719" s="116"/>
      <c r="M719" s="116">
        <v>4000</v>
      </c>
      <c r="N719" s="117"/>
      <c r="O719" s="117"/>
    </row>
    <row r="720" spans="1:15">
      <c r="A720" s="111">
        <v>45959</v>
      </c>
      <c r="B720" s="112" t="s">
        <v>17</v>
      </c>
      <c r="C720" s="112" t="s">
        <v>18</v>
      </c>
      <c r="D720" s="113" t="s">
        <v>68</v>
      </c>
      <c r="E720" s="118">
        <v>6</v>
      </c>
      <c r="F720" s="115">
        <v>5030</v>
      </c>
      <c r="G720" s="115">
        <v>3820</v>
      </c>
      <c r="H720" s="115">
        <v>1210</v>
      </c>
      <c r="I720" s="116"/>
      <c r="J720" s="116"/>
      <c r="K720" s="116">
        <v>26500</v>
      </c>
      <c r="L720" s="116"/>
      <c r="M720" s="116">
        <v>7000</v>
      </c>
      <c r="N720" s="117"/>
      <c r="O720" s="117"/>
    </row>
    <row r="721" spans="1:15">
      <c r="A721" s="111">
        <v>45960</v>
      </c>
      <c r="B721" s="112" t="s">
        <v>17</v>
      </c>
      <c r="C721" s="112" t="s">
        <v>18</v>
      </c>
      <c r="D721" s="113" t="s">
        <v>304</v>
      </c>
      <c r="E721" s="118">
        <v>6</v>
      </c>
      <c r="F721" s="115">
        <v>4940</v>
      </c>
      <c r="G721" s="115">
        <v>3850</v>
      </c>
      <c r="H721" s="115">
        <v>1090</v>
      </c>
      <c r="I721" s="116"/>
      <c r="J721" s="116"/>
      <c r="K721" s="116">
        <v>42500</v>
      </c>
      <c r="L721" s="116"/>
      <c r="M721" s="116">
        <v>7000</v>
      </c>
      <c r="N721" s="117"/>
      <c r="O721" s="117"/>
    </row>
    <row r="722" spans="1:15">
      <c r="A722" s="111">
        <v>45960</v>
      </c>
      <c r="B722" s="112" t="s">
        <v>17</v>
      </c>
      <c r="C722" s="112" t="s">
        <v>18</v>
      </c>
      <c r="D722" s="113" t="s">
        <v>68</v>
      </c>
      <c r="E722" s="118">
        <v>6</v>
      </c>
      <c r="F722" s="115">
        <v>5030</v>
      </c>
      <c r="G722" s="115">
        <v>3870</v>
      </c>
      <c r="H722" s="115">
        <v>1160</v>
      </c>
      <c r="I722" s="116"/>
      <c r="J722" s="116"/>
      <c r="K722" s="116">
        <v>42500</v>
      </c>
      <c r="L722" s="116"/>
      <c r="M722" s="116">
        <v>7000</v>
      </c>
      <c r="N722" s="117"/>
      <c r="O722" s="117"/>
    </row>
    <row r="723" spans="1:15">
      <c r="A723" s="111">
        <v>45961</v>
      </c>
      <c r="B723" s="112" t="s">
        <v>17</v>
      </c>
      <c r="C723" s="112" t="s">
        <v>18</v>
      </c>
      <c r="D723" s="113" t="s">
        <v>68</v>
      </c>
      <c r="E723" s="118">
        <v>6</v>
      </c>
      <c r="F723" s="115">
        <v>4950</v>
      </c>
      <c r="G723" s="115">
        <v>3830</v>
      </c>
      <c r="H723" s="115">
        <v>1120</v>
      </c>
      <c r="I723" s="116"/>
      <c r="J723" s="116"/>
      <c r="K723" s="116">
        <v>42500</v>
      </c>
      <c r="L723" s="116"/>
      <c r="M723" s="116">
        <v>7000</v>
      </c>
      <c r="N723" s="117"/>
      <c r="O723" s="117"/>
    </row>
    <row r="724" spans="1:15">
      <c r="A724" s="111">
        <v>45961</v>
      </c>
      <c r="B724" s="112" t="s">
        <v>17</v>
      </c>
      <c r="C724" s="112" t="s">
        <v>18</v>
      </c>
      <c r="D724" s="113" t="s">
        <v>283</v>
      </c>
      <c r="E724" s="118">
        <v>6</v>
      </c>
      <c r="F724" s="115">
        <v>4460</v>
      </c>
      <c r="G724" s="115">
        <v>3910</v>
      </c>
      <c r="H724" s="115">
        <v>550</v>
      </c>
      <c r="I724" s="116"/>
      <c r="J724" s="116"/>
      <c r="K724" s="116">
        <v>42500</v>
      </c>
      <c r="L724" s="116"/>
      <c r="M724" s="116">
        <v>7000</v>
      </c>
      <c r="N724" s="117"/>
      <c r="O724" s="117"/>
    </row>
    <row r="725" spans="1:15">
      <c r="A725" s="111">
        <v>45962</v>
      </c>
      <c r="B725" s="112" t="s">
        <v>17</v>
      </c>
      <c r="C725" s="112" t="s">
        <v>18</v>
      </c>
      <c r="D725" s="113" t="s">
        <v>304</v>
      </c>
      <c r="E725" s="118">
        <v>6</v>
      </c>
      <c r="F725" s="115">
        <v>4820</v>
      </c>
      <c r="G725" s="115">
        <v>3820</v>
      </c>
      <c r="H725" s="115">
        <v>1000</v>
      </c>
      <c r="I725" s="116"/>
      <c r="J725" s="116"/>
      <c r="K725" s="116">
        <v>42500</v>
      </c>
      <c r="L725" s="116"/>
      <c r="M725" s="116">
        <v>4000</v>
      </c>
      <c r="N725" s="117"/>
      <c r="O725" s="117"/>
    </row>
    <row r="726" spans="1:15">
      <c r="A726" s="111">
        <v>45962</v>
      </c>
      <c r="B726" s="112" t="s">
        <v>17</v>
      </c>
      <c r="C726" s="112" t="s">
        <v>18</v>
      </c>
      <c r="D726" s="113" t="s">
        <v>68</v>
      </c>
      <c r="E726" s="118">
        <v>6</v>
      </c>
      <c r="F726" s="115">
        <v>4590</v>
      </c>
      <c r="G726" s="115">
        <v>3810</v>
      </c>
      <c r="H726" s="115">
        <v>780</v>
      </c>
      <c r="I726" s="116"/>
      <c r="J726" s="116"/>
      <c r="K726" s="116">
        <v>42500</v>
      </c>
      <c r="L726" s="116"/>
      <c r="M726" s="116">
        <v>7000</v>
      </c>
      <c r="N726" s="117"/>
      <c r="O726" s="117"/>
    </row>
    <row r="727" spans="1:15">
      <c r="A727" s="111">
        <v>45963</v>
      </c>
      <c r="B727" s="112" t="s">
        <v>17</v>
      </c>
      <c r="C727" s="112" t="s">
        <v>18</v>
      </c>
      <c r="D727" s="113" t="s">
        <v>284</v>
      </c>
      <c r="E727" s="118">
        <v>6</v>
      </c>
      <c r="F727" s="115">
        <v>4940</v>
      </c>
      <c r="G727" s="115">
        <v>3880</v>
      </c>
      <c r="H727" s="115">
        <v>1060</v>
      </c>
      <c r="I727" s="116"/>
      <c r="J727" s="116"/>
      <c r="K727" s="116">
        <v>16000</v>
      </c>
      <c r="L727" s="116"/>
      <c r="M727" s="116">
        <v>7000</v>
      </c>
      <c r="N727" s="117"/>
      <c r="O727" s="117"/>
    </row>
    <row r="728" spans="1:15">
      <c r="A728" s="38">
        <v>45963</v>
      </c>
      <c r="B728" s="22" t="s">
        <v>17</v>
      </c>
      <c r="C728" s="22" t="s">
        <v>18</v>
      </c>
      <c r="D728" s="23" t="s">
        <v>280</v>
      </c>
      <c r="E728" s="43"/>
      <c r="F728" s="42"/>
      <c r="G728" s="42"/>
      <c r="H728" s="42">
        <v>0</v>
      </c>
      <c r="I728" s="17"/>
      <c r="J728" s="17"/>
      <c r="K728" s="17"/>
      <c r="L728" s="17"/>
      <c r="M728" s="17"/>
      <c r="N728" s="16"/>
      <c r="O728" s="16"/>
    </row>
    <row r="729" spans="1:15">
      <c r="A729" s="38"/>
      <c r="B729" s="22"/>
      <c r="C729" s="22"/>
      <c r="D729" s="23"/>
      <c r="E729" s="43"/>
      <c r="F729" s="42"/>
      <c r="G729" s="42"/>
      <c r="H729" s="42"/>
      <c r="I729" s="17"/>
      <c r="J729" s="17"/>
      <c r="K729" s="17"/>
      <c r="L729" s="17"/>
      <c r="M729" s="17"/>
      <c r="N729" s="16"/>
      <c r="O729" s="16"/>
    </row>
    <row r="730" spans="1:15">
      <c r="A730" s="126">
        <v>45965</v>
      </c>
      <c r="B730" s="127"/>
      <c r="C730" s="127"/>
      <c r="D730" s="128"/>
      <c r="E730" s="129"/>
      <c r="F730" s="130"/>
      <c r="G730" s="130"/>
      <c r="H730" s="130"/>
      <c r="I730" s="131">
        <v>1000000</v>
      </c>
      <c r="J730" s="131">
        <v>0</v>
      </c>
      <c r="K730" s="131">
        <v>414000</v>
      </c>
      <c r="L730" s="131">
        <v>0</v>
      </c>
      <c r="M730" s="131">
        <v>81000</v>
      </c>
      <c r="N730" s="132" t="s">
        <v>307</v>
      </c>
      <c r="O730" s="132" t="s">
        <v>308</v>
      </c>
    </row>
    <row r="731" spans="1:15">
      <c r="A731" s="111">
        <v>45965</v>
      </c>
      <c r="B731" s="112" t="s">
        <v>17</v>
      </c>
      <c r="C731" s="112" t="s">
        <v>18</v>
      </c>
      <c r="D731" s="113" t="s">
        <v>197</v>
      </c>
      <c r="E731" s="118">
        <v>6</v>
      </c>
      <c r="F731" s="115">
        <v>4620</v>
      </c>
      <c r="G731" s="115">
        <v>3790</v>
      </c>
      <c r="H731" s="115">
        <v>830</v>
      </c>
      <c r="I731" s="116"/>
      <c r="J731" s="116"/>
      <c r="K731" s="116">
        <v>42500</v>
      </c>
      <c r="L731" s="116"/>
      <c r="M731" s="116">
        <v>7000</v>
      </c>
      <c r="N731" s="117"/>
      <c r="O731" s="117"/>
    </row>
    <row r="732" spans="1:15">
      <c r="A732" s="111">
        <v>45965</v>
      </c>
      <c r="B732" s="112" t="s">
        <v>17</v>
      </c>
      <c r="C732" s="112" t="s">
        <v>18</v>
      </c>
      <c r="D732" s="113" t="s">
        <v>68</v>
      </c>
      <c r="E732" s="118">
        <v>6</v>
      </c>
      <c r="F732" s="115">
        <v>5190</v>
      </c>
      <c r="G732" s="115">
        <v>3790</v>
      </c>
      <c r="H732" s="115">
        <v>1400</v>
      </c>
      <c r="I732" s="116"/>
      <c r="J732" s="116"/>
      <c r="K732" s="116">
        <v>26500</v>
      </c>
      <c r="L732" s="116"/>
      <c r="M732" s="116">
        <v>7000</v>
      </c>
      <c r="N732" s="117"/>
      <c r="O732" s="117"/>
    </row>
    <row r="733" spans="1:15">
      <c r="A733" s="111">
        <v>45966</v>
      </c>
      <c r="B733" s="112" t="s">
        <v>17</v>
      </c>
      <c r="C733" s="112" t="s">
        <v>18</v>
      </c>
      <c r="D733" s="113" t="s">
        <v>304</v>
      </c>
      <c r="E733" s="118">
        <v>6</v>
      </c>
      <c r="F733" s="115">
        <v>4650</v>
      </c>
      <c r="G733" s="115">
        <v>3810</v>
      </c>
      <c r="H733" s="115">
        <v>840</v>
      </c>
      <c r="I733" s="116"/>
      <c r="J733" s="116"/>
      <c r="K733" s="116">
        <v>42500</v>
      </c>
      <c r="L733" s="116"/>
      <c r="M733" s="116">
        <v>7000</v>
      </c>
      <c r="N733" s="117"/>
      <c r="O733" s="117"/>
    </row>
    <row r="734" spans="1:15">
      <c r="A734" s="111">
        <v>45966</v>
      </c>
      <c r="B734" s="112" t="s">
        <v>17</v>
      </c>
      <c r="C734" s="112" t="s">
        <v>18</v>
      </c>
      <c r="D734" s="113" t="s">
        <v>68</v>
      </c>
      <c r="E734" s="118">
        <v>6</v>
      </c>
      <c r="F734" s="115">
        <v>5490</v>
      </c>
      <c r="G734" s="115">
        <v>3920</v>
      </c>
      <c r="H734" s="115">
        <v>1570</v>
      </c>
      <c r="I734" s="116"/>
      <c r="J734" s="116"/>
      <c r="K734" s="116">
        <v>42500</v>
      </c>
      <c r="L734" s="116"/>
      <c r="M734" s="116">
        <v>7000</v>
      </c>
      <c r="N734" s="117"/>
      <c r="O734" s="117"/>
    </row>
    <row r="735" spans="1:15">
      <c r="A735" s="111">
        <v>45967</v>
      </c>
      <c r="B735" s="112" t="s">
        <v>17</v>
      </c>
      <c r="C735" s="112" t="s">
        <v>18</v>
      </c>
      <c r="D735" s="113" t="s">
        <v>68</v>
      </c>
      <c r="E735" s="118">
        <v>6</v>
      </c>
      <c r="F735" s="115">
        <v>5000</v>
      </c>
      <c r="G735" s="115">
        <v>3820</v>
      </c>
      <c r="H735" s="115">
        <v>1180</v>
      </c>
      <c r="I735" s="116"/>
      <c r="J735" s="116"/>
      <c r="K735" s="116">
        <v>42500</v>
      </c>
      <c r="L735" s="116"/>
      <c r="M735" s="116">
        <v>7000</v>
      </c>
      <c r="N735" s="117"/>
      <c r="O735" s="117"/>
    </row>
    <row r="736" spans="1:15">
      <c r="A736" s="111">
        <v>45967</v>
      </c>
      <c r="B736" s="112" t="s">
        <v>17</v>
      </c>
      <c r="C736" s="112" t="s">
        <v>18</v>
      </c>
      <c r="D736" s="113" t="s">
        <v>283</v>
      </c>
      <c r="E736" s="118">
        <v>6</v>
      </c>
      <c r="F736" s="115">
        <v>4340</v>
      </c>
      <c r="G736" s="115">
        <v>3810</v>
      </c>
      <c r="H736" s="115">
        <v>530</v>
      </c>
      <c r="I736" s="116"/>
      <c r="J736" s="116"/>
      <c r="K736" s="116">
        <v>53000</v>
      </c>
      <c r="L736" s="116"/>
      <c r="M736" s="116">
        <v>7000</v>
      </c>
      <c r="N736" s="117"/>
      <c r="O736" s="117"/>
    </row>
    <row r="737" spans="1:16375">
      <c r="A737" s="111">
        <v>45968</v>
      </c>
      <c r="B737" s="112" t="s">
        <v>17</v>
      </c>
      <c r="C737" s="112" t="s">
        <v>18</v>
      </c>
      <c r="D737" s="113" t="s">
        <v>68</v>
      </c>
      <c r="E737" s="118">
        <v>6</v>
      </c>
      <c r="F737" s="115">
        <v>4660</v>
      </c>
      <c r="G737" s="115">
        <v>3890</v>
      </c>
      <c r="H737" s="115">
        <v>770</v>
      </c>
      <c r="I737" s="116"/>
      <c r="J737" s="116"/>
      <c r="K737" s="116">
        <v>42500</v>
      </c>
      <c r="L737" s="116"/>
      <c r="M737" s="116">
        <v>7000</v>
      </c>
      <c r="N737" s="117"/>
      <c r="O737" s="117"/>
    </row>
    <row r="738" spans="1:16375">
      <c r="A738" s="111">
        <v>45968</v>
      </c>
      <c r="B738" s="112" t="s">
        <v>17</v>
      </c>
      <c r="C738" s="112" t="s">
        <v>18</v>
      </c>
      <c r="D738" s="113" t="s">
        <v>309</v>
      </c>
      <c r="E738" s="118">
        <v>6</v>
      </c>
      <c r="F738" s="115">
        <v>5280</v>
      </c>
      <c r="G738" s="115">
        <v>3900</v>
      </c>
      <c r="H738" s="115">
        <v>1380</v>
      </c>
      <c r="I738" s="116"/>
      <c r="J738" s="116"/>
      <c r="K738" s="116">
        <v>42500</v>
      </c>
      <c r="L738" s="116"/>
      <c r="M738" s="116">
        <v>7000</v>
      </c>
      <c r="N738" s="117"/>
      <c r="O738" s="117"/>
    </row>
    <row r="739" spans="1:16375">
      <c r="A739" s="111">
        <v>45969</v>
      </c>
      <c r="B739" s="112" t="s">
        <v>17</v>
      </c>
      <c r="C739" s="112" t="s">
        <v>18</v>
      </c>
      <c r="D739" s="113" t="s">
        <v>284</v>
      </c>
      <c r="E739" s="118">
        <v>6</v>
      </c>
      <c r="F739" s="115">
        <v>4370</v>
      </c>
      <c r="G739" s="115">
        <v>3960</v>
      </c>
      <c r="H739" s="115">
        <v>410</v>
      </c>
      <c r="I739" s="116"/>
      <c r="J739" s="116"/>
      <c r="K739" s="116">
        <v>26500</v>
      </c>
      <c r="L739" s="116"/>
      <c r="M739" s="116">
        <v>7000</v>
      </c>
      <c r="N739" s="117"/>
      <c r="O739" s="117"/>
    </row>
    <row r="740" spans="1:16375">
      <c r="A740" s="111">
        <v>45969</v>
      </c>
      <c r="B740" s="112" t="s">
        <v>17</v>
      </c>
      <c r="C740" s="112" t="s">
        <v>18</v>
      </c>
      <c r="D740" s="113" t="s">
        <v>68</v>
      </c>
      <c r="E740" s="118">
        <v>6</v>
      </c>
      <c r="F740" s="115">
        <v>4910</v>
      </c>
      <c r="G740" s="115">
        <v>3890</v>
      </c>
      <c r="H740" s="115">
        <v>1020</v>
      </c>
      <c r="I740" s="116"/>
      <c r="J740" s="116"/>
      <c r="K740" s="116">
        <v>26500</v>
      </c>
      <c r="L740" s="116"/>
      <c r="M740" s="116">
        <v>7000</v>
      </c>
      <c r="N740" s="117"/>
      <c r="O740" s="117"/>
    </row>
    <row r="741" spans="1:16375">
      <c r="A741" s="111">
        <v>45970</v>
      </c>
      <c r="B741" s="112" t="s">
        <v>17</v>
      </c>
      <c r="C741" s="112" t="s">
        <v>18</v>
      </c>
      <c r="D741" s="113" t="s">
        <v>284</v>
      </c>
      <c r="E741" s="118">
        <v>6</v>
      </c>
      <c r="F741" s="115">
        <v>4140</v>
      </c>
      <c r="G741" s="115">
        <v>3810</v>
      </c>
      <c r="H741" s="115">
        <v>330</v>
      </c>
      <c r="I741" s="116"/>
      <c r="J741" s="116"/>
      <c r="K741" s="116">
        <v>26500</v>
      </c>
      <c r="L741" s="116"/>
      <c r="M741" s="116">
        <v>7000</v>
      </c>
      <c r="N741" s="117"/>
      <c r="O741" s="117"/>
    </row>
    <row r="742" spans="1:16375" s="125" customFormat="1">
      <c r="A742" s="119">
        <v>45970</v>
      </c>
      <c r="B742" s="19" t="s">
        <v>17</v>
      </c>
      <c r="C742" s="19" t="s">
        <v>18</v>
      </c>
      <c r="D742" s="20" t="s">
        <v>284</v>
      </c>
      <c r="E742" s="120"/>
      <c r="F742" s="121"/>
      <c r="G742" s="121"/>
      <c r="H742" s="121">
        <v>0</v>
      </c>
      <c r="I742" s="122"/>
      <c r="J742" s="122"/>
      <c r="K742" s="122"/>
      <c r="L742" s="122"/>
      <c r="M742" s="122"/>
      <c r="N742" s="123"/>
      <c r="O742" s="123"/>
      <c r="P742" s="124"/>
      <c r="Q742" s="124"/>
      <c r="R742" s="124"/>
      <c r="S742" s="124"/>
      <c r="T742" s="124"/>
      <c r="U742" s="124"/>
      <c r="V742" s="124"/>
      <c r="W742" s="124"/>
      <c r="X742" s="124"/>
      <c r="Y742" s="124"/>
      <c r="Z742" s="124"/>
      <c r="AA742" s="124"/>
      <c r="AB742" s="124"/>
      <c r="AC742" s="124"/>
      <c r="AD742" s="124"/>
      <c r="AE742" s="124"/>
      <c r="AF742" s="124"/>
      <c r="AG742" s="124"/>
      <c r="AH742" s="124"/>
      <c r="AI742" s="124"/>
      <c r="AJ742" s="124"/>
      <c r="AK742" s="124"/>
      <c r="AL742" s="124"/>
      <c r="AM742" s="124"/>
      <c r="AN742" s="124"/>
      <c r="AO742" s="124"/>
      <c r="AP742" s="124"/>
      <c r="AQ742" s="124"/>
      <c r="AR742" s="124"/>
      <c r="AS742" s="124"/>
      <c r="AT742" s="124"/>
      <c r="AU742" s="124"/>
      <c r="AV742" s="124"/>
      <c r="AW742" s="124"/>
      <c r="AX742" s="124"/>
      <c r="AY742" s="124"/>
      <c r="AZ742" s="124"/>
      <c r="BA742" s="124"/>
      <c r="BB742" s="124"/>
      <c r="BC742" s="124"/>
      <c r="BD742" s="124"/>
      <c r="BE742" s="124"/>
      <c r="BF742" s="124"/>
      <c r="BG742" s="124"/>
      <c r="BH742" s="124"/>
      <c r="BI742" s="124"/>
      <c r="BJ742" s="124"/>
      <c r="BK742" s="124"/>
      <c r="BL742" s="124"/>
      <c r="BM742" s="124"/>
      <c r="BN742" s="124"/>
      <c r="BO742" s="124"/>
      <c r="BP742" s="124"/>
      <c r="BQ742" s="124"/>
      <c r="BR742" s="124"/>
      <c r="BS742" s="124"/>
      <c r="BT742" s="124"/>
      <c r="BU742" s="124"/>
      <c r="BV742" s="124"/>
      <c r="BW742" s="124"/>
      <c r="BX742" s="124"/>
      <c r="BY742" s="124"/>
      <c r="BZ742" s="124"/>
      <c r="CA742" s="124"/>
      <c r="CB742" s="124"/>
      <c r="CC742" s="124"/>
      <c r="CD742" s="124"/>
      <c r="CE742" s="124"/>
      <c r="CF742" s="124"/>
      <c r="CG742" s="124"/>
      <c r="CH742" s="124"/>
      <c r="CI742" s="124"/>
      <c r="CJ742" s="124"/>
      <c r="CK742" s="124"/>
      <c r="CL742" s="124"/>
      <c r="CM742" s="124"/>
      <c r="CN742" s="124"/>
      <c r="CO742" s="124"/>
      <c r="CP742" s="124"/>
      <c r="CQ742" s="124"/>
      <c r="CR742" s="124"/>
      <c r="CS742" s="124"/>
      <c r="CT742" s="124"/>
      <c r="CU742" s="124"/>
      <c r="CV742" s="124"/>
      <c r="CW742" s="124"/>
      <c r="CX742" s="124"/>
      <c r="CY742" s="124"/>
      <c r="CZ742" s="124"/>
      <c r="DA742" s="124"/>
      <c r="DB742" s="124"/>
      <c r="DC742" s="124"/>
      <c r="DD742" s="124"/>
      <c r="DE742" s="124"/>
      <c r="DF742" s="124"/>
      <c r="DG742" s="124"/>
      <c r="DH742" s="124"/>
      <c r="DI742" s="124"/>
      <c r="DJ742" s="124"/>
      <c r="DK742" s="124"/>
      <c r="DL742" s="124"/>
      <c r="DM742" s="124"/>
      <c r="DN742" s="124"/>
      <c r="DO742" s="124"/>
      <c r="DP742" s="124"/>
      <c r="DQ742" s="124"/>
      <c r="DR742" s="124"/>
      <c r="DS742" s="124"/>
      <c r="DT742" s="124"/>
      <c r="DU742" s="124"/>
      <c r="DV742" s="124"/>
      <c r="DW742" s="124"/>
      <c r="DX742" s="124"/>
      <c r="DY742" s="124"/>
      <c r="DZ742" s="124"/>
      <c r="EA742" s="124"/>
      <c r="EB742" s="124"/>
      <c r="EC742" s="124"/>
      <c r="ED742" s="124"/>
      <c r="EE742" s="124"/>
      <c r="EF742" s="124"/>
      <c r="EG742" s="124"/>
      <c r="EH742" s="124"/>
      <c r="EI742" s="124"/>
      <c r="EJ742" s="124"/>
      <c r="EK742" s="124"/>
      <c r="EL742" s="124"/>
      <c r="EM742" s="124"/>
      <c r="EN742" s="124"/>
      <c r="EO742" s="124"/>
      <c r="EP742" s="124"/>
      <c r="EQ742" s="124"/>
      <c r="ER742" s="124"/>
      <c r="ES742" s="124"/>
      <c r="ET742" s="124"/>
      <c r="EU742" s="124"/>
      <c r="EV742" s="124"/>
      <c r="EW742" s="124"/>
      <c r="EX742" s="124"/>
      <c r="EY742" s="124"/>
      <c r="EZ742" s="124"/>
      <c r="FA742" s="124"/>
      <c r="FB742" s="124"/>
      <c r="FC742" s="124"/>
      <c r="FD742" s="124"/>
      <c r="FE742" s="124"/>
      <c r="FF742" s="124"/>
      <c r="FG742" s="124"/>
      <c r="FH742" s="124"/>
      <c r="FI742" s="124"/>
      <c r="FJ742" s="124"/>
      <c r="FK742" s="124"/>
      <c r="FL742" s="124"/>
      <c r="FM742" s="124"/>
      <c r="FN742" s="124"/>
      <c r="FO742" s="124"/>
      <c r="FP742" s="124"/>
      <c r="FQ742" s="124"/>
      <c r="FR742" s="124"/>
      <c r="FS742" s="124"/>
      <c r="FT742" s="124"/>
      <c r="FU742" s="124"/>
      <c r="FV742" s="124"/>
      <c r="FW742" s="124"/>
      <c r="FX742" s="124"/>
      <c r="FY742" s="124"/>
      <c r="FZ742" s="124"/>
      <c r="GA742" s="124"/>
      <c r="GB742" s="124"/>
      <c r="GC742" s="124"/>
      <c r="GD742" s="124"/>
      <c r="GE742" s="124"/>
      <c r="GF742" s="124"/>
      <c r="GG742" s="124"/>
      <c r="GH742" s="124"/>
      <c r="GI742" s="124"/>
      <c r="GJ742" s="124"/>
      <c r="GK742" s="124"/>
      <c r="GL742" s="124"/>
      <c r="GM742" s="124"/>
      <c r="GN742" s="124"/>
      <c r="GO742" s="124"/>
      <c r="GP742" s="124"/>
      <c r="GQ742" s="124"/>
      <c r="GR742" s="124"/>
      <c r="GS742" s="124"/>
      <c r="GT742" s="124"/>
      <c r="GU742" s="124"/>
      <c r="GV742" s="124"/>
      <c r="GW742" s="124"/>
      <c r="GX742" s="124"/>
      <c r="GY742" s="124"/>
      <c r="GZ742" s="124"/>
      <c r="HA742" s="124"/>
      <c r="HB742" s="124"/>
      <c r="HC742" s="124"/>
      <c r="HD742" s="124"/>
      <c r="HE742" s="124"/>
      <c r="HF742" s="124"/>
      <c r="HG742" s="124"/>
      <c r="HH742" s="124"/>
      <c r="HI742" s="124"/>
      <c r="HJ742" s="124"/>
      <c r="HK742" s="124"/>
      <c r="HL742" s="124"/>
      <c r="HM742" s="124"/>
      <c r="HN742" s="124"/>
      <c r="HO742" s="124"/>
      <c r="HP742" s="124"/>
      <c r="HQ742" s="124"/>
      <c r="HR742" s="124"/>
      <c r="HS742" s="124"/>
      <c r="HT742" s="124"/>
      <c r="HU742" s="124"/>
      <c r="HV742" s="124"/>
      <c r="HW742" s="124"/>
      <c r="HX742" s="124"/>
      <c r="HY742" s="124"/>
      <c r="HZ742" s="124"/>
      <c r="IA742" s="124"/>
      <c r="IB742" s="124"/>
      <c r="IC742" s="124"/>
      <c r="ID742" s="124"/>
      <c r="IE742" s="124"/>
      <c r="IF742" s="124"/>
      <c r="IG742" s="124"/>
      <c r="IH742" s="124"/>
      <c r="II742" s="124"/>
      <c r="IJ742" s="124"/>
      <c r="IK742" s="124"/>
      <c r="IL742" s="124"/>
      <c r="IM742" s="124"/>
      <c r="IN742" s="124"/>
      <c r="IO742" s="124"/>
      <c r="IP742" s="124"/>
      <c r="IQ742" s="124"/>
      <c r="IR742" s="124"/>
      <c r="IS742" s="124"/>
      <c r="IT742" s="124"/>
      <c r="IU742" s="124"/>
      <c r="IV742" s="124"/>
      <c r="IW742" s="124"/>
      <c r="IX742" s="124"/>
      <c r="IY742" s="124"/>
      <c r="IZ742" s="124"/>
      <c r="JA742" s="124"/>
      <c r="JB742" s="124"/>
      <c r="JC742" s="124"/>
      <c r="JD742" s="124"/>
      <c r="JE742" s="124"/>
      <c r="JF742" s="124"/>
      <c r="JG742" s="124"/>
      <c r="JH742" s="124"/>
      <c r="JI742" s="124"/>
      <c r="JJ742" s="124"/>
      <c r="JK742" s="124"/>
      <c r="JL742" s="124"/>
      <c r="JM742" s="124"/>
      <c r="JN742" s="124"/>
      <c r="JO742" s="124"/>
      <c r="JP742" s="124"/>
      <c r="JQ742" s="124"/>
      <c r="JR742" s="124"/>
      <c r="JS742" s="124"/>
      <c r="JT742" s="124"/>
      <c r="JU742" s="124"/>
      <c r="JV742" s="124"/>
      <c r="JW742" s="124"/>
      <c r="JX742" s="124"/>
      <c r="JY742" s="124"/>
      <c r="JZ742" s="124"/>
      <c r="KA742" s="124"/>
      <c r="KB742" s="124"/>
      <c r="KC742" s="124"/>
      <c r="KD742" s="124"/>
      <c r="KE742" s="124"/>
      <c r="KF742" s="124"/>
      <c r="KG742" s="124"/>
      <c r="KH742" s="124"/>
      <c r="KI742" s="124"/>
      <c r="KJ742" s="124"/>
      <c r="KK742" s="124"/>
      <c r="KL742" s="124"/>
      <c r="KM742" s="124"/>
      <c r="KN742" s="124"/>
      <c r="KO742" s="124"/>
      <c r="KP742" s="124"/>
      <c r="KQ742" s="124"/>
      <c r="KR742" s="124"/>
      <c r="KS742" s="124"/>
      <c r="KT742" s="124"/>
      <c r="KU742" s="124"/>
      <c r="KV742" s="124"/>
      <c r="KW742" s="124"/>
      <c r="KX742" s="124"/>
      <c r="KY742" s="124"/>
      <c r="KZ742" s="124"/>
      <c r="LA742" s="124"/>
      <c r="LB742" s="124"/>
      <c r="LC742" s="124"/>
      <c r="LD742" s="124"/>
      <c r="LE742" s="124"/>
      <c r="LF742" s="124"/>
      <c r="LG742" s="124"/>
      <c r="LH742" s="124"/>
      <c r="LI742" s="124"/>
      <c r="LJ742" s="124"/>
      <c r="LK742" s="124"/>
      <c r="LL742" s="124"/>
      <c r="LM742" s="124"/>
      <c r="LN742" s="124"/>
      <c r="LO742" s="124"/>
      <c r="LP742" s="124"/>
      <c r="LQ742" s="124"/>
      <c r="LR742" s="124"/>
      <c r="LS742" s="124"/>
      <c r="LT742" s="124"/>
      <c r="LU742" s="124"/>
      <c r="LV742" s="124"/>
      <c r="LW742" s="124"/>
      <c r="LX742" s="124"/>
      <c r="LY742" s="124"/>
      <c r="LZ742" s="124"/>
      <c r="MA742" s="124"/>
      <c r="MB742" s="124"/>
      <c r="MC742" s="124"/>
      <c r="MD742" s="124"/>
      <c r="ME742" s="124"/>
      <c r="MF742" s="124"/>
      <c r="MG742" s="124"/>
      <c r="MH742" s="124"/>
      <c r="MI742" s="124"/>
      <c r="MJ742" s="124"/>
      <c r="MK742" s="124"/>
      <c r="ML742" s="124"/>
      <c r="MM742" s="124"/>
      <c r="MN742" s="124"/>
      <c r="MO742" s="124"/>
      <c r="MP742" s="124"/>
      <c r="MQ742" s="124"/>
      <c r="MR742" s="124"/>
      <c r="MS742" s="124"/>
      <c r="MT742" s="124"/>
      <c r="MU742" s="124"/>
      <c r="MV742" s="124"/>
      <c r="MW742" s="124"/>
      <c r="MX742" s="124"/>
      <c r="MY742" s="124"/>
      <c r="MZ742" s="124"/>
      <c r="NA742" s="124"/>
      <c r="NB742" s="124"/>
      <c r="NC742" s="124"/>
      <c r="ND742" s="124"/>
      <c r="NE742" s="124"/>
      <c r="NF742" s="124"/>
      <c r="NG742" s="124"/>
      <c r="NH742" s="124"/>
      <c r="NI742" s="124"/>
      <c r="NJ742" s="124"/>
      <c r="NK742" s="124"/>
      <c r="NL742" s="124"/>
      <c r="NM742" s="124"/>
      <c r="NN742" s="124"/>
      <c r="NO742" s="124"/>
      <c r="NP742" s="124"/>
      <c r="NQ742" s="124"/>
      <c r="NR742" s="124"/>
      <c r="NS742" s="124"/>
      <c r="NT742" s="124"/>
      <c r="NU742" s="124"/>
      <c r="NV742" s="124"/>
      <c r="NW742" s="124"/>
      <c r="NX742" s="124"/>
      <c r="NY742" s="124"/>
      <c r="NZ742" s="124"/>
      <c r="OA742" s="124"/>
      <c r="OB742" s="124"/>
      <c r="OC742" s="124"/>
      <c r="OD742" s="124"/>
      <c r="OE742" s="124"/>
      <c r="OF742" s="124"/>
      <c r="OG742" s="124"/>
      <c r="OH742" s="124"/>
      <c r="OI742" s="124"/>
      <c r="OJ742" s="124"/>
      <c r="OK742" s="124"/>
      <c r="OL742" s="124"/>
      <c r="OM742" s="124"/>
      <c r="ON742" s="124"/>
      <c r="OO742" s="124"/>
      <c r="OP742" s="124"/>
      <c r="OQ742" s="124"/>
      <c r="OR742" s="124"/>
      <c r="OS742" s="124"/>
      <c r="OT742" s="124"/>
      <c r="OU742" s="124"/>
      <c r="OV742" s="124"/>
      <c r="OW742" s="124"/>
      <c r="OX742" s="124"/>
      <c r="OY742" s="124"/>
      <c r="OZ742" s="124"/>
      <c r="PA742" s="124"/>
      <c r="PB742" s="124"/>
      <c r="PC742" s="124"/>
      <c r="PD742" s="124"/>
      <c r="PE742" s="124"/>
      <c r="PF742" s="124"/>
      <c r="PG742" s="124"/>
      <c r="PH742" s="124"/>
      <c r="PI742" s="124"/>
      <c r="PJ742" s="124"/>
      <c r="PK742" s="124"/>
      <c r="PL742" s="124"/>
      <c r="PM742" s="124"/>
      <c r="PN742" s="124"/>
      <c r="PO742" s="124"/>
      <c r="PP742" s="124"/>
      <c r="PQ742" s="124"/>
      <c r="PR742" s="124"/>
      <c r="PS742" s="124"/>
      <c r="PT742" s="124"/>
      <c r="PU742" s="124"/>
      <c r="PV742" s="124"/>
      <c r="PW742" s="124"/>
      <c r="PX742" s="124"/>
      <c r="PY742" s="124"/>
      <c r="PZ742" s="124"/>
      <c r="QA742" s="124"/>
      <c r="QB742" s="124"/>
      <c r="QC742" s="124"/>
      <c r="QD742" s="124"/>
      <c r="QE742" s="124"/>
      <c r="QF742" s="124"/>
      <c r="QG742" s="124"/>
      <c r="QH742" s="124"/>
      <c r="QI742" s="124"/>
      <c r="QJ742" s="124"/>
      <c r="QK742" s="124"/>
      <c r="QL742" s="124"/>
      <c r="QM742" s="124"/>
      <c r="QN742" s="124"/>
      <c r="QO742" s="124"/>
      <c r="QP742" s="124"/>
      <c r="QQ742" s="124"/>
      <c r="QR742" s="124"/>
      <c r="QS742" s="124"/>
      <c r="QT742" s="124"/>
      <c r="QU742" s="124"/>
      <c r="QV742" s="124"/>
      <c r="QW742" s="124"/>
      <c r="QX742" s="124"/>
      <c r="QY742" s="124"/>
      <c r="QZ742" s="124"/>
      <c r="RA742" s="124"/>
      <c r="RB742" s="124"/>
      <c r="RC742" s="124"/>
      <c r="RD742" s="124"/>
      <c r="RE742" s="124"/>
      <c r="RF742" s="124"/>
      <c r="RG742" s="124"/>
      <c r="RH742" s="124"/>
      <c r="RI742" s="124"/>
      <c r="RJ742" s="124"/>
      <c r="RK742" s="124"/>
      <c r="RL742" s="124"/>
      <c r="RM742" s="124"/>
      <c r="RN742" s="124"/>
      <c r="RO742" s="124"/>
      <c r="RP742" s="124"/>
      <c r="RQ742" s="124"/>
      <c r="RR742" s="124"/>
      <c r="RS742" s="124"/>
      <c r="RT742" s="124"/>
      <c r="RU742" s="124"/>
      <c r="RV742" s="124"/>
      <c r="RW742" s="124"/>
      <c r="RX742" s="124"/>
      <c r="RY742" s="124"/>
      <c r="RZ742" s="124"/>
      <c r="SA742" s="124"/>
      <c r="SB742" s="124"/>
      <c r="SC742" s="124"/>
      <c r="SD742" s="124"/>
      <c r="SE742" s="124"/>
      <c r="SF742" s="124"/>
      <c r="SG742" s="124"/>
      <c r="SH742" s="124"/>
      <c r="SI742" s="124"/>
      <c r="SJ742" s="124"/>
      <c r="SK742" s="124"/>
      <c r="SL742" s="124"/>
      <c r="SM742" s="124"/>
      <c r="SN742" s="124"/>
      <c r="SO742" s="124"/>
      <c r="SP742" s="124"/>
      <c r="SQ742" s="124"/>
      <c r="SR742" s="124"/>
      <c r="SS742" s="124"/>
      <c r="ST742" s="124"/>
      <c r="SU742" s="124"/>
      <c r="SV742" s="124"/>
      <c r="SW742" s="124"/>
      <c r="SX742" s="124"/>
      <c r="SY742" s="124"/>
      <c r="SZ742" s="124"/>
      <c r="TA742" s="124"/>
      <c r="TB742" s="124"/>
      <c r="TC742" s="124"/>
      <c r="TD742" s="124"/>
      <c r="TE742" s="124"/>
      <c r="TF742" s="124"/>
      <c r="TG742" s="124"/>
      <c r="TH742" s="124"/>
      <c r="TI742" s="124"/>
      <c r="TJ742" s="124"/>
      <c r="TK742" s="124"/>
      <c r="TL742" s="124"/>
      <c r="TM742" s="124"/>
      <c r="TN742" s="124"/>
      <c r="TO742" s="124"/>
      <c r="TP742" s="124"/>
      <c r="TQ742" s="124"/>
      <c r="TR742" s="124"/>
      <c r="TS742" s="124"/>
      <c r="TT742" s="124"/>
      <c r="TU742" s="124"/>
      <c r="TV742" s="124"/>
      <c r="TW742" s="124"/>
      <c r="TX742" s="124"/>
      <c r="TY742" s="124"/>
      <c r="TZ742" s="124"/>
      <c r="UA742" s="124"/>
      <c r="UB742" s="124"/>
      <c r="UC742" s="124"/>
      <c r="UD742" s="124"/>
      <c r="UE742" s="124"/>
      <c r="UF742" s="124"/>
      <c r="UG742" s="124"/>
      <c r="UH742" s="124"/>
      <c r="UI742" s="124"/>
      <c r="UJ742" s="124"/>
      <c r="UK742" s="124"/>
      <c r="UL742" s="124"/>
      <c r="UM742" s="124"/>
      <c r="UN742" s="124"/>
      <c r="UO742" s="124"/>
      <c r="UP742" s="124"/>
      <c r="UQ742" s="124"/>
      <c r="UR742" s="124"/>
      <c r="US742" s="124"/>
      <c r="UT742" s="124"/>
      <c r="UU742" s="124"/>
      <c r="UV742" s="124"/>
      <c r="UW742" s="124"/>
      <c r="UX742" s="124"/>
      <c r="UY742" s="124"/>
      <c r="UZ742" s="124"/>
      <c r="VA742" s="124"/>
      <c r="VB742" s="124"/>
      <c r="VC742" s="124"/>
      <c r="VD742" s="124"/>
      <c r="VE742" s="124"/>
      <c r="VF742" s="124"/>
      <c r="VG742" s="124"/>
      <c r="VH742" s="124"/>
      <c r="VI742" s="124"/>
      <c r="VJ742" s="124"/>
      <c r="VK742" s="124"/>
      <c r="VL742" s="124"/>
      <c r="VM742" s="124"/>
      <c r="VN742" s="124"/>
      <c r="VO742" s="124"/>
      <c r="VP742" s="124"/>
      <c r="VQ742" s="124"/>
      <c r="VR742" s="124"/>
      <c r="VS742" s="124"/>
      <c r="VT742" s="124"/>
      <c r="VU742" s="124"/>
      <c r="VV742" s="124"/>
      <c r="VW742" s="124"/>
      <c r="VX742" s="124"/>
      <c r="VY742" s="124"/>
      <c r="VZ742" s="124"/>
      <c r="WA742" s="124"/>
      <c r="WB742" s="124"/>
      <c r="WC742" s="124"/>
      <c r="WD742" s="124"/>
      <c r="WE742" s="124"/>
      <c r="WF742" s="124"/>
      <c r="WG742" s="124"/>
      <c r="WH742" s="124"/>
      <c r="WI742" s="124"/>
      <c r="WJ742" s="124"/>
      <c r="WK742" s="124"/>
      <c r="WL742" s="124"/>
      <c r="WM742" s="124"/>
      <c r="WN742" s="124"/>
      <c r="WO742" s="124"/>
      <c r="WP742" s="124"/>
      <c r="WQ742" s="124"/>
      <c r="WR742" s="124"/>
      <c r="WS742" s="124"/>
      <c r="WT742" s="124"/>
      <c r="WU742" s="124"/>
      <c r="WV742" s="124"/>
      <c r="WW742" s="124"/>
      <c r="WX742" s="124"/>
      <c r="WY742" s="124"/>
      <c r="WZ742" s="124"/>
      <c r="XA742" s="124"/>
      <c r="XB742" s="124"/>
      <c r="XC742" s="124"/>
      <c r="XD742" s="124"/>
      <c r="XE742" s="124"/>
      <c r="XF742" s="124"/>
      <c r="XG742" s="124"/>
      <c r="XH742" s="124"/>
      <c r="XI742" s="124"/>
      <c r="XJ742" s="124"/>
      <c r="XK742" s="124"/>
      <c r="XL742" s="124"/>
      <c r="XM742" s="124"/>
      <c r="XN742" s="124"/>
      <c r="XO742" s="124"/>
      <c r="XP742" s="124"/>
      <c r="XQ742" s="124"/>
      <c r="XR742" s="124"/>
      <c r="XS742" s="124"/>
      <c r="XT742" s="124"/>
      <c r="XU742" s="124"/>
      <c r="XV742" s="124"/>
      <c r="XW742" s="124"/>
      <c r="XX742" s="124"/>
      <c r="XY742" s="124"/>
      <c r="XZ742" s="124"/>
      <c r="YA742" s="124"/>
      <c r="YB742" s="124"/>
      <c r="YC742" s="124"/>
      <c r="YD742" s="124"/>
      <c r="YE742" s="124"/>
      <c r="YF742" s="124"/>
      <c r="YG742" s="124"/>
      <c r="YH742" s="124"/>
      <c r="YI742" s="124"/>
      <c r="YJ742" s="124"/>
      <c r="YK742" s="124"/>
      <c r="YL742" s="124"/>
      <c r="YM742" s="124"/>
      <c r="YN742" s="124"/>
      <c r="YO742" s="124"/>
      <c r="YP742" s="124"/>
      <c r="YQ742" s="124"/>
      <c r="YR742" s="124"/>
      <c r="YS742" s="124"/>
      <c r="YT742" s="124"/>
      <c r="YU742" s="124"/>
      <c r="YV742" s="124"/>
      <c r="YW742" s="124"/>
      <c r="YX742" s="124"/>
      <c r="YY742" s="124"/>
      <c r="YZ742" s="124"/>
      <c r="ZA742" s="124"/>
      <c r="ZB742" s="124"/>
      <c r="ZC742" s="124"/>
      <c r="ZD742" s="124"/>
      <c r="ZE742" s="124"/>
      <c r="ZF742" s="124"/>
      <c r="ZG742" s="124"/>
      <c r="ZH742" s="124"/>
      <c r="ZI742" s="124"/>
      <c r="ZJ742" s="124"/>
      <c r="ZK742" s="124"/>
      <c r="ZL742" s="124"/>
      <c r="ZM742" s="124"/>
      <c r="ZN742" s="124"/>
      <c r="ZO742" s="124"/>
      <c r="ZP742" s="124"/>
      <c r="ZQ742" s="124"/>
      <c r="ZR742" s="124"/>
      <c r="ZS742" s="124"/>
      <c r="ZT742" s="124"/>
      <c r="ZU742" s="124"/>
      <c r="ZV742" s="124"/>
      <c r="ZW742" s="124"/>
      <c r="ZX742" s="124"/>
      <c r="ZY742" s="124"/>
      <c r="ZZ742" s="124"/>
      <c r="AAA742" s="124"/>
      <c r="AAB742" s="124"/>
      <c r="AAC742" s="124"/>
      <c r="AAD742" s="124"/>
      <c r="AAE742" s="124"/>
      <c r="AAF742" s="124"/>
      <c r="AAG742" s="124"/>
      <c r="AAH742" s="124"/>
      <c r="AAI742" s="124"/>
      <c r="AAJ742" s="124"/>
      <c r="AAK742" s="124"/>
      <c r="AAL742" s="124"/>
      <c r="AAM742" s="124"/>
      <c r="AAN742" s="124"/>
      <c r="AAO742" s="124"/>
      <c r="AAP742" s="124"/>
      <c r="AAQ742" s="124"/>
      <c r="AAR742" s="124"/>
      <c r="AAS742" s="124"/>
      <c r="AAT742" s="124"/>
      <c r="AAU742" s="124"/>
      <c r="AAV742" s="124"/>
      <c r="AAW742" s="124"/>
      <c r="AAX742" s="124"/>
      <c r="AAY742" s="124"/>
      <c r="AAZ742" s="124"/>
      <c r="ABA742" s="124"/>
      <c r="ABB742" s="124"/>
      <c r="ABC742" s="124"/>
      <c r="ABD742" s="124"/>
      <c r="ABE742" s="124"/>
      <c r="ABF742" s="124"/>
      <c r="ABG742" s="124"/>
      <c r="ABH742" s="124"/>
      <c r="ABI742" s="124"/>
      <c r="ABJ742" s="124"/>
      <c r="ABK742" s="124"/>
      <c r="ABL742" s="124"/>
      <c r="ABM742" s="124"/>
      <c r="ABN742" s="124"/>
      <c r="ABO742" s="124"/>
      <c r="ABP742" s="124"/>
      <c r="ABQ742" s="124"/>
      <c r="ABR742" s="124"/>
      <c r="ABS742" s="124"/>
      <c r="ABT742" s="124"/>
      <c r="ABU742" s="124"/>
      <c r="ABV742" s="124"/>
      <c r="ABW742" s="124"/>
      <c r="ABX742" s="124"/>
      <c r="ABY742" s="124"/>
      <c r="ABZ742" s="124"/>
      <c r="ACA742" s="124"/>
      <c r="ACB742" s="124"/>
      <c r="ACC742" s="124"/>
      <c r="ACD742" s="124"/>
      <c r="ACE742" s="124"/>
      <c r="ACF742" s="124"/>
      <c r="ACG742" s="124"/>
      <c r="ACH742" s="124"/>
      <c r="ACI742" s="124"/>
      <c r="ACJ742" s="124"/>
      <c r="ACK742" s="124"/>
      <c r="ACL742" s="124"/>
      <c r="ACM742" s="124"/>
      <c r="ACN742" s="124"/>
      <c r="ACO742" s="124"/>
      <c r="ACP742" s="124"/>
      <c r="ACQ742" s="124"/>
      <c r="ACR742" s="124"/>
      <c r="ACS742" s="124"/>
      <c r="ACT742" s="124"/>
      <c r="ACU742" s="124"/>
      <c r="ACV742" s="124"/>
      <c r="ACW742" s="124"/>
      <c r="ACX742" s="124"/>
      <c r="ACY742" s="124"/>
      <c r="ACZ742" s="124"/>
      <c r="ADA742" s="124"/>
      <c r="ADB742" s="124"/>
      <c r="ADC742" s="124"/>
      <c r="ADD742" s="124"/>
      <c r="ADE742" s="124"/>
      <c r="ADF742" s="124"/>
      <c r="ADG742" s="124"/>
      <c r="ADH742" s="124"/>
      <c r="ADI742" s="124"/>
      <c r="ADJ742" s="124"/>
      <c r="ADK742" s="124"/>
      <c r="ADL742" s="124"/>
      <c r="ADM742" s="124"/>
      <c r="ADN742" s="124"/>
      <c r="ADO742" s="124"/>
      <c r="ADP742" s="124"/>
      <c r="ADQ742" s="124"/>
      <c r="ADR742" s="124"/>
      <c r="ADS742" s="124"/>
      <c r="ADT742" s="124"/>
      <c r="ADU742" s="124"/>
      <c r="ADV742" s="124"/>
      <c r="ADW742" s="124"/>
      <c r="ADX742" s="124"/>
      <c r="ADY742" s="124"/>
      <c r="ADZ742" s="124"/>
      <c r="AEA742" s="124"/>
      <c r="AEB742" s="124"/>
      <c r="AEC742" s="124"/>
      <c r="AED742" s="124"/>
      <c r="AEE742" s="124"/>
      <c r="AEF742" s="124"/>
      <c r="AEG742" s="124"/>
      <c r="AEH742" s="124"/>
      <c r="AEI742" s="124"/>
      <c r="AEJ742" s="124"/>
      <c r="AEK742" s="124"/>
      <c r="AEL742" s="124"/>
      <c r="AEM742" s="124"/>
      <c r="AEN742" s="124"/>
      <c r="AEO742" s="124"/>
      <c r="AEP742" s="124"/>
      <c r="AEQ742" s="124"/>
      <c r="AER742" s="124"/>
      <c r="AES742" s="124"/>
      <c r="AET742" s="124"/>
      <c r="AEU742" s="124"/>
      <c r="AEV742" s="124"/>
      <c r="AEW742" s="124"/>
      <c r="AEX742" s="124"/>
      <c r="AEY742" s="124"/>
      <c r="AEZ742" s="124"/>
      <c r="AFA742" s="124"/>
      <c r="AFB742" s="124"/>
      <c r="AFC742" s="124"/>
      <c r="AFD742" s="124"/>
      <c r="AFE742" s="124"/>
      <c r="AFF742" s="124"/>
      <c r="AFG742" s="124"/>
      <c r="AFH742" s="124"/>
      <c r="AFI742" s="124"/>
      <c r="AFJ742" s="124"/>
      <c r="AFK742" s="124"/>
      <c r="AFL742" s="124"/>
      <c r="AFM742" s="124"/>
      <c r="AFN742" s="124"/>
      <c r="AFO742" s="124"/>
      <c r="AFP742" s="124"/>
      <c r="AFQ742" s="124"/>
      <c r="AFR742" s="124"/>
      <c r="AFS742" s="124"/>
      <c r="AFT742" s="124"/>
      <c r="AFU742" s="124"/>
      <c r="AFV742" s="124"/>
      <c r="AFW742" s="124"/>
      <c r="AFX742" s="124"/>
      <c r="AFY742" s="124"/>
      <c r="AFZ742" s="124"/>
      <c r="AGA742" s="124"/>
      <c r="AGB742" s="124"/>
      <c r="AGC742" s="124"/>
      <c r="AGD742" s="124"/>
      <c r="AGE742" s="124"/>
      <c r="AGF742" s="124"/>
      <c r="AGG742" s="124"/>
      <c r="AGH742" s="124"/>
      <c r="AGI742" s="124"/>
      <c r="AGJ742" s="124"/>
      <c r="AGK742" s="124"/>
      <c r="AGL742" s="124"/>
      <c r="AGM742" s="124"/>
      <c r="AGN742" s="124"/>
      <c r="AGO742" s="124"/>
      <c r="AGP742" s="124"/>
      <c r="AGQ742" s="124"/>
      <c r="AGR742" s="124"/>
      <c r="AGS742" s="124"/>
      <c r="AGT742" s="124"/>
      <c r="AGU742" s="124"/>
      <c r="AGV742" s="124"/>
      <c r="AGW742" s="124"/>
      <c r="AGX742" s="124"/>
      <c r="AGY742" s="124"/>
      <c r="AGZ742" s="124"/>
      <c r="AHA742" s="124"/>
      <c r="AHB742" s="124"/>
      <c r="AHC742" s="124"/>
      <c r="AHD742" s="124"/>
      <c r="AHE742" s="124"/>
      <c r="AHF742" s="124"/>
      <c r="AHG742" s="124"/>
      <c r="AHH742" s="124"/>
      <c r="AHI742" s="124"/>
      <c r="AHJ742" s="124"/>
      <c r="AHK742" s="124"/>
      <c r="AHL742" s="124"/>
      <c r="AHM742" s="124"/>
      <c r="AHN742" s="124"/>
      <c r="AHO742" s="124"/>
      <c r="AHP742" s="124"/>
      <c r="AHQ742" s="124"/>
      <c r="AHR742" s="124"/>
      <c r="AHS742" s="124"/>
      <c r="AHT742" s="124"/>
      <c r="AHU742" s="124"/>
      <c r="AHV742" s="124"/>
      <c r="AHW742" s="124"/>
      <c r="AHX742" s="124"/>
      <c r="AHY742" s="124"/>
      <c r="AHZ742" s="124"/>
      <c r="AIA742" s="124"/>
      <c r="AIB742" s="124"/>
      <c r="AIC742" s="124"/>
      <c r="AID742" s="124"/>
      <c r="AIE742" s="124"/>
      <c r="AIF742" s="124"/>
      <c r="AIG742" s="124"/>
      <c r="AIH742" s="124"/>
      <c r="AII742" s="124"/>
      <c r="AIJ742" s="124"/>
      <c r="AIK742" s="124"/>
      <c r="AIL742" s="124"/>
      <c r="AIM742" s="124"/>
      <c r="AIN742" s="124"/>
      <c r="AIO742" s="124"/>
      <c r="AIP742" s="124"/>
      <c r="AIQ742" s="124"/>
      <c r="AIR742" s="124"/>
      <c r="AIS742" s="124"/>
      <c r="AIT742" s="124"/>
      <c r="AIU742" s="124"/>
      <c r="AIV742" s="124"/>
      <c r="AIW742" s="124"/>
      <c r="AIX742" s="124"/>
      <c r="AIY742" s="124"/>
      <c r="AIZ742" s="124"/>
      <c r="AJA742" s="124"/>
      <c r="AJB742" s="124"/>
      <c r="AJC742" s="124"/>
      <c r="AJD742" s="124"/>
      <c r="AJE742" s="124"/>
      <c r="AJF742" s="124"/>
      <c r="AJG742" s="124"/>
      <c r="AJH742" s="124"/>
      <c r="AJI742" s="124"/>
      <c r="AJJ742" s="124"/>
      <c r="AJK742" s="124"/>
      <c r="AJL742" s="124"/>
      <c r="AJM742" s="124"/>
      <c r="AJN742" s="124"/>
      <c r="AJO742" s="124"/>
      <c r="AJP742" s="124"/>
      <c r="AJQ742" s="124"/>
      <c r="AJR742" s="124"/>
      <c r="AJS742" s="124"/>
      <c r="AJT742" s="124"/>
      <c r="AJU742" s="124"/>
      <c r="AJV742" s="124"/>
      <c r="AJW742" s="124"/>
      <c r="AJX742" s="124"/>
      <c r="AJY742" s="124"/>
      <c r="AJZ742" s="124"/>
      <c r="AKA742" s="124"/>
      <c r="AKB742" s="124"/>
      <c r="AKC742" s="124"/>
      <c r="AKD742" s="124"/>
      <c r="AKE742" s="124"/>
      <c r="AKF742" s="124"/>
      <c r="AKG742" s="124"/>
      <c r="AKH742" s="124"/>
      <c r="AKI742" s="124"/>
      <c r="AKJ742" s="124"/>
      <c r="AKK742" s="124"/>
      <c r="AKL742" s="124"/>
      <c r="AKM742" s="124"/>
      <c r="AKN742" s="124"/>
      <c r="AKO742" s="124"/>
      <c r="AKP742" s="124"/>
      <c r="AKQ742" s="124"/>
      <c r="AKR742" s="124"/>
      <c r="AKS742" s="124"/>
      <c r="AKT742" s="124"/>
      <c r="AKU742" s="124"/>
      <c r="AKV742" s="124"/>
      <c r="AKW742" s="124"/>
      <c r="AKX742" s="124"/>
      <c r="AKY742" s="124"/>
      <c r="AKZ742" s="124"/>
      <c r="ALA742" s="124"/>
      <c r="ALB742" s="124"/>
      <c r="ALC742" s="124"/>
      <c r="ALD742" s="124"/>
      <c r="ALE742" s="124"/>
      <c r="ALF742" s="124"/>
      <c r="ALG742" s="124"/>
      <c r="ALH742" s="124"/>
      <c r="ALI742" s="124"/>
      <c r="ALJ742" s="124"/>
      <c r="ALK742" s="124"/>
      <c r="ALL742" s="124"/>
      <c r="ALM742" s="124"/>
      <c r="ALN742" s="124"/>
      <c r="ALO742" s="124"/>
      <c r="ALP742" s="124"/>
      <c r="ALQ742" s="124"/>
      <c r="ALR742" s="124"/>
      <c r="ALS742" s="124"/>
      <c r="ALT742" s="124"/>
      <c r="ALU742" s="124"/>
      <c r="ALV742" s="124"/>
      <c r="ALW742" s="124"/>
      <c r="ALX742" s="124"/>
      <c r="ALY742" s="124"/>
      <c r="ALZ742" s="124"/>
      <c r="AMA742" s="124"/>
      <c r="AMB742" s="124"/>
      <c r="AMC742" s="124"/>
      <c r="AMD742" s="124"/>
      <c r="AME742" s="124"/>
      <c r="AMF742" s="124"/>
      <c r="AMG742" s="124"/>
      <c r="AMH742" s="124"/>
      <c r="AMI742" s="124"/>
      <c r="AMJ742" s="124"/>
      <c r="AMK742" s="124"/>
      <c r="AML742" s="124"/>
      <c r="AMM742" s="124"/>
      <c r="AMN742" s="124"/>
      <c r="AMO742" s="124"/>
      <c r="AMP742" s="124"/>
      <c r="AMQ742" s="124"/>
      <c r="AMR742" s="124"/>
      <c r="AMS742" s="124"/>
      <c r="AMT742" s="124"/>
      <c r="AMU742" s="124"/>
      <c r="AMV742" s="124"/>
      <c r="AMW742" s="124"/>
      <c r="AMX742" s="124"/>
      <c r="AMY742" s="124"/>
      <c r="AMZ742" s="124"/>
      <c r="ANA742" s="124"/>
      <c r="ANB742" s="124"/>
      <c r="ANC742" s="124"/>
      <c r="AND742" s="124"/>
      <c r="ANE742" s="124"/>
      <c r="ANF742" s="124"/>
      <c r="ANG742" s="124"/>
      <c r="ANH742" s="124"/>
      <c r="ANI742" s="124"/>
      <c r="ANJ742" s="124"/>
      <c r="ANK742" s="124"/>
      <c r="ANL742" s="124"/>
      <c r="ANM742" s="124"/>
      <c r="ANN742" s="124"/>
      <c r="ANO742" s="124"/>
      <c r="ANP742" s="124"/>
      <c r="ANQ742" s="124"/>
      <c r="ANR742" s="124"/>
      <c r="ANS742" s="124"/>
      <c r="ANT742" s="124"/>
      <c r="ANU742" s="124"/>
      <c r="ANV742" s="124"/>
      <c r="ANW742" s="124"/>
      <c r="ANX742" s="124"/>
      <c r="ANY742" s="124"/>
      <c r="ANZ742" s="124"/>
      <c r="AOA742" s="124"/>
      <c r="AOB742" s="124"/>
      <c r="AOC742" s="124"/>
      <c r="AOD742" s="124"/>
      <c r="AOE742" s="124"/>
      <c r="AOF742" s="124"/>
      <c r="AOG742" s="124"/>
      <c r="AOH742" s="124"/>
      <c r="AOI742" s="124"/>
      <c r="AOJ742" s="124"/>
      <c r="AOK742" s="124"/>
      <c r="AOL742" s="124"/>
      <c r="AOM742" s="124"/>
      <c r="AON742" s="124"/>
      <c r="AOO742" s="124"/>
      <c r="AOP742" s="124"/>
      <c r="AOQ742" s="124"/>
      <c r="AOR742" s="124"/>
      <c r="AOS742" s="124"/>
      <c r="AOT742" s="124"/>
      <c r="AOU742" s="124"/>
      <c r="AOV742" s="124"/>
      <c r="AOW742" s="124"/>
      <c r="AOX742" s="124"/>
      <c r="AOY742" s="124"/>
      <c r="AOZ742" s="124"/>
      <c r="APA742" s="124"/>
      <c r="APB742" s="124"/>
      <c r="APC742" s="124"/>
      <c r="APD742" s="124"/>
      <c r="APE742" s="124"/>
      <c r="APF742" s="124"/>
      <c r="APG742" s="124"/>
      <c r="APH742" s="124"/>
      <c r="API742" s="124"/>
      <c r="APJ742" s="124"/>
      <c r="APK742" s="124"/>
      <c r="APL742" s="124"/>
      <c r="APM742" s="124"/>
      <c r="APN742" s="124"/>
      <c r="APO742" s="124"/>
      <c r="APP742" s="124"/>
      <c r="APQ742" s="124"/>
      <c r="APR742" s="124"/>
      <c r="APS742" s="124"/>
      <c r="APT742" s="124"/>
      <c r="APU742" s="124"/>
      <c r="APV742" s="124"/>
      <c r="APW742" s="124"/>
      <c r="APX742" s="124"/>
      <c r="APY742" s="124"/>
      <c r="APZ742" s="124"/>
      <c r="AQA742" s="124"/>
      <c r="AQB742" s="124"/>
      <c r="AQC742" s="124"/>
      <c r="AQD742" s="124"/>
      <c r="AQE742" s="124"/>
      <c r="AQF742" s="124"/>
      <c r="AQG742" s="124"/>
      <c r="AQH742" s="124"/>
      <c r="AQI742" s="124"/>
      <c r="AQJ742" s="124"/>
      <c r="AQK742" s="124"/>
      <c r="AQL742" s="124"/>
      <c r="AQM742" s="124"/>
      <c r="AQN742" s="124"/>
      <c r="AQO742" s="124"/>
      <c r="AQP742" s="124"/>
      <c r="AQQ742" s="124"/>
      <c r="AQR742" s="124"/>
      <c r="AQS742" s="124"/>
      <c r="AQT742" s="124"/>
      <c r="AQU742" s="124"/>
      <c r="AQV742" s="124"/>
      <c r="AQW742" s="124"/>
      <c r="AQX742" s="124"/>
      <c r="AQY742" s="124"/>
      <c r="AQZ742" s="124"/>
      <c r="ARA742" s="124"/>
      <c r="ARB742" s="124"/>
      <c r="ARC742" s="124"/>
      <c r="ARD742" s="124"/>
      <c r="ARE742" s="124"/>
      <c r="ARF742" s="124"/>
      <c r="ARG742" s="124"/>
      <c r="ARH742" s="124"/>
      <c r="ARI742" s="124"/>
      <c r="ARJ742" s="124"/>
      <c r="ARK742" s="124"/>
      <c r="ARL742" s="124"/>
      <c r="ARM742" s="124"/>
      <c r="ARN742" s="124"/>
      <c r="ARO742" s="124"/>
      <c r="ARP742" s="124"/>
      <c r="ARQ742" s="124"/>
      <c r="ARR742" s="124"/>
      <c r="ARS742" s="124"/>
      <c r="ART742" s="124"/>
      <c r="ARU742" s="124"/>
      <c r="ARV742" s="124"/>
      <c r="ARW742" s="124"/>
      <c r="ARX742" s="124"/>
      <c r="ARY742" s="124"/>
      <c r="ARZ742" s="124"/>
      <c r="ASA742" s="124"/>
      <c r="ASB742" s="124"/>
      <c r="ASC742" s="124"/>
      <c r="ASD742" s="124"/>
      <c r="ASE742" s="124"/>
      <c r="ASF742" s="124"/>
      <c r="ASG742" s="124"/>
      <c r="ASH742" s="124"/>
      <c r="ASI742" s="124"/>
      <c r="ASJ742" s="124"/>
      <c r="ASK742" s="124"/>
      <c r="ASL742" s="124"/>
      <c r="ASM742" s="124"/>
      <c r="ASN742" s="124"/>
      <c r="ASO742" s="124"/>
      <c r="ASP742" s="124"/>
      <c r="ASQ742" s="124"/>
      <c r="ASR742" s="124"/>
      <c r="ASS742" s="124"/>
      <c r="AST742" s="124"/>
      <c r="ASU742" s="124"/>
      <c r="ASV742" s="124"/>
      <c r="ASW742" s="124"/>
      <c r="ASX742" s="124"/>
      <c r="ASY742" s="124"/>
      <c r="ASZ742" s="124"/>
      <c r="ATA742" s="124"/>
      <c r="ATB742" s="124"/>
      <c r="ATC742" s="124"/>
      <c r="ATD742" s="124"/>
      <c r="ATE742" s="124"/>
      <c r="ATF742" s="124"/>
      <c r="ATG742" s="124"/>
      <c r="ATH742" s="124"/>
      <c r="ATI742" s="124"/>
      <c r="ATJ742" s="124"/>
      <c r="ATK742" s="124"/>
      <c r="ATL742" s="124"/>
      <c r="ATM742" s="124"/>
      <c r="ATN742" s="124"/>
      <c r="ATO742" s="124"/>
      <c r="ATP742" s="124"/>
      <c r="ATQ742" s="124"/>
      <c r="ATR742" s="124"/>
      <c r="ATS742" s="124"/>
      <c r="ATT742" s="124"/>
      <c r="ATU742" s="124"/>
      <c r="ATV742" s="124"/>
      <c r="ATW742" s="124"/>
      <c r="ATX742" s="124"/>
      <c r="ATY742" s="124"/>
      <c r="ATZ742" s="124"/>
      <c r="AUA742" s="124"/>
      <c r="AUB742" s="124"/>
      <c r="AUC742" s="124"/>
      <c r="AUD742" s="124"/>
      <c r="AUE742" s="124"/>
      <c r="AUF742" s="124"/>
      <c r="AUG742" s="124"/>
      <c r="AUH742" s="124"/>
      <c r="AUI742" s="124"/>
      <c r="AUJ742" s="124"/>
      <c r="AUK742" s="124"/>
      <c r="AUL742" s="124"/>
      <c r="AUM742" s="124"/>
      <c r="AUN742" s="124"/>
      <c r="AUO742" s="124"/>
      <c r="AUP742" s="124"/>
      <c r="AUQ742" s="124"/>
      <c r="AUR742" s="124"/>
      <c r="AUS742" s="124"/>
      <c r="AUT742" s="124"/>
      <c r="AUU742" s="124"/>
      <c r="AUV742" s="124"/>
      <c r="AUW742" s="124"/>
      <c r="AUX742" s="124"/>
      <c r="AUY742" s="124"/>
      <c r="AUZ742" s="124"/>
      <c r="AVA742" s="124"/>
      <c r="AVB742" s="124"/>
      <c r="AVC742" s="124"/>
      <c r="AVD742" s="124"/>
      <c r="AVE742" s="124"/>
      <c r="AVF742" s="124"/>
      <c r="AVG742" s="124"/>
      <c r="AVH742" s="124"/>
      <c r="AVI742" s="124"/>
      <c r="AVJ742" s="124"/>
      <c r="AVK742" s="124"/>
      <c r="AVL742" s="124"/>
      <c r="AVM742" s="124"/>
      <c r="AVN742" s="124"/>
      <c r="AVO742" s="124"/>
      <c r="AVP742" s="124"/>
      <c r="AVQ742" s="124"/>
      <c r="AVR742" s="124"/>
      <c r="AVS742" s="124"/>
      <c r="AVT742" s="124"/>
      <c r="AVU742" s="124"/>
      <c r="AVV742" s="124"/>
      <c r="AVW742" s="124"/>
      <c r="AVX742" s="124"/>
      <c r="AVY742" s="124"/>
      <c r="AVZ742" s="124"/>
      <c r="AWA742" s="124"/>
      <c r="AWB742" s="124"/>
      <c r="AWC742" s="124"/>
      <c r="AWD742" s="124"/>
      <c r="AWE742" s="124"/>
      <c r="AWF742" s="124"/>
      <c r="AWG742" s="124"/>
      <c r="AWH742" s="124"/>
      <c r="AWI742" s="124"/>
      <c r="AWJ742" s="124"/>
      <c r="AWK742" s="124"/>
      <c r="AWL742" s="124"/>
      <c r="AWM742" s="124"/>
      <c r="AWN742" s="124"/>
      <c r="AWO742" s="124"/>
      <c r="AWP742" s="124"/>
      <c r="AWQ742" s="124"/>
      <c r="AWR742" s="124"/>
      <c r="AWS742" s="124"/>
      <c r="AWT742" s="124"/>
      <c r="AWU742" s="124"/>
      <c r="AWV742" s="124"/>
      <c r="AWW742" s="124"/>
      <c r="AWX742" s="124"/>
      <c r="AWY742" s="124"/>
      <c r="AWZ742" s="124"/>
      <c r="AXA742" s="124"/>
      <c r="AXB742" s="124"/>
      <c r="AXC742" s="124"/>
      <c r="AXD742" s="124"/>
      <c r="AXE742" s="124"/>
      <c r="AXF742" s="124"/>
      <c r="AXG742" s="124"/>
      <c r="AXH742" s="124"/>
      <c r="AXI742" s="124"/>
      <c r="AXJ742" s="124"/>
      <c r="AXK742" s="124"/>
      <c r="AXL742" s="124"/>
      <c r="AXM742" s="124"/>
      <c r="AXN742" s="124"/>
      <c r="AXO742" s="124"/>
      <c r="AXP742" s="124"/>
      <c r="AXQ742" s="124"/>
      <c r="AXR742" s="124"/>
      <c r="AXS742" s="124"/>
      <c r="AXT742" s="124"/>
      <c r="AXU742" s="124"/>
      <c r="AXV742" s="124"/>
      <c r="AXW742" s="124"/>
      <c r="AXX742" s="124"/>
      <c r="AXY742" s="124"/>
      <c r="AXZ742" s="124"/>
      <c r="AYA742" s="124"/>
      <c r="AYB742" s="124"/>
      <c r="AYC742" s="124"/>
      <c r="AYD742" s="124"/>
      <c r="AYE742" s="124"/>
      <c r="AYF742" s="124"/>
      <c r="AYG742" s="124"/>
      <c r="AYH742" s="124"/>
      <c r="AYI742" s="124"/>
      <c r="AYJ742" s="124"/>
      <c r="AYK742" s="124"/>
      <c r="AYL742" s="124"/>
      <c r="AYM742" s="124"/>
      <c r="AYN742" s="124"/>
      <c r="AYO742" s="124"/>
      <c r="AYP742" s="124"/>
      <c r="AYQ742" s="124"/>
      <c r="AYR742" s="124"/>
      <c r="AYS742" s="124"/>
      <c r="AYT742" s="124"/>
      <c r="AYU742" s="124"/>
      <c r="AYV742" s="124"/>
      <c r="AYW742" s="124"/>
      <c r="AYX742" s="124"/>
      <c r="AYY742" s="124"/>
      <c r="AYZ742" s="124"/>
      <c r="AZA742" s="124"/>
      <c r="AZB742" s="124"/>
      <c r="AZC742" s="124"/>
      <c r="AZD742" s="124"/>
      <c r="AZE742" s="124"/>
      <c r="AZF742" s="124"/>
      <c r="AZG742" s="124"/>
      <c r="AZH742" s="124"/>
      <c r="AZI742" s="124"/>
      <c r="AZJ742" s="124"/>
      <c r="AZK742" s="124"/>
      <c r="AZL742" s="124"/>
      <c r="AZM742" s="124"/>
      <c r="AZN742" s="124"/>
      <c r="AZO742" s="124"/>
      <c r="AZP742" s="124"/>
      <c r="AZQ742" s="124"/>
      <c r="AZR742" s="124"/>
      <c r="AZS742" s="124"/>
      <c r="AZT742" s="124"/>
      <c r="AZU742" s="124"/>
      <c r="AZV742" s="124"/>
      <c r="AZW742" s="124"/>
      <c r="AZX742" s="124"/>
      <c r="AZY742" s="124"/>
      <c r="AZZ742" s="124"/>
      <c r="BAA742" s="124"/>
      <c r="BAB742" s="124"/>
      <c r="BAC742" s="124"/>
      <c r="BAD742" s="124"/>
      <c r="BAE742" s="124"/>
      <c r="BAF742" s="124"/>
      <c r="BAG742" s="124"/>
      <c r="BAH742" s="124"/>
      <c r="BAI742" s="124"/>
      <c r="BAJ742" s="124"/>
      <c r="BAK742" s="124"/>
      <c r="BAL742" s="124"/>
      <c r="BAM742" s="124"/>
      <c r="BAN742" s="124"/>
      <c r="BAO742" s="124"/>
      <c r="BAP742" s="124"/>
      <c r="BAQ742" s="124"/>
      <c r="BAR742" s="124"/>
      <c r="BAS742" s="124"/>
      <c r="BAT742" s="124"/>
      <c r="BAU742" s="124"/>
      <c r="BAV742" s="124"/>
      <c r="BAW742" s="124"/>
      <c r="BAX742" s="124"/>
      <c r="BAY742" s="124"/>
      <c r="BAZ742" s="124"/>
      <c r="BBA742" s="124"/>
      <c r="BBB742" s="124"/>
      <c r="BBC742" s="124"/>
      <c r="BBD742" s="124"/>
      <c r="BBE742" s="124"/>
      <c r="BBF742" s="124"/>
      <c r="BBG742" s="124"/>
      <c r="BBH742" s="124"/>
      <c r="BBI742" s="124"/>
      <c r="BBJ742" s="124"/>
      <c r="BBK742" s="124"/>
      <c r="BBL742" s="124"/>
      <c r="BBM742" s="124"/>
      <c r="BBN742" s="124"/>
      <c r="BBO742" s="124"/>
      <c r="BBP742" s="124"/>
      <c r="BBQ742" s="124"/>
      <c r="BBR742" s="124"/>
      <c r="BBS742" s="124"/>
      <c r="BBT742" s="124"/>
      <c r="BBU742" s="124"/>
      <c r="BBV742" s="124"/>
      <c r="BBW742" s="124"/>
      <c r="BBX742" s="124"/>
      <c r="BBY742" s="124"/>
      <c r="BBZ742" s="124"/>
      <c r="BCA742" s="124"/>
      <c r="BCB742" s="124"/>
      <c r="BCC742" s="124"/>
      <c r="BCD742" s="124"/>
      <c r="BCE742" s="124"/>
      <c r="BCF742" s="124"/>
      <c r="BCG742" s="124"/>
      <c r="BCH742" s="124"/>
      <c r="BCI742" s="124"/>
      <c r="BCJ742" s="124"/>
      <c r="BCK742" s="124"/>
      <c r="BCL742" s="124"/>
      <c r="BCM742" s="124"/>
      <c r="BCN742" s="124"/>
      <c r="BCO742" s="124"/>
      <c r="BCP742" s="124"/>
      <c r="BCQ742" s="124"/>
      <c r="BCR742" s="124"/>
      <c r="BCS742" s="124"/>
      <c r="BCT742" s="124"/>
      <c r="BCU742" s="124"/>
      <c r="BCV742" s="124"/>
      <c r="BCW742" s="124"/>
      <c r="BCX742" s="124"/>
      <c r="BCY742" s="124"/>
      <c r="BCZ742" s="124"/>
      <c r="BDA742" s="124"/>
      <c r="BDB742" s="124"/>
      <c r="BDC742" s="124"/>
      <c r="BDD742" s="124"/>
      <c r="BDE742" s="124"/>
      <c r="BDF742" s="124"/>
      <c r="BDG742" s="124"/>
      <c r="BDH742" s="124"/>
      <c r="BDI742" s="124"/>
      <c r="BDJ742" s="124"/>
      <c r="BDK742" s="124"/>
      <c r="BDL742" s="124"/>
      <c r="BDM742" s="124"/>
      <c r="BDN742" s="124"/>
      <c r="BDO742" s="124"/>
      <c r="BDP742" s="124"/>
      <c r="BDQ742" s="124"/>
      <c r="BDR742" s="124"/>
      <c r="BDS742" s="124"/>
      <c r="BDT742" s="124"/>
      <c r="BDU742" s="124"/>
      <c r="BDV742" s="124"/>
      <c r="BDW742" s="124"/>
      <c r="BDX742" s="124"/>
      <c r="BDY742" s="124"/>
      <c r="BDZ742" s="124"/>
      <c r="BEA742" s="124"/>
      <c r="BEB742" s="124"/>
      <c r="BEC742" s="124"/>
      <c r="BED742" s="124"/>
      <c r="BEE742" s="124"/>
      <c r="BEF742" s="124"/>
      <c r="BEG742" s="124"/>
      <c r="BEH742" s="124"/>
      <c r="BEI742" s="124"/>
      <c r="BEJ742" s="124"/>
      <c r="BEK742" s="124"/>
      <c r="BEL742" s="124"/>
      <c r="BEM742" s="124"/>
      <c r="BEN742" s="124"/>
      <c r="BEO742" s="124"/>
      <c r="BEP742" s="124"/>
      <c r="BEQ742" s="124"/>
      <c r="BER742" s="124"/>
      <c r="BES742" s="124"/>
      <c r="BET742" s="124"/>
      <c r="BEU742" s="124"/>
      <c r="BEV742" s="124"/>
      <c r="BEW742" s="124"/>
      <c r="BEX742" s="124"/>
      <c r="BEY742" s="124"/>
      <c r="BEZ742" s="124"/>
      <c r="BFA742" s="124"/>
      <c r="BFB742" s="124"/>
      <c r="BFC742" s="124"/>
      <c r="BFD742" s="124"/>
      <c r="BFE742" s="124"/>
      <c r="BFF742" s="124"/>
      <c r="BFG742" s="124"/>
      <c r="BFH742" s="124"/>
      <c r="BFI742" s="124"/>
      <c r="BFJ742" s="124"/>
      <c r="BFK742" s="124"/>
      <c r="BFL742" s="124"/>
      <c r="BFM742" s="124"/>
      <c r="BFN742" s="124"/>
      <c r="BFO742" s="124"/>
      <c r="BFP742" s="124"/>
      <c r="BFQ742" s="124"/>
      <c r="BFR742" s="124"/>
      <c r="BFS742" s="124"/>
      <c r="BFT742" s="124"/>
      <c r="BFU742" s="124"/>
      <c r="BFV742" s="124"/>
      <c r="BFW742" s="124"/>
      <c r="BFX742" s="124"/>
      <c r="BFY742" s="124"/>
      <c r="BFZ742" s="124"/>
      <c r="BGA742" s="124"/>
      <c r="BGB742" s="124"/>
      <c r="BGC742" s="124"/>
      <c r="BGD742" s="124"/>
      <c r="BGE742" s="124"/>
      <c r="BGF742" s="124"/>
      <c r="BGG742" s="124"/>
      <c r="BGH742" s="124"/>
      <c r="BGI742" s="124"/>
      <c r="BGJ742" s="124"/>
      <c r="BGK742" s="124"/>
      <c r="BGL742" s="124"/>
      <c r="BGM742" s="124"/>
      <c r="BGN742" s="124"/>
      <c r="BGO742" s="124"/>
      <c r="BGP742" s="124"/>
      <c r="BGQ742" s="124"/>
      <c r="BGR742" s="124"/>
      <c r="BGS742" s="124"/>
      <c r="BGT742" s="124"/>
      <c r="BGU742" s="124"/>
      <c r="BGV742" s="124"/>
      <c r="BGW742" s="124"/>
      <c r="BGX742" s="124"/>
      <c r="BGY742" s="124"/>
      <c r="BGZ742" s="124"/>
      <c r="BHA742" s="124"/>
      <c r="BHB742" s="124"/>
      <c r="BHC742" s="124"/>
      <c r="BHD742" s="124"/>
      <c r="BHE742" s="124"/>
      <c r="BHF742" s="124"/>
      <c r="BHG742" s="124"/>
      <c r="BHH742" s="124"/>
      <c r="BHI742" s="124"/>
      <c r="BHJ742" s="124"/>
      <c r="BHK742" s="124"/>
      <c r="BHL742" s="124"/>
      <c r="BHM742" s="124"/>
      <c r="BHN742" s="124"/>
      <c r="BHO742" s="124"/>
      <c r="BHP742" s="124"/>
      <c r="BHQ742" s="124"/>
      <c r="BHR742" s="124"/>
      <c r="BHS742" s="124"/>
      <c r="BHT742" s="124"/>
      <c r="BHU742" s="124"/>
      <c r="BHV742" s="124"/>
      <c r="BHW742" s="124"/>
      <c r="BHX742" s="124"/>
      <c r="BHY742" s="124"/>
      <c r="BHZ742" s="124"/>
      <c r="BIA742" s="124"/>
      <c r="BIB742" s="124"/>
      <c r="BIC742" s="124"/>
      <c r="BID742" s="124"/>
      <c r="BIE742" s="124"/>
      <c r="BIF742" s="124"/>
      <c r="BIG742" s="124"/>
      <c r="BIH742" s="124"/>
      <c r="BII742" s="124"/>
      <c r="BIJ742" s="124"/>
      <c r="BIK742" s="124"/>
      <c r="BIL742" s="124"/>
      <c r="BIM742" s="124"/>
      <c r="BIN742" s="124"/>
      <c r="BIO742" s="124"/>
      <c r="BIP742" s="124"/>
      <c r="BIQ742" s="124"/>
      <c r="BIR742" s="124"/>
      <c r="BIS742" s="124"/>
      <c r="BIT742" s="124"/>
      <c r="BIU742" s="124"/>
      <c r="BIV742" s="124"/>
      <c r="BIW742" s="124"/>
      <c r="BIX742" s="124"/>
      <c r="BIY742" s="124"/>
      <c r="BIZ742" s="124"/>
      <c r="BJA742" s="124"/>
      <c r="BJB742" s="124"/>
      <c r="BJC742" s="124"/>
      <c r="BJD742" s="124"/>
      <c r="BJE742" s="124"/>
      <c r="BJF742" s="124"/>
      <c r="BJG742" s="124"/>
      <c r="BJH742" s="124"/>
      <c r="BJI742" s="124"/>
      <c r="BJJ742" s="124"/>
      <c r="BJK742" s="124"/>
      <c r="BJL742" s="124"/>
      <c r="BJM742" s="124"/>
      <c r="BJN742" s="124"/>
      <c r="BJO742" s="124"/>
      <c r="BJP742" s="124"/>
      <c r="BJQ742" s="124"/>
      <c r="BJR742" s="124"/>
      <c r="BJS742" s="124"/>
      <c r="BJT742" s="124"/>
      <c r="BJU742" s="124"/>
      <c r="BJV742" s="124"/>
      <c r="BJW742" s="124"/>
      <c r="BJX742" s="124"/>
      <c r="BJY742" s="124"/>
      <c r="BJZ742" s="124"/>
      <c r="BKA742" s="124"/>
      <c r="BKB742" s="124"/>
      <c r="BKC742" s="124"/>
      <c r="BKD742" s="124"/>
      <c r="BKE742" s="124"/>
      <c r="BKF742" s="124"/>
      <c r="BKG742" s="124"/>
      <c r="BKH742" s="124"/>
      <c r="BKI742" s="124"/>
      <c r="BKJ742" s="124"/>
      <c r="BKK742" s="124"/>
      <c r="BKL742" s="124"/>
      <c r="BKM742" s="124"/>
      <c r="BKN742" s="124"/>
      <c r="BKO742" s="124"/>
      <c r="BKP742" s="124"/>
      <c r="BKQ742" s="124"/>
      <c r="BKR742" s="124"/>
      <c r="BKS742" s="124"/>
      <c r="BKT742" s="124"/>
      <c r="BKU742" s="124"/>
      <c r="BKV742" s="124"/>
      <c r="BKW742" s="124"/>
      <c r="BKX742" s="124"/>
      <c r="BKY742" s="124"/>
      <c r="BKZ742" s="124"/>
      <c r="BLA742" s="124"/>
      <c r="BLB742" s="124"/>
      <c r="BLC742" s="124"/>
      <c r="BLD742" s="124"/>
      <c r="BLE742" s="124"/>
      <c r="BLF742" s="124"/>
      <c r="BLG742" s="124"/>
      <c r="BLH742" s="124"/>
      <c r="BLI742" s="124"/>
      <c r="BLJ742" s="124"/>
      <c r="BLK742" s="124"/>
      <c r="BLL742" s="124"/>
      <c r="BLM742" s="124"/>
      <c r="BLN742" s="124"/>
      <c r="BLO742" s="124"/>
      <c r="BLP742" s="124"/>
      <c r="BLQ742" s="124"/>
      <c r="BLR742" s="124"/>
      <c r="BLS742" s="124"/>
      <c r="BLT742" s="124"/>
      <c r="BLU742" s="124"/>
      <c r="BLV742" s="124"/>
      <c r="BLW742" s="124"/>
      <c r="BLX742" s="124"/>
      <c r="BLY742" s="124"/>
      <c r="BLZ742" s="124"/>
      <c r="BMA742" s="124"/>
      <c r="BMB742" s="124"/>
      <c r="BMC742" s="124"/>
      <c r="BMD742" s="124"/>
      <c r="BME742" s="124"/>
      <c r="BMF742" s="124"/>
      <c r="BMG742" s="124"/>
      <c r="BMH742" s="124"/>
      <c r="BMI742" s="124"/>
      <c r="BMJ742" s="124"/>
      <c r="BMK742" s="124"/>
      <c r="BML742" s="124"/>
      <c r="BMM742" s="124"/>
      <c r="BMN742" s="124"/>
      <c r="BMO742" s="124"/>
      <c r="BMP742" s="124"/>
      <c r="BMQ742" s="124"/>
      <c r="BMR742" s="124"/>
      <c r="BMS742" s="124"/>
      <c r="BMT742" s="124"/>
      <c r="BMU742" s="124"/>
      <c r="BMV742" s="124"/>
      <c r="BMW742" s="124"/>
      <c r="BMX742" s="124"/>
      <c r="BMY742" s="124"/>
      <c r="BMZ742" s="124"/>
      <c r="BNA742" s="124"/>
      <c r="BNB742" s="124"/>
      <c r="BNC742" s="124"/>
      <c r="BND742" s="124"/>
      <c r="BNE742" s="124"/>
      <c r="BNF742" s="124"/>
      <c r="BNG742" s="124"/>
      <c r="BNH742" s="124"/>
      <c r="BNI742" s="124"/>
      <c r="BNJ742" s="124"/>
      <c r="BNK742" s="124"/>
      <c r="BNL742" s="124"/>
      <c r="BNM742" s="124"/>
      <c r="BNN742" s="124"/>
      <c r="BNO742" s="124"/>
      <c r="BNP742" s="124"/>
      <c r="BNQ742" s="124"/>
      <c r="BNR742" s="124"/>
      <c r="BNS742" s="124"/>
      <c r="BNT742" s="124"/>
      <c r="BNU742" s="124"/>
      <c r="BNV742" s="124"/>
      <c r="BNW742" s="124"/>
      <c r="BNX742" s="124"/>
      <c r="BNY742" s="124"/>
      <c r="BNZ742" s="124"/>
      <c r="BOA742" s="124"/>
      <c r="BOB742" s="124"/>
      <c r="BOC742" s="124"/>
      <c r="BOD742" s="124"/>
      <c r="BOE742" s="124"/>
      <c r="BOF742" s="124"/>
      <c r="BOG742" s="124"/>
      <c r="BOH742" s="124"/>
      <c r="BOI742" s="124"/>
      <c r="BOJ742" s="124"/>
      <c r="BOK742" s="124"/>
      <c r="BOL742" s="124"/>
      <c r="BOM742" s="124"/>
      <c r="BON742" s="124"/>
      <c r="BOO742" s="124"/>
      <c r="BOP742" s="124"/>
      <c r="BOQ742" s="124"/>
      <c r="BOR742" s="124"/>
      <c r="BOS742" s="124"/>
      <c r="BOT742" s="124"/>
      <c r="BOU742" s="124"/>
      <c r="BOV742" s="124"/>
      <c r="BOW742" s="124"/>
      <c r="BOX742" s="124"/>
      <c r="BOY742" s="124"/>
      <c r="BOZ742" s="124"/>
      <c r="BPA742" s="124"/>
      <c r="BPB742" s="124"/>
      <c r="BPC742" s="124"/>
      <c r="BPD742" s="124"/>
      <c r="BPE742" s="124"/>
      <c r="BPF742" s="124"/>
      <c r="BPG742" s="124"/>
      <c r="BPH742" s="124"/>
      <c r="BPI742" s="124"/>
      <c r="BPJ742" s="124"/>
      <c r="BPK742" s="124"/>
      <c r="BPL742" s="124"/>
      <c r="BPM742" s="124"/>
      <c r="BPN742" s="124"/>
      <c r="BPO742" s="124"/>
      <c r="BPP742" s="124"/>
      <c r="BPQ742" s="124"/>
      <c r="BPR742" s="124"/>
      <c r="BPS742" s="124"/>
      <c r="BPT742" s="124"/>
      <c r="BPU742" s="124"/>
      <c r="BPV742" s="124"/>
      <c r="BPW742" s="124"/>
      <c r="BPX742" s="124"/>
      <c r="BPY742" s="124"/>
      <c r="BPZ742" s="124"/>
      <c r="BQA742" s="124"/>
      <c r="BQB742" s="124"/>
      <c r="BQC742" s="124"/>
      <c r="BQD742" s="124"/>
      <c r="BQE742" s="124"/>
      <c r="BQF742" s="124"/>
      <c r="BQG742" s="124"/>
      <c r="BQH742" s="124"/>
      <c r="BQI742" s="124"/>
      <c r="BQJ742" s="124"/>
      <c r="BQK742" s="124"/>
      <c r="BQL742" s="124"/>
      <c r="BQM742" s="124"/>
      <c r="BQN742" s="124"/>
      <c r="BQO742" s="124"/>
      <c r="BQP742" s="124"/>
      <c r="BQQ742" s="124"/>
      <c r="BQR742" s="124"/>
      <c r="BQS742" s="124"/>
      <c r="BQT742" s="124"/>
      <c r="BQU742" s="124"/>
      <c r="BQV742" s="124"/>
      <c r="BQW742" s="124"/>
      <c r="BQX742" s="124"/>
      <c r="BQY742" s="124"/>
      <c r="BQZ742" s="124"/>
      <c r="BRA742" s="124"/>
      <c r="BRB742" s="124"/>
      <c r="BRC742" s="124"/>
      <c r="BRD742" s="124"/>
      <c r="BRE742" s="124"/>
      <c r="BRF742" s="124"/>
      <c r="BRG742" s="124"/>
      <c r="BRH742" s="124"/>
      <c r="BRI742" s="124"/>
      <c r="BRJ742" s="124"/>
      <c r="BRK742" s="124"/>
      <c r="BRL742" s="124"/>
      <c r="BRM742" s="124"/>
      <c r="BRN742" s="124"/>
      <c r="BRO742" s="124"/>
      <c r="BRP742" s="124"/>
      <c r="BRQ742" s="124"/>
      <c r="BRR742" s="124"/>
      <c r="BRS742" s="124"/>
      <c r="BRT742" s="124"/>
      <c r="BRU742" s="124"/>
      <c r="BRV742" s="124"/>
      <c r="BRW742" s="124"/>
      <c r="BRX742" s="124"/>
      <c r="BRY742" s="124"/>
      <c r="BRZ742" s="124"/>
      <c r="BSA742" s="124"/>
      <c r="BSB742" s="124"/>
      <c r="BSC742" s="124"/>
      <c r="BSD742" s="124"/>
      <c r="BSE742" s="124"/>
      <c r="BSF742" s="124"/>
      <c r="BSG742" s="124"/>
      <c r="BSH742" s="124"/>
      <c r="BSI742" s="124"/>
      <c r="BSJ742" s="124"/>
      <c r="BSK742" s="124"/>
      <c r="BSL742" s="124"/>
      <c r="BSM742" s="124"/>
      <c r="BSN742" s="124"/>
      <c r="BSO742" s="124"/>
      <c r="BSP742" s="124"/>
      <c r="BSQ742" s="124"/>
      <c r="BSR742" s="124"/>
      <c r="BSS742" s="124"/>
      <c r="BST742" s="124"/>
      <c r="BSU742" s="124"/>
      <c r="BSV742" s="124"/>
      <c r="BSW742" s="124"/>
      <c r="BSX742" s="124"/>
      <c r="BSY742" s="124"/>
      <c r="BSZ742" s="124"/>
      <c r="BTA742" s="124"/>
      <c r="BTB742" s="124"/>
      <c r="BTC742" s="124"/>
      <c r="BTD742" s="124"/>
      <c r="BTE742" s="124"/>
      <c r="BTF742" s="124"/>
      <c r="BTG742" s="124"/>
      <c r="BTH742" s="124"/>
      <c r="BTI742" s="124"/>
      <c r="BTJ742" s="124"/>
      <c r="BTK742" s="124"/>
      <c r="BTL742" s="124"/>
      <c r="BTM742" s="124"/>
      <c r="BTN742" s="124"/>
      <c r="BTO742" s="124"/>
      <c r="BTP742" s="124"/>
      <c r="BTQ742" s="124"/>
      <c r="BTR742" s="124"/>
      <c r="BTS742" s="124"/>
      <c r="BTT742" s="124"/>
      <c r="BTU742" s="124"/>
      <c r="BTV742" s="124"/>
      <c r="BTW742" s="124"/>
      <c r="BTX742" s="124"/>
      <c r="BTY742" s="124"/>
      <c r="BTZ742" s="124"/>
      <c r="BUA742" s="124"/>
      <c r="BUB742" s="124"/>
      <c r="BUC742" s="124"/>
      <c r="BUD742" s="124"/>
      <c r="BUE742" s="124"/>
      <c r="BUF742" s="124"/>
      <c r="BUG742" s="124"/>
      <c r="BUH742" s="124"/>
      <c r="BUI742" s="124"/>
      <c r="BUJ742" s="124"/>
      <c r="BUK742" s="124"/>
      <c r="BUL742" s="124"/>
      <c r="BUM742" s="124"/>
      <c r="BUN742" s="124"/>
      <c r="BUO742" s="124"/>
      <c r="BUP742" s="124"/>
      <c r="BUQ742" s="124"/>
      <c r="BUR742" s="124"/>
      <c r="BUS742" s="124"/>
      <c r="BUT742" s="124"/>
      <c r="BUU742" s="124"/>
      <c r="BUV742" s="124"/>
      <c r="BUW742" s="124"/>
      <c r="BUX742" s="124"/>
      <c r="BUY742" s="124"/>
      <c r="BUZ742" s="124"/>
      <c r="BVA742" s="124"/>
      <c r="BVB742" s="124"/>
      <c r="BVC742" s="124"/>
      <c r="BVD742" s="124"/>
      <c r="BVE742" s="124"/>
      <c r="BVF742" s="124"/>
      <c r="BVG742" s="124"/>
      <c r="BVH742" s="124"/>
      <c r="BVI742" s="124"/>
      <c r="BVJ742" s="124"/>
      <c r="BVK742" s="124"/>
      <c r="BVL742" s="124"/>
      <c r="BVM742" s="124"/>
      <c r="BVN742" s="124"/>
      <c r="BVO742" s="124"/>
      <c r="BVP742" s="124"/>
      <c r="BVQ742" s="124"/>
      <c r="BVR742" s="124"/>
      <c r="BVS742" s="124"/>
      <c r="BVT742" s="124"/>
      <c r="BVU742" s="124"/>
      <c r="BVV742" s="124"/>
      <c r="BVW742" s="124"/>
      <c r="BVX742" s="124"/>
      <c r="BVY742" s="124"/>
      <c r="BVZ742" s="124"/>
      <c r="BWA742" s="124"/>
      <c r="BWB742" s="124"/>
      <c r="BWC742" s="124"/>
      <c r="BWD742" s="124"/>
      <c r="BWE742" s="124"/>
      <c r="BWF742" s="124"/>
      <c r="BWG742" s="124"/>
      <c r="BWH742" s="124"/>
      <c r="BWI742" s="124"/>
      <c r="BWJ742" s="124"/>
      <c r="BWK742" s="124"/>
      <c r="BWL742" s="124"/>
      <c r="BWM742" s="124"/>
      <c r="BWN742" s="124"/>
      <c r="BWO742" s="124"/>
      <c r="BWP742" s="124"/>
      <c r="BWQ742" s="124"/>
      <c r="BWR742" s="124"/>
      <c r="BWS742" s="124"/>
      <c r="BWT742" s="124"/>
      <c r="BWU742" s="124"/>
      <c r="BWV742" s="124"/>
      <c r="BWW742" s="124"/>
      <c r="BWX742" s="124"/>
      <c r="BWY742" s="124"/>
      <c r="BWZ742" s="124"/>
      <c r="BXA742" s="124"/>
      <c r="BXB742" s="124"/>
      <c r="BXC742" s="124"/>
      <c r="BXD742" s="124"/>
      <c r="BXE742" s="124"/>
      <c r="BXF742" s="124"/>
      <c r="BXG742" s="124"/>
      <c r="BXH742" s="124"/>
      <c r="BXI742" s="124"/>
      <c r="BXJ742" s="124"/>
      <c r="BXK742" s="124"/>
      <c r="BXL742" s="124"/>
      <c r="BXM742" s="124"/>
      <c r="BXN742" s="124"/>
      <c r="BXO742" s="124"/>
      <c r="BXP742" s="124"/>
      <c r="BXQ742" s="124"/>
      <c r="BXR742" s="124"/>
      <c r="BXS742" s="124"/>
      <c r="BXT742" s="124"/>
      <c r="BXU742" s="124"/>
      <c r="BXV742" s="124"/>
      <c r="BXW742" s="124"/>
      <c r="BXX742" s="124"/>
      <c r="BXY742" s="124"/>
      <c r="BXZ742" s="124"/>
      <c r="BYA742" s="124"/>
      <c r="BYB742" s="124"/>
      <c r="BYC742" s="124"/>
      <c r="BYD742" s="124"/>
      <c r="BYE742" s="124"/>
      <c r="BYF742" s="124"/>
      <c r="BYG742" s="124"/>
      <c r="BYH742" s="124"/>
      <c r="BYI742" s="124"/>
      <c r="BYJ742" s="124"/>
      <c r="BYK742" s="124"/>
      <c r="BYL742" s="124"/>
      <c r="BYM742" s="124"/>
      <c r="BYN742" s="124"/>
      <c r="BYO742" s="124"/>
      <c r="BYP742" s="124"/>
      <c r="BYQ742" s="124"/>
      <c r="BYR742" s="124"/>
      <c r="BYS742" s="124"/>
      <c r="BYT742" s="124"/>
      <c r="BYU742" s="124"/>
      <c r="BYV742" s="124"/>
      <c r="BYW742" s="124"/>
      <c r="BYX742" s="124"/>
      <c r="BYY742" s="124"/>
      <c r="BYZ742" s="124"/>
      <c r="BZA742" s="124"/>
      <c r="BZB742" s="124"/>
      <c r="BZC742" s="124"/>
      <c r="BZD742" s="124"/>
      <c r="BZE742" s="124"/>
      <c r="BZF742" s="124"/>
      <c r="BZG742" s="124"/>
      <c r="BZH742" s="124"/>
      <c r="BZI742" s="124"/>
      <c r="BZJ742" s="124"/>
      <c r="BZK742" s="124"/>
      <c r="BZL742" s="124"/>
      <c r="BZM742" s="124"/>
      <c r="BZN742" s="124"/>
      <c r="BZO742" s="124"/>
      <c r="BZP742" s="124"/>
      <c r="BZQ742" s="124"/>
      <c r="BZR742" s="124"/>
      <c r="BZS742" s="124"/>
      <c r="BZT742" s="124"/>
      <c r="BZU742" s="124"/>
      <c r="BZV742" s="124"/>
      <c r="BZW742" s="124"/>
      <c r="BZX742" s="124"/>
      <c r="BZY742" s="124"/>
      <c r="BZZ742" s="124"/>
      <c r="CAA742" s="124"/>
      <c r="CAB742" s="124"/>
      <c r="CAC742" s="124"/>
      <c r="CAD742" s="124"/>
      <c r="CAE742" s="124"/>
      <c r="CAF742" s="124"/>
      <c r="CAG742" s="124"/>
      <c r="CAH742" s="124"/>
      <c r="CAI742" s="124"/>
      <c r="CAJ742" s="124"/>
      <c r="CAK742" s="124"/>
      <c r="CAL742" s="124"/>
      <c r="CAM742" s="124"/>
      <c r="CAN742" s="124"/>
      <c r="CAO742" s="124"/>
      <c r="CAP742" s="124"/>
      <c r="CAQ742" s="124"/>
      <c r="CAR742" s="124"/>
      <c r="CAS742" s="124"/>
      <c r="CAT742" s="124"/>
      <c r="CAU742" s="124"/>
      <c r="CAV742" s="124"/>
      <c r="CAW742" s="124"/>
      <c r="CAX742" s="124"/>
      <c r="CAY742" s="124"/>
      <c r="CAZ742" s="124"/>
      <c r="CBA742" s="124"/>
      <c r="CBB742" s="124"/>
      <c r="CBC742" s="124"/>
      <c r="CBD742" s="124"/>
      <c r="CBE742" s="124"/>
      <c r="CBF742" s="124"/>
      <c r="CBG742" s="124"/>
      <c r="CBH742" s="124"/>
      <c r="CBI742" s="124"/>
      <c r="CBJ742" s="124"/>
      <c r="CBK742" s="124"/>
      <c r="CBL742" s="124"/>
      <c r="CBM742" s="124"/>
      <c r="CBN742" s="124"/>
      <c r="CBO742" s="124"/>
      <c r="CBP742" s="124"/>
      <c r="CBQ742" s="124"/>
      <c r="CBR742" s="124"/>
      <c r="CBS742" s="124"/>
      <c r="CBT742" s="124"/>
      <c r="CBU742" s="124"/>
      <c r="CBV742" s="124"/>
      <c r="CBW742" s="124"/>
      <c r="CBX742" s="124"/>
      <c r="CBY742" s="124"/>
      <c r="CBZ742" s="124"/>
      <c r="CCA742" s="124"/>
      <c r="CCB742" s="124"/>
      <c r="CCC742" s="124"/>
      <c r="CCD742" s="124"/>
      <c r="CCE742" s="124"/>
      <c r="CCF742" s="124"/>
      <c r="CCG742" s="124"/>
      <c r="CCH742" s="124"/>
      <c r="CCI742" s="124"/>
      <c r="CCJ742" s="124"/>
      <c r="CCK742" s="124"/>
      <c r="CCL742" s="124"/>
      <c r="CCM742" s="124"/>
      <c r="CCN742" s="124"/>
      <c r="CCO742" s="124"/>
      <c r="CCP742" s="124"/>
      <c r="CCQ742" s="124"/>
      <c r="CCR742" s="124"/>
      <c r="CCS742" s="124"/>
      <c r="CCT742" s="124"/>
      <c r="CCU742" s="124"/>
      <c r="CCV742" s="124"/>
      <c r="CCW742" s="124"/>
      <c r="CCX742" s="124"/>
      <c r="CCY742" s="124"/>
      <c r="CCZ742" s="124"/>
      <c r="CDA742" s="124"/>
      <c r="CDB742" s="124"/>
      <c r="CDC742" s="124"/>
      <c r="CDD742" s="124"/>
      <c r="CDE742" s="124"/>
      <c r="CDF742" s="124"/>
      <c r="CDG742" s="124"/>
      <c r="CDH742" s="124"/>
      <c r="CDI742" s="124"/>
      <c r="CDJ742" s="124"/>
      <c r="CDK742" s="124"/>
      <c r="CDL742" s="124"/>
      <c r="CDM742" s="124"/>
      <c r="CDN742" s="124"/>
      <c r="CDO742" s="124"/>
      <c r="CDP742" s="124"/>
      <c r="CDQ742" s="124"/>
      <c r="CDR742" s="124"/>
      <c r="CDS742" s="124"/>
      <c r="CDT742" s="124"/>
      <c r="CDU742" s="124"/>
      <c r="CDV742" s="124"/>
      <c r="CDW742" s="124"/>
      <c r="CDX742" s="124"/>
      <c r="CDY742" s="124"/>
      <c r="CDZ742" s="124"/>
      <c r="CEA742" s="124"/>
      <c r="CEB742" s="124"/>
      <c r="CEC742" s="124"/>
      <c r="CED742" s="124"/>
      <c r="CEE742" s="124"/>
      <c r="CEF742" s="124"/>
      <c r="CEG742" s="124"/>
      <c r="CEH742" s="124"/>
      <c r="CEI742" s="124"/>
      <c r="CEJ742" s="124"/>
      <c r="CEK742" s="124"/>
      <c r="CEL742" s="124"/>
      <c r="CEM742" s="124"/>
      <c r="CEN742" s="124"/>
      <c r="CEO742" s="124"/>
      <c r="CEP742" s="124"/>
      <c r="CEQ742" s="124"/>
      <c r="CER742" s="124"/>
      <c r="CES742" s="124"/>
      <c r="CET742" s="124"/>
      <c r="CEU742" s="124"/>
      <c r="CEV742" s="124"/>
      <c r="CEW742" s="124"/>
      <c r="CEX742" s="124"/>
      <c r="CEY742" s="124"/>
      <c r="CEZ742" s="124"/>
      <c r="CFA742" s="124"/>
      <c r="CFB742" s="124"/>
      <c r="CFC742" s="124"/>
      <c r="CFD742" s="124"/>
      <c r="CFE742" s="124"/>
      <c r="CFF742" s="124"/>
      <c r="CFG742" s="124"/>
      <c r="CFH742" s="124"/>
      <c r="CFI742" s="124"/>
      <c r="CFJ742" s="124"/>
      <c r="CFK742" s="124"/>
      <c r="CFL742" s="124"/>
      <c r="CFM742" s="124"/>
      <c r="CFN742" s="124"/>
      <c r="CFO742" s="124"/>
      <c r="CFP742" s="124"/>
      <c r="CFQ742" s="124"/>
      <c r="CFR742" s="124"/>
      <c r="CFS742" s="124"/>
      <c r="CFT742" s="124"/>
      <c r="CFU742" s="124"/>
      <c r="CFV742" s="124"/>
      <c r="CFW742" s="124"/>
      <c r="CFX742" s="124"/>
      <c r="CFY742" s="124"/>
      <c r="CFZ742" s="124"/>
      <c r="CGA742" s="124"/>
      <c r="CGB742" s="124"/>
      <c r="CGC742" s="124"/>
      <c r="CGD742" s="124"/>
      <c r="CGE742" s="124"/>
      <c r="CGF742" s="124"/>
      <c r="CGG742" s="124"/>
      <c r="CGH742" s="124"/>
      <c r="CGI742" s="124"/>
      <c r="CGJ742" s="124"/>
      <c r="CGK742" s="124"/>
      <c r="CGL742" s="124"/>
      <c r="CGM742" s="124"/>
      <c r="CGN742" s="124"/>
      <c r="CGO742" s="124"/>
      <c r="CGP742" s="124"/>
      <c r="CGQ742" s="124"/>
      <c r="CGR742" s="124"/>
      <c r="CGS742" s="124"/>
      <c r="CGT742" s="124"/>
      <c r="CGU742" s="124"/>
      <c r="CGV742" s="124"/>
      <c r="CGW742" s="124"/>
      <c r="CGX742" s="124"/>
      <c r="CGY742" s="124"/>
      <c r="CGZ742" s="124"/>
      <c r="CHA742" s="124"/>
      <c r="CHB742" s="124"/>
      <c r="CHC742" s="124"/>
      <c r="CHD742" s="124"/>
      <c r="CHE742" s="124"/>
      <c r="CHF742" s="124"/>
      <c r="CHG742" s="124"/>
      <c r="CHH742" s="124"/>
      <c r="CHI742" s="124"/>
      <c r="CHJ742" s="124"/>
      <c r="CHK742" s="124"/>
      <c r="CHL742" s="124"/>
      <c r="CHM742" s="124"/>
      <c r="CHN742" s="124"/>
      <c r="CHO742" s="124"/>
      <c r="CHP742" s="124"/>
      <c r="CHQ742" s="124"/>
      <c r="CHR742" s="124"/>
      <c r="CHS742" s="124"/>
      <c r="CHT742" s="124"/>
      <c r="CHU742" s="124"/>
      <c r="CHV742" s="124"/>
      <c r="CHW742" s="124"/>
      <c r="CHX742" s="124"/>
      <c r="CHY742" s="124"/>
      <c r="CHZ742" s="124"/>
      <c r="CIA742" s="124"/>
      <c r="CIB742" s="124"/>
      <c r="CIC742" s="124"/>
      <c r="CID742" s="124"/>
      <c r="CIE742" s="124"/>
      <c r="CIF742" s="124"/>
      <c r="CIG742" s="124"/>
      <c r="CIH742" s="124"/>
      <c r="CII742" s="124"/>
      <c r="CIJ742" s="124"/>
      <c r="CIK742" s="124"/>
      <c r="CIL742" s="124"/>
      <c r="CIM742" s="124"/>
      <c r="CIN742" s="124"/>
      <c r="CIO742" s="124"/>
      <c r="CIP742" s="124"/>
      <c r="CIQ742" s="124"/>
      <c r="CIR742" s="124"/>
      <c r="CIS742" s="124"/>
      <c r="CIT742" s="124"/>
      <c r="CIU742" s="124"/>
      <c r="CIV742" s="124"/>
      <c r="CIW742" s="124"/>
      <c r="CIX742" s="124"/>
      <c r="CIY742" s="124"/>
      <c r="CIZ742" s="124"/>
      <c r="CJA742" s="124"/>
      <c r="CJB742" s="124"/>
      <c r="CJC742" s="124"/>
      <c r="CJD742" s="124"/>
      <c r="CJE742" s="124"/>
      <c r="CJF742" s="124"/>
      <c r="CJG742" s="124"/>
      <c r="CJH742" s="124"/>
      <c r="CJI742" s="124"/>
      <c r="CJJ742" s="124"/>
      <c r="CJK742" s="124"/>
      <c r="CJL742" s="124"/>
      <c r="CJM742" s="124"/>
      <c r="CJN742" s="124"/>
      <c r="CJO742" s="124"/>
      <c r="CJP742" s="124"/>
      <c r="CJQ742" s="124"/>
      <c r="CJR742" s="124"/>
      <c r="CJS742" s="124"/>
      <c r="CJT742" s="124"/>
      <c r="CJU742" s="124"/>
      <c r="CJV742" s="124"/>
      <c r="CJW742" s="124"/>
      <c r="CJX742" s="124"/>
      <c r="CJY742" s="124"/>
      <c r="CJZ742" s="124"/>
      <c r="CKA742" s="124"/>
      <c r="CKB742" s="124"/>
      <c r="CKC742" s="124"/>
      <c r="CKD742" s="124"/>
      <c r="CKE742" s="124"/>
      <c r="CKF742" s="124"/>
      <c r="CKG742" s="124"/>
      <c r="CKH742" s="124"/>
      <c r="CKI742" s="124"/>
      <c r="CKJ742" s="124"/>
      <c r="CKK742" s="124"/>
      <c r="CKL742" s="124"/>
      <c r="CKM742" s="124"/>
      <c r="CKN742" s="124"/>
      <c r="CKO742" s="124"/>
      <c r="CKP742" s="124"/>
      <c r="CKQ742" s="124"/>
      <c r="CKR742" s="124"/>
      <c r="CKS742" s="124"/>
      <c r="CKT742" s="124"/>
      <c r="CKU742" s="124"/>
      <c r="CKV742" s="124"/>
      <c r="CKW742" s="124"/>
      <c r="CKX742" s="124"/>
      <c r="CKY742" s="124"/>
      <c r="CKZ742" s="124"/>
      <c r="CLA742" s="124"/>
      <c r="CLB742" s="124"/>
      <c r="CLC742" s="124"/>
      <c r="CLD742" s="124"/>
      <c r="CLE742" s="124"/>
      <c r="CLF742" s="124"/>
      <c r="CLG742" s="124"/>
      <c r="CLH742" s="124"/>
      <c r="CLI742" s="124"/>
      <c r="CLJ742" s="124"/>
      <c r="CLK742" s="124"/>
      <c r="CLL742" s="124"/>
      <c r="CLM742" s="124"/>
      <c r="CLN742" s="124"/>
      <c r="CLO742" s="124"/>
      <c r="CLP742" s="124"/>
      <c r="CLQ742" s="124"/>
      <c r="CLR742" s="124"/>
      <c r="CLS742" s="124"/>
      <c r="CLT742" s="124"/>
      <c r="CLU742" s="124"/>
      <c r="CLV742" s="124"/>
      <c r="CLW742" s="124"/>
      <c r="CLX742" s="124"/>
      <c r="CLY742" s="124"/>
      <c r="CLZ742" s="124"/>
      <c r="CMA742" s="124"/>
      <c r="CMB742" s="124"/>
      <c r="CMC742" s="124"/>
      <c r="CMD742" s="124"/>
      <c r="CME742" s="124"/>
      <c r="CMF742" s="124"/>
      <c r="CMG742" s="124"/>
      <c r="CMH742" s="124"/>
      <c r="CMI742" s="124"/>
      <c r="CMJ742" s="124"/>
      <c r="CMK742" s="124"/>
      <c r="CML742" s="124"/>
      <c r="CMM742" s="124"/>
      <c r="CMN742" s="124"/>
      <c r="CMO742" s="124"/>
      <c r="CMP742" s="124"/>
      <c r="CMQ742" s="124"/>
      <c r="CMR742" s="124"/>
      <c r="CMS742" s="124"/>
      <c r="CMT742" s="124"/>
      <c r="CMU742" s="124"/>
      <c r="CMV742" s="124"/>
      <c r="CMW742" s="124"/>
      <c r="CMX742" s="124"/>
      <c r="CMY742" s="124"/>
      <c r="CMZ742" s="124"/>
      <c r="CNA742" s="124"/>
      <c r="CNB742" s="124"/>
      <c r="CNC742" s="124"/>
      <c r="CND742" s="124"/>
      <c r="CNE742" s="124"/>
      <c r="CNF742" s="124"/>
      <c r="CNG742" s="124"/>
      <c r="CNH742" s="124"/>
      <c r="CNI742" s="124"/>
      <c r="CNJ742" s="124"/>
      <c r="CNK742" s="124"/>
      <c r="CNL742" s="124"/>
      <c r="CNM742" s="124"/>
      <c r="CNN742" s="124"/>
      <c r="CNO742" s="124"/>
      <c r="CNP742" s="124"/>
      <c r="CNQ742" s="124"/>
      <c r="CNR742" s="124"/>
      <c r="CNS742" s="124"/>
      <c r="CNT742" s="124"/>
      <c r="CNU742" s="124"/>
      <c r="CNV742" s="124"/>
      <c r="CNW742" s="124"/>
      <c r="CNX742" s="124"/>
      <c r="CNY742" s="124"/>
      <c r="CNZ742" s="124"/>
      <c r="COA742" s="124"/>
      <c r="COB742" s="124"/>
      <c r="COC742" s="124"/>
      <c r="COD742" s="124"/>
      <c r="COE742" s="124"/>
      <c r="COF742" s="124"/>
      <c r="COG742" s="124"/>
      <c r="COH742" s="124"/>
      <c r="COI742" s="124"/>
      <c r="COJ742" s="124"/>
      <c r="COK742" s="124"/>
      <c r="COL742" s="124"/>
      <c r="COM742" s="124"/>
      <c r="CON742" s="124"/>
      <c r="COO742" s="124"/>
      <c r="COP742" s="124"/>
      <c r="COQ742" s="124"/>
      <c r="COR742" s="124"/>
      <c r="COS742" s="124"/>
      <c r="COT742" s="124"/>
      <c r="COU742" s="124"/>
      <c r="COV742" s="124"/>
      <c r="COW742" s="124"/>
      <c r="COX742" s="124"/>
      <c r="COY742" s="124"/>
      <c r="COZ742" s="124"/>
      <c r="CPA742" s="124"/>
      <c r="CPB742" s="124"/>
      <c r="CPC742" s="124"/>
      <c r="CPD742" s="124"/>
      <c r="CPE742" s="124"/>
      <c r="CPF742" s="124"/>
      <c r="CPG742" s="124"/>
      <c r="CPH742" s="124"/>
      <c r="CPI742" s="124"/>
      <c r="CPJ742" s="124"/>
      <c r="CPK742" s="124"/>
      <c r="CPL742" s="124"/>
      <c r="CPM742" s="124"/>
      <c r="CPN742" s="124"/>
      <c r="CPO742" s="124"/>
      <c r="CPP742" s="124"/>
      <c r="CPQ742" s="124"/>
      <c r="CPR742" s="124"/>
      <c r="CPS742" s="124"/>
      <c r="CPT742" s="124"/>
      <c r="CPU742" s="124"/>
      <c r="CPV742" s="124"/>
      <c r="CPW742" s="124"/>
      <c r="CPX742" s="124"/>
      <c r="CPY742" s="124"/>
      <c r="CPZ742" s="124"/>
      <c r="CQA742" s="124"/>
      <c r="CQB742" s="124"/>
      <c r="CQC742" s="124"/>
      <c r="CQD742" s="124"/>
      <c r="CQE742" s="124"/>
      <c r="CQF742" s="124"/>
      <c r="CQG742" s="124"/>
      <c r="CQH742" s="124"/>
      <c r="CQI742" s="124"/>
      <c r="CQJ742" s="124"/>
      <c r="CQK742" s="124"/>
      <c r="CQL742" s="124"/>
      <c r="CQM742" s="124"/>
      <c r="CQN742" s="124"/>
      <c r="CQO742" s="124"/>
      <c r="CQP742" s="124"/>
      <c r="CQQ742" s="124"/>
      <c r="CQR742" s="124"/>
      <c r="CQS742" s="124"/>
      <c r="CQT742" s="124"/>
      <c r="CQU742" s="124"/>
      <c r="CQV742" s="124"/>
      <c r="CQW742" s="124"/>
      <c r="CQX742" s="124"/>
      <c r="CQY742" s="124"/>
      <c r="CQZ742" s="124"/>
      <c r="CRA742" s="124"/>
      <c r="CRB742" s="124"/>
      <c r="CRC742" s="124"/>
      <c r="CRD742" s="124"/>
      <c r="CRE742" s="124"/>
      <c r="CRF742" s="124"/>
      <c r="CRG742" s="124"/>
      <c r="CRH742" s="124"/>
      <c r="CRI742" s="124"/>
      <c r="CRJ742" s="124"/>
      <c r="CRK742" s="124"/>
      <c r="CRL742" s="124"/>
      <c r="CRM742" s="124"/>
      <c r="CRN742" s="124"/>
      <c r="CRO742" s="124"/>
      <c r="CRP742" s="124"/>
      <c r="CRQ742" s="124"/>
      <c r="CRR742" s="124"/>
      <c r="CRS742" s="124"/>
      <c r="CRT742" s="124"/>
      <c r="CRU742" s="124"/>
      <c r="CRV742" s="124"/>
      <c r="CRW742" s="124"/>
      <c r="CRX742" s="124"/>
      <c r="CRY742" s="124"/>
      <c r="CRZ742" s="124"/>
      <c r="CSA742" s="124"/>
      <c r="CSB742" s="124"/>
      <c r="CSC742" s="124"/>
      <c r="CSD742" s="124"/>
      <c r="CSE742" s="124"/>
      <c r="CSF742" s="124"/>
      <c r="CSG742" s="124"/>
      <c r="CSH742" s="124"/>
      <c r="CSI742" s="124"/>
      <c r="CSJ742" s="124"/>
      <c r="CSK742" s="124"/>
      <c r="CSL742" s="124"/>
      <c r="CSM742" s="124"/>
      <c r="CSN742" s="124"/>
      <c r="CSO742" s="124"/>
      <c r="CSP742" s="124"/>
      <c r="CSQ742" s="124"/>
      <c r="CSR742" s="124"/>
      <c r="CSS742" s="124"/>
      <c r="CST742" s="124"/>
      <c r="CSU742" s="124"/>
      <c r="CSV742" s="124"/>
      <c r="CSW742" s="124"/>
      <c r="CSX742" s="124"/>
      <c r="CSY742" s="124"/>
      <c r="CSZ742" s="124"/>
      <c r="CTA742" s="124"/>
      <c r="CTB742" s="124"/>
      <c r="CTC742" s="124"/>
      <c r="CTD742" s="124"/>
      <c r="CTE742" s="124"/>
      <c r="CTF742" s="124"/>
      <c r="CTG742" s="124"/>
      <c r="CTH742" s="124"/>
      <c r="CTI742" s="124"/>
      <c r="CTJ742" s="124"/>
      <c r="CTK742" s="124"/>
      <c r="CTL742" s="124"/>
      <c r="CTM742" s="124"/>
      <c r="CTN742" s="124"/>
      <c r="CTO742" s="124"/>
      <c r="CTP742" s="124"/>
      <c r="CTQ742" s="124"/>
      <c r="CTR742" s="124"/>
      <c r="CTS742" s="124"/>
      <c r="CTT742" s="124"/>
      <c r="CTU742" s="124"/>
      <c r="CTV742" s="124"/>
      <c r="CTW742" s="124"/>
      <c r="CTX742" s="124"/>
      <c r="CTY742" s="124"/>
      <c r="CTZ742" s="124"/>
      <c r="CUA742" s="124"/>
      <c r="CUB742" s="124"/>
      <c r="CUC742" s="124"/>
      <c r="CUD742" s="124"/>
      <c r="CUE742" s="124"/>
      <c r="CUF742" s="124"/>
      <c r="CUG742" s="124"/>
      <c r="CUH742" s="124"/>
      <c r="CUI742" s="124"/>
      <c r="CUJ742" s="124"/>
      <c r="CUK742" s="124"/>
      <c r="CUL742" s="124"/>
      <c r="CUM742" s="124"/>
      <c r="CUN742" s="124"/>
      <c r="CUO742" s="124"/>
      <c r="CUP742" s="124"/>
      <c r="CUQ742" s="124"/>
      <c r="CUR742" s="124"/>
      <c r="CUS742" s="124"/>
      <c r="CUT742" s="124"/>
      <c r="CUU742" s="124"/>
      <c r="CUV742" s="124"/>
      <c r="CUW742" s="124"/>
      <c r="CUX742" s="124"/>
      <c r="CUY742" s="124"/>
      <c r="CUZ742" s="124"/>
      <c r="CVA742" s="124"/>
      <c r="CVB742" s="124"/>
      <c r="CVC742" s="124"/>
      <c r="CVD742" s="124"/>
      <c r="CVE742" s="124"/>
      <c r="CVF742" s="124"/>
      <c r="CVG742" s="124"/>
      <c r="CVH742" s="124"/>
      <c r="CVI742" s="124"/>
      <c r="CVJ742" s="124"/>
      <c r="CVK742" s="124"/>
      <c r="CVL742" s="124"/>
      <c r="CVM742" s="124"/>
      <c r="CVN742" s="124"/>
      <c r="CVO742" s="124"/>
      <c r="CVP742" s="124"/>
      <c r="CVQ742" s="124"/>
      <c r="CVR742" s="124"/>
      <c r="CVS742" s="124"/>
      <c r="CVT742" s="124"/>
      <c r="CVU742" s="124"/>
      <c r="CVV742" s="124"/>
      <c r="CVW742" s="124"/>
      <c r="CVX742" s="124"/>
      <c r="CVY742" s="124"/>
      <c r="CVZ742" s="124"/>
      <c r="CWA742" s="124"/>
      <c r="CWB742" s="124"/>
      <c r="CWC742" s="124"/>
      <c r="CWD742" s="124"/>
      <c r="CWE742" s="124"/>
      <c r="CWF742" s="124"/>
      <c r="CWG742" s="124"/>
      <c r="CWH742" s="124"/>
      <c r="CWI742" s="124"/>
      <c r="CWJ742" s="124"/>
      <c r="CWK742" s="124"/>
      <c r="CWL742" s="124"/>
      <c r="CWM742" s="124"/>
      <c r="CWN742" s="124"/>
      <c r="CWO742" s="124"/>
      <c r="CWP742" s="124"/>
      <c r="CWQ742" s="124"/>
      <c r="CWR742" s="124"/>
      <c r="CWS742" s="124"/>
      <c r="CWT742" s="124"/>
      <c r="CWU742" s="124"/>
      <c r="CWV742" s="124"/>
      <c r="CWW742" s="124"/>
      <c r="CWX742" s="124"/>
      <c r="CWY742" s="124"/>
      <c r="CWZ742" s="124"/>
      <c r="CXA742" s="124"/>
      <c r="CXB742" s="124"/>
      <c r="CXC742" s="124"/>
      <c r="CXD742" s="124"/>
      <c r="CXE742" s="124"/>
      <c r="CXF742" s="124"/>
      <c r="CXG742" s="124"/>
      <c r="CXH742" s="124"/>
      <c r="CXI742" s="124"/>
      <c r="CXJ742" s="124"/>
      <c r="CXK742" s="124"/>
      <c r="CXL742" s="124"/>
      <c r="CXM742" s="124"/>
      <c r="CXN742" s="124"/>
      <c r="CXO742" s="124"/>
      <c r="CXP742" s="124"/>
      <c r="CXQ742" s="124"/>
      <c r="CXR742" s="124"/>
      <c r="CXS742" s="124"/>
      <c r="CXT742" s="124"/>
      <c r="CXU742" s="124"/>
      <c r="CXV742" s="124"/>
      <c r="CXW742" s="124"/>
      <c r="CXX742" s="124"/>
      <c r="CXY742" s="124"/>
      <c r="CXZ742" s="124"/>
      <c r="CYA742" s="124"/>
      <c r="CYB742" s="124"/>
      <c r="CYC742" s="124"/>
      <c r="CYD742" s="124"/>
      <c r="CYE742" s="124"/>
      <c r="CYF742" s="124"/>
      <c r="CYG742" s="124"/>
      <c r="CYH742" s="124"/>
      <c r="CYI742" s="124"/>
      <c r="CYJ742" s="124"/>
      <c r="CYK742" s="124"/>
      <c r="CYL742" s="124"/>
      <c r="CYM742" s="124"/>
      <c r="CYN742" s="124"/>
      <c r="CYO742" s="124"/>
      <c r="CYP742" s="124"/>
      <c r="CYQ742" s="124"/>
      <c r="CYR742" s="124"/>
      <c r="CYS742" s="124"/>
      <c r="CYT742" s="124"/>
      <c r="CYU742" s="124"/>
      <c r="CYV742" s="124"/>
      <c r="CYW742" s="124"/>
      <c r="CYX742" s="124"/>
      <c r="CYY742" s="124"/>
      <c r="CYZ742" s="124"/>
      <c r="CZA742" s="124"/>
      <c r="CZB742" s="124"/>
      <c r="CZC742" s="124"/>
      <c r="CZD742" s="124"/>
      <c r="CZE742" s="124"/>
      <c r="CZF742" s="124"/>
      <c r="CZG742" s="124"/>
      <c r="CZH742" s="124"/>
      <c r="CZI742" s="124"/>
      <c r="CZJ742" s="124"/>
      <c r="CZK742" s="124"/>
      <c r="CZL742" s="124"/>
      <c r="CZM742" s="124"/>
      <c r="CZN742" s="124"/>
      <c r="CZO742" s="124"/>
      <c r="CZP742" s="124"/>
      <c r="CZQ742" s="124"/>
      <c r="CZR742" s="124"/>
      <c r="CZS742" s="124"/>
      <c r="CZT742" s="124"/>
      <c r="CZU742" s="124"/>
      <c r="CZV742" s="124"/>
      <c r="CZW742" s="124"/>
      <c r="CZX742" s="124"/>
      <c r="CZY742" s="124"/>
      <c r="CZZ742" s="124"/>
      <c r="DAA742" s="124"/>
      <c r="DAB742" s="124"/>
      <c r="DAC742" s="124"/>
      <c r="DAD742" s="124"/>
      <c r="DAE742" s="124"/>
      <c r="DAF742" s="124"/>
      <c r="DAG742" s="124"/>
      <c r="DAH742" s="124"/>
      <c r="DAI742" s="124"/>
      <c r="DAJ742" s="124"/>
      <c r="DAK742" s="124"/>
      <c r="DAL742" s="124"/>
      <c r="DAM742" s="124"/>
      <c r="DAN742" s="124"/>
      <c r="DAO742" s="124"/>
      <c r="DAP742" s="124"/>
      <c r="DAQ742" s="124"/>
      <c r="DAR742" s="124"/>
      <c r="DAS742" s="124"/>
      <c r="DAT742" s="124"/>
      <c r="DAU742" s="124"/>
      <c r="DAV742" s="124"/>
      <c r="DAW742" s="124"/>
      <c r="DAX742" s="124"/>
      <c r="DAY742" s="124"/>
      <c r="DAZ742" s="124"/>
      <c r="DBA742" s="124"/>
      <c r="DBB742" s="124"/>
      <c r="DBC742" s="124"/>
      <c r="DBD742" s="124"/>
      <c r="DBE742" s="124"/>
      <c r="DBF742" s="124"/>
      <c r="DBG742" s="124"/>
      <c r="DBH742" s="124"/>
      <c r="DBI742" s="124"/>
      <c r="DBJ742" s="124"/>
      <c r="DBK742" s="124"/>
      <c r="DBL742" s="124"/>
      <c r="DBM742" s="124"/>
      <c r="DBN742" s="124"/>
      <c r="DBO742" s="124"/>
      <c r="DBP742" s="124"/>
      <c r="DBQ742" s="124"/>
      <c r="DBR742" s="124"/>
      <c r="DBS742" s="124"/>
      <c r="DBT742" s="124"/>
      <c r="DBU742" s="124"/>
      <c r="DBV742" s="124"/>
      <c r="DBW742" s="124"/>
      <c r="DBX742" s="124"/>
      <c r="DBY742" s="124"/>
      <c r="DBZ742" s="124"/>
      <c r="DCA742" s="124"/>
      <c r="DCB742" s="124"/>
      <c r="DCC742" s="124"/>
      <c r="DCD742" s="124"/>
      <c r="DCE742" s="124"/>
      <c r="DCF742" s="124"/>
      <c r="DCG742" s="124"/>
      <c r="DCH742" s="124"/>
      <c r="DCI742" s="124"/>
      <c r="DCJ742" s="124"/>
      <c r="DCK742" s="124"/>
      <c r="DCL742" s="124"/>
      <c r="DCM742" s="124"/>
      <c r="DCN742" s="124"/>
      <c r="DCO742" s="124"/>
      <c r="DCP742" s="124"/>
      <c r="DCQ742" s="124"/>
      <c r="DCR742" s="124"/>
      <c r="DCS742" s="124"/>
      <c r="DCT742" s="124"/>
      <c r="DCU742" s="124"/>
      <c r="DCV742" s="124"/>
      <c r="DCW742" s="124"/>
      <c r="DCX742" s="124"/>
      <c r="DCY742" s="124"/>
      <c r="DCZ742" s="124"/>
      <c r="DDA742" s="124"/>
      <c r="DDB742" s="124"/>
      <c r="DDC742" s="124"/>
      <c r="DDD742" s="124"/>
      <c r="DDE742" s="124"/>
      <c r="DDF742" s="124"/>
      <c r="DDG742" s="124"/>
      <c r="DDH742" s="124"/>
      <c r="DDI742" s="124"/>
      <c r="DDJ742" s="124"/>
      <c r="DDK742" s="124"/>
      <c r="DDL742" s="124"/>
      <c r="DDM742" s="124"/>
      <c r="DDN742" s="124"/>
      <c r="DDO742" s="124"/>
      <c r="DDP742" s="124"/>
      <c r="DDQ742" s="124"/>
      <c r="DDR742" s="124"/>
      <c r="DDS742" s="124"/>
      <c r="DDT742" s="124"/>
      <c r="DDU742" s="124"/>
      <c r="DDV742" s="124"/>
      <c r="DDW742" s="124"/>
      <c r="DDX742" s="124"/>
      <c r="DDY742" s="124"/>
      <c r="DDZ742" s="124"/>
      <c r="DEA742" s="124"/>
      <c r="DEB742" s="124"/>
      <c r="DEC742" s="124"/>
      <c r="DED742" s="124"/>
      <c r="DEE742" s="124"/>
      <c r="DEF742" s="124"/>
      <c r="DEG742" s="124"/>
      <c r="DEH742" s="124"/>
      <c r="DEI742" s="124"/>
      <c r="DEJ742" s="124"/>
      <c r="DEK742" s="124"/>
      <c r="DEL742" s="124"/>
      <c r="DEM742" s="124"/>
      <c r="DEN742" s="124"/>
      <c r="DEO742" s="124"/>
      <c r="DEP742" s="124"/>
      <c r="DEQ742" s="124"/>
      <c r="DER742" s="124"/>
      <c r="DES742" s="124"/>
      <c r="DET742" s="124"/>
      <c r="DEU742" s="124"/>
      <c r="DEV742" s="124"/>
      <c r="DEW742" s="124"/>
      <c r="DEX742" s="124"/>
      <c r="DEY742" s="124"/>
      <c r="DEZ742" s="124"/>
      <c r="DFA742" s="124"/>
      <c r="DFB742" s="124"/>
      <c r="DFC742" s="124"/>
      <c r="DFD742" s="124"/>
      <c r="DFE742" s="124"/>
      <c r="DFF742" s="124"/>
      <c r="DFG742" s="124"/>
      <c r="DFH742" s="124"/>
      <c r="DFI742" s="124"/>
      <c r="DFJ742" s="124"/>
      <c r="DFK742" s="124"/>
      <c r="DFL742" s="124"/>
      <c r="DFM742" s="124"/>
      <c r="DFN742" s="124"/>
      <c r="DFO742" s="124"/>
      <c r="DFP742" s="124"/>
      <c r="DFQ742" s="124"/>
      <c r="DFR742" s="124"/>
      <c r="DFS742" s="124"/>
      <c r="DFT742" s="124"/>
      <c r="DFU742" s="124"/>
      <c r="DFV742" s="124"/>
      <c r="DFW742" s="124"/>
      <c r="DFX742" s="124"/>
      <c r="DFY742" s="124"/>
      <c r="DFZ742" s="124"/>
      <c r="DGA742" s="124"/>
      <c r="DGB742" s="124"/>
      <c r="DGC742" s="124"/>
      <c r="DGD742" s="124"/>
      <c r="DGE742" s="124"/>
      <c r="DGF742" s="124"/>
      <c r="DGG742" s="124"/>
      <c r="DGH742" s="124"/>
      <c r="DGI742" s="124"/>
      <c r="DGJ742" s="124"/>
      <c r="DGK742" s="124"/>
      <c r="DGL742" s="124"/>
      <c r="DGM742" s="124"/>
      <c r="DGN742" s="124"/>
      <c r="DGO742" s="124"/>
      <c r="DGP742" s="124"/>
      <c r="DGQ742" s="124"/>
      <c r="DGR742" s="124"/>
      <c r="DGS742" s="124"/>
      <c r="DGT742" s="124"/>
      <c r="DGU742" s="124"/>
      <c r="DGV742" s="124"/>
      <c r="DGW742" s="124"/>
      <c r="DGX742" s="124"/>
      <c r="DGY742" s="124"/>
      <c r="DGZ742" s="124"/>
      <c r="DHA742" s="124"/>
      <c r="DHB742" s="124"/>
      <c r="DHC742" s="124"/>
      <c r="DHD742" s="124"/>
      <c r="DHE742" s="124"/>
      <c r="DHF742" s="124"/>
      <c r="DHG742" s="124"/>
      <c r="DHH742" s="124"/>
      <c r="DHI742" s="124"/>
      <c r="DHJ742" s="124"/>
      <c r="DHK742" s="124"/>
      <c r="DHL742" s="124"/>
      <c r="DHM742" s="124"/>
      <c r="DHN742" s="124"/>
      <c r="DHO742" s="124"/>
      <c r="DHP742" s="124"/>
      <c r="DHQ742" s="124"/>
      <c r="DHR742" s="124"/>
      <c r="DHS742" s="124"/>
      <c r="DHT742" s="124"/>
      <c r="DHU742" s="124"/>
      <c r="DHV742" s="124"/>
      <c r="DHW742" s="124"/>
      <c r="DHX742" s="124"/>
      <c r="DHY742" s="124"/>
      <c r="DHZ742" s="124"/>
      <c r="DIA742" s="124"/>
      <c r="DIB742" s="124"/>
      <c r="DIC742" s="124"/>
      <c r="DID742" s="124"/>
      <c r="DIE742" s="124"/>
      <c r="DIF742" s="124"/>
      <c r="DIG742" s="124"/>
      <c r="DIH742" s="124"/>
      <c r="DII742" s="124"/>
      <c r="DIJ742" s="124"/>
      <c r="DIK742" s="124"/>
      <c r="DIL742" s="124"/>
      <c r="DIM742" s="124"/>
      <c r="DIN742" s="124"/>
      <c r="DIO742" s="124"/>
      <c r="DIP742" s="124"/>
      <c r="DIQ742" s="124"/>
      <c r="DIR742" s="124"/>
      <c r="DIS742" s="124"/>
      <c r="DIT742" s="124"/>
      <c r="DIU742" s="124"/>
      <c r="DIV742" s="124"/>
      <c r="DIW742" s="124"/>
      <c r="DIX742" s="124"/>
      <c r="DIY742" s="124"/>
      <c r="DIZ742" s="124"/>
      <c r="DJA742" s="124"/>
      <c r="DJB742" s="124"/>
      <c r="DJC742" s="124"/>
      <c r="DJD742" s="124"/>
      <c r="DJE742" s="124"/>
      <c r="DJF742" s="124"/>
      <c r="DJG742" s="124"/>
      <c r="DJH742" s="124"/>
      <c r="DJI742" s="124"/>
      <c r="DJJ742" s="124"/>
      <c r="DJK742" s="124"/>
      <c r="DJL742" s="124"/>
      <c r="DJM742" s="124"/>
      <c r="DJN742" s="124"/>
      <c r="DJO742" s="124"/>
      <c r="DJP742" s="124"/>
      <c r="DJQ742" s="124"/>
      <c r="DJR742" s="124"/>
      <c r="DJS742" s="124"/>
      <c r="DJT742" s="124"/>
      <c r="DJU742" s="124"/>
      <c r="DJV742" s="124"/>
      <c r="DJW742" s="124"/>
      <c r="DJX742" s="124"/>
      <c r="DJY742" s="124"/>
      <c r="DJZ742" s="124"/>
      <c r="DKA742" s="124"/>
      <c r="DKB742" s="124"/>
      <c r="DKC742" s="124"/>
      <c r="DKD742" s="124"/>
      <c r="DKE742" s="124"/>
      <c r="DKF742" s="124"/>
      <c r="DKG742" s="124"/>
      <c r="DKH742" s="124"/>
      <c r="DKI742" s="124"/>
      <c r="DKJ742" s="124"/>
      <c r="DKK742" s="124"/>
      <c r="DKL742" s="124"/>
      <c r="DKM742" s="124"/>
      <c r="DKN742" s="124"/>
      <c r="DKO742" s="124"/>
      <c r="DKP742" s="124"/>
      <c r="DKQ742" s="124"/>
      <c r="DKR742" s="124"/>
      <c r="DKS742" s="124"/>
      <c r="DKT742" s="124"/>
      <c r="DKU742" s="124"/>
      <c r="DKV742" s="124"/>
      <c r="DKW742" s="124"/>
      <c r="DKX742" s="124"/>
      <c r="DKY742" s="124"/>
      <c r="DKZ742" s="124"/>
      <c r="DLA742" s="124"/>
      <c r="DLB742" s="124"/>
      <c r="DLC742" s="124"/>
      <c r="DLD742" s="124"/>
      <c r="DLE742" s="124"/>
      <c r="DLF742" s="124"/>
      <c r="DLG742" s="124"/>
      <c r="DLH742" s="124"/>
      <c r="DLI742" s="124"/>
      <c r="DLJ742" s="124"/>
      <c r="DLK742" s="124"/>
      <c r="DLL742" s="124"/>
      <c r="DLM742" s="124"/>
      <c r="DLN742" s="124"/>
      <c r="DLO742" s="124"/>
      <c r="DLP742" s="124"/>
      <c r="DLQ742" s="124"/>
      <c r="DLR742" s="124"/>
      <c r="DLS742" s="124"/>
      <c r="DLT742" s="124"/>
      <c r="DLU742" s="124"/>
      <c r="DLV742" s="124"/>
      <c r="DLW742" s="124"/>
      <c r="DLX742" s="124"/>
      <c r="DLY742" s="124"/>
      <c r="DLZ742" s="124"/>
      <c r="DMA742" s="124"/>
      <c r="DMB742" s="124"/>
      <c r="DMC742" s="124"/>
      <c r="DMD742" s="124"/>
      <c r="DME742" s="124"/>
      <c r="DMF742" s="124"/>
      <c r="DMG742" s="124"/>
      <c r="DMH742" s="124"/>
      <c r="DMI742" s="124"/>
      <c r="DMJ742" s="124"/>
      <c r="DMK742" s="124"/>
      <c r="DML742" s="124"/>
      <c r="DMM742" s="124"/>
      <c r="DMN742" s="124"/>
      <c r="DMO742" s="124"/>
      <c r="DMP742" s="124"/>
      <c r="DMQ742" s="124"/>
      <c r="DMR742" s="124"/>
      <c r="DMS742" s="124"/>
      <c r="DMT742" s="124"/>
      <c r="DMU742" s="124"/>
      <c r="DMV742" s="124"/>
      <c r="DMW742" s="124"/>
      <c r="DMX742" s="124"/>
      <c r="DMY742" s="124"/>
      <c r="DMZ742" s="124"/>
      <c r="DNA742" s="124"/>
      <c r="DNB742" s="124"/>
      <c r="DNC742" s="124"/>
      <c r="DND742" s="124"/>
      <c r="DNE742" s="124"/>
      <c r="DNF742" s="124"/>
      <c r="DNG742" s="124"/>
      <c r="DNH742" s="124"/>
      <c r="DNI742" s="124"/>
      <c r="DNJ742" s="124"/>
      <c r="DNK742" s="124"/>
      <c r="DNL742" s="124"/>
      <c r="DNM742" s="124"/>
      <c r="DNN742" s="124"/>
      <c r="DNO742" s="124"/>
      <c r="DNP742" s="124"/>
      <c r="DNQ742" s="124"/>
      <c r="DNR742" s="124"/>
      <c r="DNS742" s="124"/>
      <c r="DNT742" s="124"/>
      <c r="DNU742" s="124"/>
      <c r="DNV742" s="124"/>
      <c r="DNW742" s="124"/>
      <c r="DNX742" s="124"/>
      <c r="DNY742" s="124"/>
      <c r="DNZ742" s="124"/>
      <c r="DOA742" s="124"/>
      <c r="DOB742" s="124"/>
      <c r="DOC742" s="124"/>
      <c r="DOD742" s="124"/>
      <c r="DOE742" s="124"/>
      <c r="DOF742" s="124"/>
      <c r="DOG742" s="124"/>
      <c r="DOH742" s="124"/>
      <c r="DOI742" s="124"/>
      <c r="DOJ742" s="124"/>
      <c r="DOK742" s="124"/>
      <c r="DOL742" s="124"/>
      <c r="DOM742" s="124"/>
      <c r="DON742" s="124"/>
      <c r="DOO742" s="124"/>
      <c r="DOP742" s="124"/>
      <c r="DOQ742" s="124"/>
      <c r="DOR742" s="124"/>
      <c r="DOS742" s="124"/>
      <c r="DOT742" s="124"/>
      <c r="DOU742" s="124"/>
      <c r="DOV742" s="124"/>
      <c r="DOW742" s="124"/>
      <c r="DOX742" s="124"/>
      <c r="DOY742" s="124"/>
      <c r="DOZ742" s="124"/>
      <c r="DPA742" s="124"/>
      <c r="DPB742" s="124"/>
      <c r="DPC742" s="124"/>
      <c r="DPD742" s="124"/>
      <c r="DPE742" s="124"/>
      <c r="DPF742" s="124"/>
      <c r="DPG742" s="124"/>
      <c r="DPH742" s="124"/>
      <c r="DPI742" s="124"/>
      <c r="DPJ742" s="124"/>
      <c r="DPK742" s="124"/>
      <c r="DPL742" s="124"/>
      <c r="DPM742" s="124"/>
      <c r="DPN742" s="124"/>
      <c r="DPO742" s="124"/>
      <c r="DPP742" s="124"/>
      <c r="DPQ742" s="124"/>
      <c r="DPR742" s="124"/>
      <c r="DPS742" s="124"/>
      <c r="DPT742" s="124"/>
      <c r="DPU742" s="124"/>
      <c r="DPV742" s="124"/>
      <c r="DPW742" s="124"/>
      <c r="DPX742" s="124"/>
      <c r="DPY742" s="124"/>
      <c r="DPZ742" s="124"/>
      <c r="DQA742" s="124"/>
      <c r="DQB742" s="124"/>
      <c r="DQC742" s="124"/>
      <c r="DQD742" s="124"/>
      <c r="DQE742" s="124"/>
      <c r="DQF742" s="124"/>
      <c r="DQG742" s="124"/>
      <c r="DQH742" s="124"/>
      <c r="DQI742" s="124"/>
      <c r="DQJ742" s="124"/>
      <c r="DQK742" s="124"/>
      <c r="DQL742" s="124"/>
      <c r="DQM742" s="124"/>
      <c r="DQN742" s="124"/>
      <c r="DQO742" s="124"/>
      <c r="DQP742" s="124"/>
      <c r="DQQ742" s="124"/>
      <c r="DQR742" s="124"/>
      <c r="DQS742" s="124"/>
      <c r="DQT742" s="124"/>
      <c r="DQU742" s="124"/>
      <c r="DQV742" s="124"/>
      <c r="DQW742" s="124"/>
      <c r="DQX742" s="124"/>
      <c r="DQY742" s="124"/>
      <c r="DQZ742" s="124"/>
      <c r="DRA742" s="124"/>
      <c r="DRB742" s="124"/>
      <c r="DRC742" s="124"/>
      <c r="DRD742" s="124"/>
      <c r="DRE742" s="124"/>
      <c r="DRF742" s="124"/>
      <c r="DRG742" s="124"/>
      <c r="DRH742" s="124"/>
      <c r="DRI742" s="124"/>
      <c r="DRJ742" s="124"/>
      <c r="DRK742" s="124"/>
      <c r="DRL742" s="124"/>
      <c r="DRM742" s="124"/>
      <c r="DRN742" s="124"/>
      <c r="DRO742" s="124"/>
      <c r="DRP742" s="124"/>
      <c r="DRQ742" s="124"/>
      <c r="DRR742" s="124"/>
      <c r="DRS742" s="124"/>
      <c r="DRT742" s="124"/>
      <c r="DRU742" s="124"/>
      <c r="DRV742" s="124"/>
      <c r="DRW742" s="124"/>
      <c r="DRX742" s="124"/>
      <c r="DRY742" s="124"/>
      <c r="DRZ742" s="124"/>
      <c r="DSA742" s="124"/>
      <c r="DSB742" s="124"/>
      <c r="DSC742" s="124"/>
      <c r="DSD742" s="124"/>
      <c r="DSE742" s="124"/>
      <c r="DSF742" s="124"/>
      <c r="DSG742" s="124"/>
      <c r="DSH742" s="124"/>
      <c r="DSI742" s="124"/>
      <c r="DSJ742" s="124"/>
      <c r="DSK742" s="124"/>
      <c r="DSL742" s="124"/>
      <c r="DSM742" s="124"/>
      <c r="DSN742" s="124"/>
      <c r="DSO742" s="124"/>
      <c r="DSP742" s="124"/>
      <c r="DSQ742" s="124"/>
      <c r="DSR742" s="124"/>
      <c r="DSS742" s="124"/>
      <c r="DST742" s="124"/>
      <c r="DSU742" s="124"/>
      <c r="DSV742" s="124"/>
      <c r="DSW742" s="124"/>
      <c r="DSX742" s="124"/>
      <c r="DSY742" s="124"/>
      <c r="DSZ742" s="124"/>
      <c r="DTA742" s="124"/>
      <c r="DTB742" s="124"/>
      <c r="DTC742" s="124"/>
      <c r="DTD742" s="124"/>
      <c r="DTE742" s="124"/>
      <c r="DTF742" s="124"/>
      <c r="DTG742" s="124"/>
      <c r="DTH742" s="124"/>
      <c r="DTI742" s="124"/>
      <c r="DTJ742" s="124"/>
      <c r="DTK742" s="124"/>
      <c r="DTL742" s="124"/>
      <c r="DTM742" s="124"/>
      <c r="DTN742" s="124"/>
      <c r="DTO742" s="124"/>
      <c r="DTP742" s="124"/>
      <c r="DTQ742" s="124"/>
      <c r="DTR742" s="124"/>
      <c r="DTS742" s="124"/>
      <c r="DTT742" s="124"/>
      <c r="DTU742" s="124"/>
      <c r="DTV742" s="124"/>
      <c r="DTW742" s="124"/>
      <c r="DTX742" s="124"/>
      <c r="DTY742" s="124"/>
      <c r="DTZ742" s="124"/>
      <c r="DUA742" s="124"/>
      <c r="DUB742" s="124"/>
      <c r="DUC742" s="124"/>
      <c r="DUD742" s="124"/>
      <c r="DUE742" s="124"/>
      <c r="DUF742" s="124"/>
      <c r="DUG742" s="124"/>
      <c r="DUH742" s="124"/>
      <c r="DUI742" s="124"/>
      <c r="DUJ742" s="124"/>
      <c r="DUK742" s="124"/>
      <c r="DUL742" s="124"/>
      <c r="DUM742" s="124"/>
      <c r="DUN742" s="124"/>
      <c r="DUO742" s="124"/>
      <c r="DUP742" s="124"/>
      <c r="DUQ742" s="124"/>
      <c r="DUR742" s="124"/>
      <c r="DUS742" s="124"/>
      <c r="DUT742" s="124"/>
      <c r="DUU742" s="124"/>
      <c r="DUV742" s="124"/>
      <c r="DUW742" s="124"/>
      <c r="DUX742" s="124"/>
      <c r="DUY742" s="124"/>
      <c r="DUZ742" s="124"/>
      <c r="DVA742" s="124"/>
      <c r="DVB742" s="124"/>
      <c r="DVC742" s="124"/>
      <c r="DVD742" s="124"/>
      <c r="DVE742" s="124"/>
      <c r="DVF742" s="124"/>
      <c r="DVG742" s="124"/>
      <c r="DVH742" s="124"/>
      <c r="DVI742" s="124"/>
      <c r="DVJ742" s="124"/>
      <c r="DVK742" s="124"/>
      <c r="DVL742" s="124"/>
      <c r="DVM742" s="124"/>
      <c r="DVN742" s="124"/>
      <c r="DVO742" s="124"/>
      <c r="DVP742" s="124"/>
      <c r="DVQ742" s="124"/>
      <c r="DVR742" s="124"/>
      <c r="DVS742" s="124"/>
      <c r="DVT742" s="124"/>
      <c r="DVU742" s="124"/>
      <c r="DVV742" s="124"/>
      <c r="DVW742" s="124"/>
      <c r="DVX742" s="124"/>
      <c r="DVY742" s="124"/>
      <c r="DVZ742" s="124"/>
      <c r="DWA742" s="124"/>
      <c r="DWB742" s="124"/>
      <c r="DWC742" s="124"/>
      <c r="DWD742" s="124"/>
      <c r="DWE742" s="124"/>
      <c r="DWF742" s="124"/>
      <c r="DWG742" s="124"/>
      <c r="DWH742" s="124"/>
      <c r="DWI742" s="124"/>
      <c r="DWJ742" s="124"/>
      <c r="DWK742" s="124"/>
      <c r="DWL742" s="124"/>
      <c r="DWM742" s="124"/>
      <c r="DWN742" s="124"/>
      <c r="DWO742" s="124"/>
      <c r="DWP742" s="124"/>
      <c r="DWQ742" s="124"/>
      <c r="DWR742" s="124"/>
      <c r="DWS742" s="124"/>
      <c r="DWT742" s="124"/>
      <c r="DWU742" s="124"/>
      <c r="DWV742" s="124"/>
      <c r="DWW742" s="124"/>
      <c r="DWX742" s="124"/>
      <c r="DWY742" s="124"/>
      <c r="DWZ742" s="124"/>
      <c r="DXA742" s="124"/>
      <c r="DXB742" s="124"/>
      <c r="DXC742" s="124"/>
      <c r="DXD742" s="124"/>
      <c r="DXE742" s="124"/>
      <c r="DXF742" s="124"/>
      <c r="DXG742" s="124"/>
      <c r="DXH742" s="124"/>
      <c r="DXI742" s="124"/>
      <c r="DXJ742" s="124"/>
      <c r="DXK742" s="124"/>
      <c r="DXL742" s="124"/>
      <c r="DXM742" s="124"/>
      <c r="DXN742" s="124"/>
      <c r="DXO742" s="124"/>
      <c r="DXP742" s="124"/>
      <c r="DXQ742" s="124"/>
      <c r="DXR742" s="124"/>
      <c r="DXS742" s="124"/>
      <c r="DXT742" s="124"/>
      <c r="DXU742" s="124"/>
      <c r="DXV742" s="124"/>
      <c r="DXW742" s="124"/>
      <c r="DXX742" s="124"/>
      <c r="DXY742" s="124"/>
      <c r="DXZ742" s="124"/>
      <c r="DYA742" s="124"/>
      <c r="DYB742" s="124"/>
      <c r="DYC742" s="124"/>
      <c r="DYD742" s="124"/>
      <c r="DYE742" s="124"/>
      <c r="DYF742" s="124"/>
      <c r="DYG742" s="124"/>
      <c r="DYH742" s="124"/>
      <c r="DYI742" s="124"/>
      <c r="DYJ742" s="124"/>
      <c r="DYK742" s="124"/>
      <c r="DYL742" s="124"/>
      <c r="DYM742" s="124"/>
      <c r="DYN742" s="124"/>
      <c r="DYO742" s="124"/>
      <c r="DYP742" s="124"/>
      <c r="DYQ742" s="124"/>
      <c r="DYR742" s="124"/>
      <c r="DYS742" s="124"/>
      <c r="DYT742" s="124"/>
      <c r="DYU742" s="124"/>
      <c r="DYV742" s="124"/>
      <c r="DYW742" s="124"/>
      <c r="DYX742" s="124"/>
      <c r="DYY742" s="124"/>
      <c r="DYZ742" s="124"/>
      <c r="DZA742" s="124"/>
      <c r="DZB742" s="124"/>
      <c r="DZC742" s="124"/>
      <c r="DZD742" s="124"/>
      <c r="DZE742" s="124"/>
      <c r="DZF742" s="124"/>
      <c r="DZG742" s="124"/>
      <c r="DZH742" s="124"/>
      <c r="DZI742" s="124"/>
      <c r="DZJ742" s="124"/>
      <c r="DZK742" s="124"/>
      <c r="DZL742" s="124"/>
      <c r="DZM742" s="124"/>
      <c r="DZN742" s="124"/>
      <c r="DZO742" s="124"/>
      <c r="DZP742" s="124"/>
      <c r="DZQ742" s="124"/>
      <c r="DZR742" s="124"/>
      <c r="DZS742" s="124"/>
      <c r="DZT742" s="124"/>
      <c r="DZU742" s="124"/>
      <c r="DZV742" s="124"/>
      <c r="DZW742" s="124"/>
      <c r="DZX742" s="124"/>
      <c r="DZY742" s="124"/>
      <c r="DZZ742" s="124"/>
      <c r="EAA742" s="124"/>
      <c r="EAB742" s="124"/>
      <c r="EAC742" s="124"/>
      <c r="EAD742" s="124"/>
      <c r="EAE742" s="124"/>
      <c r="EAF742" s="124"/>
      <c r="EAG742" s="124"/>
      <c r="EAH742" s="124"/>
      <c r="EAI742" s="124"/>
      <c r="EAJ742" s="124"/>
      <c r="EAK742" s="124"/>
      <c r="EAL742" s="124"/>
      <c r="EAM742" s="124"/>
      <c r="EAN742" s="124"/>
      <c r="EAO742" s="124"/>
      <c r="EAP742" s="124"/>
      <c r="EAQ742" s="124"/>
      <c r="EAR742" s="124"/>
      <c r="EAS742" s="124"/>
      <c r="EAT742" s="124"/>
      <c r="EAU742" s="124"/>
      <c r="EAV742" s="124"/>
      <c r="EAW742" s="124"/>
      <c r="EAX742" s="124"/>
      <c r="EAY742" s="124"/>
      <c r="EAZ742" s="124"/>
      <c r="EBA742" s="124"/>
      <c r="EBB742" s="124"/>
      <c r="EBC742" s="124"/>
      <c r="EBD742" s="124"/>
      <c r="EBE742" s="124"/>
      <c r="EBF742" s="124"/>
      <c r="EBG742" s="124"/>
      <c r="EBH742" s="124"/>
      <c r="EBI742" s="124"/>
      <c r="EBJ742" s="124"/>
      <c r="EBK742" s="124"/>
      <c r="EBL742" s="124"/>
      <c r="EBM742" s="124"/>
      <c r="EBN742" s="124"/>
      <c r="EBO742" s="124"/>
      <c r="EBP742" s="124"/>
      <c r="EBQ742" s="124"/>
      <c r="EBR742" s="124"/>
      <c r="EBS742" s="124"/>
      <c r="EBT742" s="124"/>
      <c r="EBU742" s="124"/>
      <c r="EBV742" s="124"/>
      <c r="EBW742" s="124"/>
      <c r="EBX742" s="124"/>
      <c r="EBY742" s="124"/>
      <c r="EBZ742" s="124"/>
      <c r="ECA742" s="124"/>
      <c r="ECB742" s="124"/>
      <c r="ECC742" s="124"/>
      <c r="ECD742" s="124"/>
      <c r="ECE742" s="124"/>
      <c r="ECF742" s="124"/>
      <c r="ECG742" s="124"/>
      <c r="ECH742" s="124"/>
      <c r="ECI742" s="124"/>
      <c r="ECJ742" s="124"/>
      <c r="ECK742" s="124"/>
      <c r="ECL742" s="124"/>
      <c r="ECM742" s="124"/>
      <c r="ECN742" s="124"/>
      <c r="ECO742" s="124"/>
      <c r="ECP742" s="124"/>
      <c r="ECQ742" s="124"/>
      <c r="ECR742" s="124"/>
      <c r="ECS742" s="124"/>
      <c r="ECT742" s="124"/>
      <c r="ECU742" s="124"/>
      <c r="ECV742" s="124"/>
      <c r="ECW742" s="124"/>
      <c r="ECX742" s="124"/>
      <c r="ECY742" s="124"/>
      <c r="ECZ742" s="124"/>
      <c r="EDA742" s="124"/>
      <c r="EDB742" s="124"/>
      <c r="EDC742" s="124"/>
      <c r="EDD742" s="124"/>
      <c r="EDE742" s="124"/>
      <c r="EDF742" s="124"/>
      <c r="EDG742" s="124"/>
      <c r="EDH742" s="124"/>
      <c r="EDI742" s="124"/>
      <c r="EDJ742" s="124"/>
      <c r="EDK742" s="124"/>
      <c r="EDL742" s="124"/>
      <c r="EDM742" s="124"/>
      <c r="EDN742" s="124"/>
      <c r="EDO742" s="124"/>
      <c r="EDP742" s="124"/>
      <c r="EDQ742" s="124"/>
      <c r="EDR742" s="124"/>
      <c r="EDS742" s="124"/>
      <c r="EDT742" s="124"/>
      <c r="EDU742" s="124"/>
      <c r="EDV742" s="124"/>
      <c r="EDW742" s="124"/>
      <c r="EDX742" s="124"/>
      <c r="EDY742" s="124"/>
      <c r="EDZ742" s="124"/>
      <c r="EEA742" s="124"/>
      <c r="EEB742" s="124"/>
      <c r="EEC742" s="124"/>
      <c r="EED742" s="124"/>
      <c r="EEE742" s="124"/>
      <c r="EEF742" s="124"/>
      <c r="EEG742" s="124"/>
      <c r="EEH742" s="124"/>
      <c r="EEI742" s="124"/>
      <c r="EEJ742" s="124"/>
      <c r="EEK742" s="124"/>
      <c r="EEL742" s="124"/>
      <c r="EEM742" s="124"/>
      <c r="EEN742" s="124"/>
      <c r="EEO742" s="124"/>
      <c r="EEP742" s="124"/>
      <c r="EEQ742" s="124"/>
      <c r="EER742" s="124"/>
      <c r="EES742" s="124"/>
      <c r="EET742" s="124"/>
      <c r="EEU742" s="124"/>
      <c r="EEV742" s="124"/>
      <c r="EEW742" s="124"/>
      <c r="EEX742" s="124"/>
      <c r="EEY742" s="124"/>
      <c r="EEZ742" s="124"/>
      <c r="EFA742" s="124"/>
      <c r="EFB742" s="124"/>
      <c r="EFC742" s="124"/>
      <c r="EFD742" s="124"/>
      <c r="EFE742" s="124"/>
      <c r="EFF742" s="124"/>
      <c r="EFG742" s="124"/>
      <c r="EFH742" s="124"/>
      <c r="EFI742" s="124"/>
      <c r="EFJ742" s="124"/>
      <c r="EFK742" s="124"/>
      <c r="EFL742" s="124"/>
      <c r="EFM742" s="124"/>
      <c r="EFN742" s="124"/>
      <c r="EFO742" s="124"/>
      <c r="EFP742" s="124"/>
      <c r="EFQ742" s="124"/>
      <c r="EFR742" s="124"/>
      <c r="EFS742" s="124"/>
      <c r="EFT742" s="124"/>
      <c r="EFU742" s="124"/>
      <c r="EFV742" s="124"/>
      <c r="EFW742" s="124"/>
      <c r="EFX742" s="124"/>
      <c r="EFY742" s="124"/>
      <c r="EFZ742" s="124"/>
      <c r="EGA742" s="124"/>
      <c r="EGB742" s="124"/>
      <c r="EGC742" s="124"/>
      <c r="EGD742" s="124"/>
      <c r="EGE742" s="124"/>
      <c r="EGF742" s="124"/>
      <c r="EGG742" s="124"/>
      <c r="EGH742" s="124"/>
      <c r="EGI742" s="124"/>
      <c r="EGJ742" s="124"/>
      <c r="EGK742" s="124"/>
      <c r="EGL742" s="124"/>
      <c r="EGM742" s="124"/>
      <c r="EGN742" s="124"/>
      <c r="EGO742" s="124"/>
      <c r="EGP742" s="124"/>
      <c r="EGQ742" s="124"/>
      <c r="EGR742" s="124"/>
      <c r="EGS742" s="124"/>
      <c r="EGT742" s="124"/>
      <c r="EGU742" s="124"/>
      <c r="EGV742" s="124"/>
      <c r="EGW742" s="124"/>
      <c r="EGX742" s="124"/>
      <c r="EGY742" s="124"/>
      <c r="EGZ742" s="124"/>
      <c r="EHA742" s="124"/>
      <c r="EHB742" s="124"/>
      <c r="EHC742" s="124"/>
      <c r="EHD742" s="124"/>
      <c r="EHE742" s="124"/>
      <c r="EHF742" s="124"/>
      <c r="EHG742" s="124"/>
      <c r="EHH742" s="124"/>
      <c r="EHI742" s="124"/>
      <c r="EHJ742" s="124"/>
      <c r="EHK742" s="124"/>
      <c r="EHL742" s="124"/>
      <c r="EHM742" s="124"/>
      <c r="EHN742" s="124"/>
      <c r="EHO742" s="124"/>
      <c r="EHP742" s="124"/>
      <c r="EHQ742" s="124"/>
      <c r="EHR742" s="124"/>
      <c r="EHS742" s="124"/>
      <c r="EHT742" s="124"/>
      <c r="EHU742" s="124"/>
      <c r="EHV742" s="124"/>
      <c r="EHW742" s="124"/>
      <c r="EHX742" s="124"/>
      <c r="EHY742" s="124"/>
      <c r="EHZ742" s="124"/>
      <c r="EIA742" s="124"/>
      <c r="EIB742" s="124"/>
      <c r="EIC742" s="124"/>
      <c r="EID742" s="124"/>
      <c r="EIE742" s="124"/>
      <c r="EIF742" s="124"/>
      <c r="EIG742" s="124"/>
      <c r="EIH742" s="124"/>
      <c r="EII742" s="124"/>
      <c r="EIJ742" s="124"/>
      <c r="EIK742" s="124"/>
      <c r="EIL742" s="124"/>
      <c r="EIM742" s="124"/>
      <c r="EIN742" s="124"/>
      <c r="EIO742" s="124"/>
      <c r="EIP742" s="124"/>
      <c r="EIQ742" s="124"/>
      <c r="EIR742" s="124"/>
      <c r="EIS742" s="124"/>
      <c r="EIT742" s="124"/>
      <c r="EIU742" s="124"/>
      <c r="EIV742" s="124"/>
      <c r="EIW742" s="124"/>
      <c r="EIX742" s="124"/>
      <c r="EIY742" s="124"/>
      <c r="EIZ742" s="124"/>
      <c r="EJA742" s="124"/>
      <c r="EJB742" s="124"/>
      <c r="EJC742" s="124"/>
      <c r="EJD742" s="124"/>
      <c r="EJE742" s="124"/>
      <c r="EJF742" s="124"/>
      <c r="EJG742" s="124"/>
      <c r="EJH742" s="124"/>
      <c r="EJI742" s="124"/>
      <c r="EJJ742" s="124"/>
      <c r="EJK742" s="124"/>
      <c r="EJL742" s="124"/>
      <c r="EJM742" s="124"/>
      <c r="EJN742" s="124"/>
      <c r="EJO742" s="124"/>
      <c r="EJP742" s="124"/>
      <c r="EJQ742" s="124"/>
      <c r="EJR742" s="124"/>
      <c r="EJS742" s="124"/>
      <c r="EJT742" s="124"/>
      <c r="EJU742" s="124"/>
      <c r="EJV742" s="124"/>
      <c r="EJW742" s="124"/>
      <c r="EJX742" s="124"/>
      <c r="EJY742" s="124"/>
      <c r="EJZ742" s="124"/>
      <c r="EKA742" s="124"/>
      <c r="EKB742" s="124"/>
      <c r="EKC742" s="124"/>
      <c r="EKD742" s="124"/>
      <c r="EKE742" s="124"/>
      <c r="EKF742" s="124"/>
      <c r="EKG742" s="124"/>
      <c r="EKH742" s="124"/>
      <c r="EKI742" s="124"/>
      <c r="EKJ742" s="124"/>
      <c r="EKK742" s="124"/>
      <c r="EKL742" s="124"/>
      <c r="EKM742" s="124"/>
      <c r="EKN742" s="124"/>
      <c r="EKO742" s="124"/>
      <c r="EKP742" s="124"/>
      <c r="EKQ742" s="124"/>
      <c r="EKR742" s="124"/>
      <c r="EKS742" s="124"/>
      <c r="EKT742" s="124"/>
      <c r="EKU742" s="124"/>
      <c r="EKV742" s="124"/>
      <c r="EKW742" s="124"/>
      <c r="EKX742" s="124"/>
      <c r="EKY742" s="124"/>
      <c r="EKZ742" s="124"/>
      <c r="ELA742" s="124"/>
      <c r="ELB742" s="124"/>
      <c r="ELC742" s="124"/>
      <c r="ELD742" s="124"/>
      <c r="ELE742" s="124"/>
      <c r="ELF742" s="124"/>
      <c r="ELG742" s="124"/>
      <c r="ELH742" s="124"/>
      <c r="ELI742" s="124"/>
      <c r="ELJ742" s="124"/>
      <c r="ELK742" s="124"/>
      <c r="ELL742" s="124"/>
      <c r="ELM742" s="124"/>
      <c r="ELN742" s="124"/>
      <c r="ELO742" s="124"/>
      <c r="ELP742" s="124"/>
      <c r="ELQ742" s="124"/>
      <c r="ELR742" s="124"/>
      <c r="ELS742" s="124"/>
      <c r="ELT742" s="124"/>
      <c r="ELU742" s="124"/>
      <c r="ELV742" s="124"/>
      <c r="ELW742" s="124"/>
      <c r="ELX742" s="124"/>
      <c r="ELY742" s="124"/>
      <c r="ELZ742" s="124"/>
      <c r="EMA742" s="124"/>
      <c r="EMB742" s="124"/>
      <c r="EMC742" s="124"/>
      <c r="EMD742" s="124"/>
      <c r="EME742" s="124"/>
      <c r="EMF742" s="124"/>
      <c r="EMG742" s="124"/>
      <c r="EMH742" s="124"/>
      <c r="EMI742" s="124"/>
      <c r="EMJ742" s="124"/>
      <c r="EMK742" s="124"/>
      <c r="EML742" s="124"/>
      <c r="EMM742" s="124"/>
      <c r="EMN742" s="124"/>
      <c r="EMO742" s="124"/>
      <c r="EMP742" s="124"/>
      <c r="EMQ742" s="124"/>
      <c r="EMR742" s="124"/>
      <c r="EMS742" s="124"/>
      <c r="EMT742" s="124"/>
      <c r="EMU742" s="124"/>
      <c r="EMV742" s="124"/>
      <c r="EMW742" s="124"/>
      <c r="EMX742" s="124"/>
      <c r="EMY742" s="124"/>
      <c r="EMZ742" s="124"/>
      <c r="ENA742" s="124"/>
      <c r="ENB742" s="124"/>
      <c r="ENC742" s="124"/>
      <c r="END742" s="124"/>
      <c r="ENE742" s="124"/>
      <c r="ENF742" s="124"/>
      <c r="ENG742" s="124"/>
      <c r="ENH742" s="124"/>
      <c r="ENI742" s="124"/>
      <c r="ENJ742" s="124"/>
      <c r="ENK742" s="124"/>
      <c r="ENL742" s="124"/>
      <c r="ENM742" s="124"/>
      <c r="ENN742" s="124"/>
      <c r="ENO742" s="124"/>
      <c r="ENP742" s="124"/>
      <c r="ENQ742" s="124"/>
      <c r="ENR742" s="124"/>
      <c r="ENS742" s="124"/>
      <c r="ENT742" s="124"/>
      <c r="ENU742" s="124"/>
      <c r="ENV742" s="124"/>
      <c r="ENW742" s="124"/>
      <c r="ENX742" s="124"/>
      <c r="ENY742" s="124"/>
      <c r="ENZ742" s="124"/>
      <c r="EOA742" s="124"/>
      <c r="EOB742" s="124"/>
      <c r="EOC742" s="124"/>
      <c r="EOD742" s="124"/>
      <c r="EOE742" s="124"/>
      <c r="EOF742" s="124"/>
      <c r="EOG742" s="124"/>
      <c r="EOH742" s="124"/>
      <c r="EOI742" s="124"/>
      <c r="EOJ742" s="124"/>
      <c r="EOK742" s="124"/>
      <c r="EOL742" s="124"/>
      <c r="EOM742" s="124"/>
      <c r="EON742" s="124"/>
      <c r="EOO742" s="124"/>
      <c r="EOP742" s="124"/>
      <c r="EOQ742" s="124"/>
      <c r="EOR742" s="124"/>
      <c r="EOS742" s="124"/>
      <c r="EOT742" s="124"/>
      <c r="EOU742" s="124"/>
      <c r="EOV742" s="124"/>
      <c r="EOW742" s="124"/>
      <c r="EOX742" s="124"/>
      <c r="EOY742" s="124"/>
      <c r="EOZ742" s="124"/>
      <c r="EPA742" s="124"/>
      <c r="EPB742" s="124"/>
      <c r="EPC742" s="124"/>
      <c r="EPD742" s="124"/>
      <c r="EPE742" s="124"/>
      <c r="EPF742" s="124"/>
      <c r="EPG742" s="124"/>
      <c r="EPH742" s="124"/>
      <c r="EPI742" s="124"/>
      <c r="EPJ742" s="124"/>
      <c r="EPK742" s="124"/>
      <c r="EPL742" s="124"/>
      <c r="EPM742" s="124"/>
      <c r="EPN742" s="124"/>
      <c r="EPO742" s="124"/>
      <c r="EPP742" s="124"/>
      <c r="EPQ742" s="124"/>
      <c r="EPR742" s="124"/>
      <c r="EPS742" s="124"/>
      <c r="EPT742" s="124"/>
      <c r="EPU742" s="124"/>
      <c r="EPV742" s="124"/>
      <c r="EPW742" s="124"/>
      <c r="EPX742" s="124"/>
      <c r="EPY742" s="124"/>
      <c r="EPZ742" s="124"/>
      <c r="EQA742" s="124"/>
      <c r="EQB742" s="124"/>
      <c r="EQC742" s="124"/>
      <c r="EQD742" s="124"/>
      <c r="EQE742" s="124"/>
      <c r="EQF742" s="124"/>
      <c r="EQG742" s="124"/>
      <c r="EQH742" s="124"/>
      <c r="EQI742" s="124"/>
      <c r="EQJ742" s="124"/>
      <c r="EQK742" s="124"/>
      <c r="EQL742" s="124"/>
      <c r="EQM742" s="124"/>
      <c r="EQN742" s="124"/>
      <c r="EQO742" s="124"/>
      <c r="EQP742" s="124"/>
      <c r="EQQ742" s="124"/>
      <c r="EQR742" s="124"/>
      <c r="EQS742" s="124"/>
      <c r="EQT742" s="124"/>
      <c r="EQU742" s="124"/>
      <c r="EQV742" s="124"/>
      <c r="EQW742" s="124"/>
      <c r="EQX742" s="124"/>
      <c r="EQY742" s="124"/>
      <c r="EQZ742" s="124"/>
      <c r="ERA742" s="124"/>
      <c r="ERB742" s="124"/>
      <c r="ERC742" s="124"/>
      <c r="ERD742" s="124"/>
      <c r="ERE742" s="124"/>
      <c r="ERF742" s="124"/>
      <c r="ERG742" s="124"/>
      <c r="ERH742" s="124"/>
      <c r="ERI742" s="124"/>
      <c r="ERJ742" s="124"/>
      <c r="ERK742" s="124"/>
      <c r="ERL742" s="124"/>
      <c r="ERM742" s="124"/>
      <c r="ERN742" s="124"/>
      <c r="ERO742" s="124"/>
      <c r="ERP742" s="124"/>
      <c r="ERQ742" s="124"/>
      <c r="ERR742" s="124"/>
      <c r="ERS742" s="124"/>
      <c r="ERT742" s="124"/>
      <c r="ERU742" s="124"/>
      <c r="ERV742" s="124"/>
      <c r="ERW742" s="124"/>
      <c r="ERX742" s="124"/>
      <c r="ERY742" s="124"/>
      <c r="ERZ742" s="124"/>
      <c r="ESA742" s="124"/>
      <c r="ESB742" s="124"/>
      <c r="ESC742" s="124"/>
      <c r="ESD742" s="124"/>
      <c r="ESE742" s="124"/>
      <c r="ESF742" s="124"/>
      <c r="ESG742" s="124"/>
      <c r="ESH742" s="124"/>
      <c r="ESI742" s="124"/>
      <c r="ESJ742" s="124"/>
      <c r="ESK742" s="124"/>
      <c r="ESL742" s="124"/>
      <c r="ESM742" s="124"/>
      <c r="ESN742" s="124"/>
      <c r="ESO742" s="124"/>
      <c r="ESP742" s="124"/>
      <c r="ESQ742" s="124"/>
      <c r="ESR742" s="124"/>
      <c r="ESS742" s="124"/>
      <c r="EST742" s="124"/>
      <c r="ESU742" s="124"/>
      <c r="ESV742" s="124"/>
      <c r="ESW742" s="124"/>
      <c r="ESX742" s="124"/>
      <c r="ESY742" s="124"/>
      <c r="ESZ742" s="124"/>
      <c r="ETA742" s="124"/>
      <c r="ETB742" s="124"/>
      <c r="ETC742" s="124"/>
      <c r="ETD742" s="124"/>
      <c r="ETE742" s="124"/>
      <c r="ETF742" s="124"/>
      <c r="ETG742" s="124"/>
      <c r="ETH742" s="124"/>
      <c r="ETI742" s="124"/>
      <c r="ETJ742" s="124"/>
      <c r="ETK742" s="124"/>
      <c r="ETL742" s="124"/>
      <c r="ETM742" s="124"/>
      <c r="ETN742" s="124"/>
      <c r="ETO742" s="124"/>
      <c r="ETP742" s="124"/>
      <c r="ETQ742" s="124"/>
      <c r="ETR742" s="124"/>
      <c r="ETS742" s="124"/>
      <c r="ETT742" s="124"/>
      <c r="ETU742" s="124"/>
      <c r="ETV742" s="124"/>
      <c r="ETW742" s="124"/>
      <c r="ETX742" s="124"/>
      <c r="ETY742" s="124"/>
      <c r="ETZ742" s="124"/>
      <c r="EUA742" s="124"/>
      <c r="EUB742" s="124"/>
      <c r="EUC742" s="124"/>
      <c r="EUD742" s="124"/>
      <c r="EUE742" s="124"/>
      <c r="EUF742" s="124"/>
      <c r="EUG742" s="124"/>
      <c r="EUH742" s="124"/>
      <c r="EUI742" s="124"/>
      <c r="EUJ742" s="124"/>
      <c r="EUK742" s="124"/>
      <c r="EUL742" s="124"/>
      <c r="EUM742" s="124"/>
      <c r="EUN742" s="124"/>
      <c r="EUO742" s="124"/>
      <c r="EUP742" s="124"/>
      <c r="EUQ742" s="124"/>
      <c r="EUR742" s="124"/>
      <c r="EUS742" s="124"/>
      <c r="EUT742" s="124"/>
      <c r="EUU742" s="124"/>
      <c r="EUV742" s="124"/>
      <c r="EUW742" s="124"/>
      <c r="EUX742" s="124"/>
      <c r="EUY742" s="124"/>
      <c r="EUZ742" s="124"/>
      <c r="EVA742" s="124"/>
      <c r="EVB742" s="124"/>
      <c r="EVC742" s="124"/>
      <c r="EVD742" s="124"/>
      <c r="EVE742" s="124"/>
      <c r="EVF742" s="124"/>
      <c r="EVG742" s="124"/>
      <c r="EVH742" s="124"/>
      <c r="EVI742" s="124"/>
      <c r="EVJ742" s="124"/>
      <c r="EVK742" s="124"/>
      <c r="EVL742" s="124"/>
      <c r="EVM742" s="124"/>
      <c r="EVN742" s="124"/>
      <c r="EVO742" s="124"/>
      <c r="EVP742" s="124"/>
      <c r="EVQ742" s="124"/>
      <c r="EVR742" s="124"/>
      <c r="EVS742" s="124"/>
      <c r="EVT742" s="124"/>
      <c r="EVU742" s="124"/>
      <c r="EVV742" s="124"/>
      <c r="EVW742" s="124"/>
      <c r="EVX742" s="124"/>
      <c r="EVY742" s="124"/>
      <c r="EVZ742" s="124"/>
      <c r="EWA742" s="124"/>
      <c r="EWB742" s="124"/>
      <c r="EWC742" s="124"/>
      <c r="EWD742" s="124"/>
      <c r="EWE742" s="124"/>
      <c r="EWF742" s="124"/>
      <c r="EWG742" s="124"/>
      <c r="EWH742" s="124"/>
      <c r="EWI742" s="124"/>
      <c r="EWJ742" s="124"/>
      <c r="EWK742" s="124"/>
      <c r="EWL742" s="124"/>
      <c r="EWM742" s="124"/>
      <c r="EWN742" s="124"/>
      <c r="EWO742" s="124"/>
      <c r="EWP742" s="124"/>
      <c r="EWQ742" s="124"/>
      <c r="EWR742" s="124"/>
      <c r="EWS742" s="124"/>
      <c r="EWT742" s="124"/>
      <c r="EWU742" s="124"/>
      <c r="EWV742" s="124"/>
      <c r="EWW742" s="124"/>
      <c r="EWX742" s="124"/>
      <c r="EWY742" s="124"/>
      <c r="EWZ742" s="124"/>
      <c r="EXA742" s="124"/>
      <c r="EXB742" s="124"/>
      <c r="EXC742" s="124"/>
      <c r="EXD742" s="124"/>
      <c r="EXE742" s="124"/>
      <c r="EXF742" s="124"/>
      <c r="EXG742" s="124"/>
      <c r="EXH742" s="124"/>
      <c r="EXI742" s="124"/>
      <c r="EXJ742" s="124"/>
      <c r="EXK742" s="124"/>
      <c r="EXL742" s="124"/>
      <c r="EXM742" s="124"/>
      <c r="EXN742" s="124"/>
      <c r="EXO742" s="124"/>
      <c r="EXP742" s="124"/>
      <c r="EXQ742" s="124"/>
      <c r="EXR742" s="124"/>
      <c r="EXS742" s="124"/>
      <c r="EXT742" s="124"/>
      <c r="EXU742" s="124"/>
      <c r="EXV742" s="124"/>
      <c r="EXW742" s="124"/>
      <c r="EXX742" s="124"/>
      <c r="EXY742" s="124"/>
      <c r="EXZ742" s="124"/>
      <c r="EYA742" s="124"/>
      <c r="EYB742" s="124"/>
      <c r="EYC742" s="124"/>
      <c r="EYD742" s="124"/>
      <c r="EYE742" s="124"/>
      <c r="EYF742" s="124"/>
      <c r="EYG742" s="124"/>
      <c r="EYH742" s="124"/>
      <c r="EYI742" s="124"/>
      <c r="EYJ742" s="124"/>
      <c r="EYK742" s="124"/>
      <c r="EYL742" s="124"/>
      <c r="EYM742" s="124"/>
      <c r="EYN742" s="124"/>
      <c r="EYO742" s="124"/>
      <c r="EYP742" s="124"/>
      <c r="EYQ742" s="124"/>
      <c r="EYR742" s="124"/>
      <c r="EYS742" s="124"/>
      <c r="EYT742" s="124"/>
      <c r="EYU742" s="124"/>
      <c r="EYV742" s="124"/>
      <c r="EYW742" s="124"/>
      <c r="EYX742" s="124"/>
      <c r="EYY742" s="124"/>
      <c r="EYZ742" s="124"/>
      <c r="EZA742" s="124"/>
      <c r="EZB742" s="124"/>
      <c r="EZC742" s="124"/>
      <c r="EZD742" s="124"/>
      <c r="EZE742" s="124"/>
      <c r="EZF742" s="124"/>
      <c r="EZG742" s="124"/>
      <c r="EZH742" s="124"/>
      <c r="EZI742" s="124"/>
      <c r="EZJ742" s="124"/>
      <c r="EZK742" s="124"/>
      <c r="EZL742" s="124"/>
      <c r="EZM742" s="124"/>
      <c r="EZN742" s="124"/>
      <c r="EZO742" s="124"/>
      <c r="EZP742" s="124"/>
      <c r="EZQ742" s="124"/>
      <c r="EZR742" s="124"/>
      <c r="EZS742" s="124"/>
      <c r="EZT742" s="124"/>
      <c r="EZU742" s="124"/>
      <c r="EZV742" s="124"/>
      <c r="EZW742" s="124"/>
      <c r="EZX742" s="124"/>
      <c r="EZY742" s="124"/>
      <c r="EZZ742" s="124"/>
      <c r="FAA742" s="124"/>
      <c r="FAB742" s="124"/>
      <c r="FAC742" s="124"/>
      <c r="FAD742" s="124"/>
      <c r="FAE742" s="124"/>
      <c r="FAF742" s="124"/>
      <c r="FAG742" s="124"/>
      <c r="FAH742" s="124"/>
      <c r="FAI742" s="124"/>
      <c r="FAJ742" s="124"/>
      <c r="FAK742" s="124"/>
      <c r="FAL742" s="124"/>
      <c r="FAM742" s="124"/>
      <c r="FAN742" s="124"/>
      <c r="FAO742" s="124"/>
      <c r="FAP742" s="124"/>
      <c r="FAQ742" s="124"/>
      <c r="FAR742" s="124"/>
      <c r="FAS742" s="124"/>
      <c r="FAT742" s="124"/>
      <c r="FAU742" s="124"/>
      <c r="FAV742" s="124"/>
      <c r="FAW742" s="124"/>
      <c r="FAX742" s="124"/>
      <c r="FAY742" s="124"/>
      <c r="FAZ742" s="124"/>
      <c r="FBA742" s="124"/>
      <c r="FBB742" s="124"/>
      <c r="FBC742" s="124"/>
      <c r="FBD742" s="124"/>
      <c r="FBE742" s="124"/>
      <c r="FBF742" s="124"/>
      <c r="FBG742" s="124"/>
      <c r="FBH742" s="124"/>
      <c r="FBI742" s="124"/>
      <c r="FBJ742" s="124"/>
      <c r="FBK742" s="124"/>
      <c r="FBL742" s="124"/>
      <c r="FBM742" s="124"/>
      <c r="FBN742" s="124"/>
      <c r="FBO742" s="124"/>
      <c r="FBP742" s="124"/>
      <c r="FBQ742" s="124"/>
      <c r="FBR742" s="124"/>
      <c r="FBS742" s="124"/>
      <c r="FBT742" s="124"/>
      <c r="FBU742" s="124"/>
      <c r="FBV742" s="124"/>
      <c r="FBW742" s="124"/>
      <c r="FBX742" s="124"/>
      <c r="FBY742" s="124"/>
      <c r="FBZ742" s="124"/>
      <c r="FCA742" s="124"/>
      <c r="FCB742" s="124"/>
      <c r="FCC742" s="124"/>
      <c r="FCD742" s="124"/>
      <c r="FCE742" s="124"/>
      <c r="FCF742" s="124"/>
      <c r="FCG742" s="124"/>
      <c r="FCH742" s="124"/>
      <c r="FCI742" s="124"/>
      <c r="FCJ742" s="124"/>
      <c r="FCK742" s="124"/>
      <c r="FCL742" s="124"/>
      <c r="FCM742" s="124"/>
      <c r="FCN742" s="124"/>
      <c r="FCO742" s="124"/>
      <c r="FCP742" s="124"/>
      <c r="FCQ742" s="124"/>
      <c r="FCR742" s="124"/>
      <c r="FCS742" s="124"/>
      <c r="FCT742" s="124"/>
      <c r="FCU742" s="124"/>
      <c r="FCV742" s="124"/>
      <c r="FCW742" s="124"/>
      <c r="FCX742" s="124"/>
      <c r="FCY742" s="124"/>
      <c r="FCZ742" s="124"/>
      <c r="FDA742" s="124"/>
      <c r="FDB742" s="124"/>
      <c r="FDC742" s="124"/>
      <c r="FDD742" s="124"/>
      <c r="FDE742" s="124"/>
      <c r="FDF742" s="124"/>
      <c r="FDG742" s="124"/>
      <c r="FDH742" s="124"/>
      <c r="FDI742" s="124"/>
      <c r="FDJ742" s="124"/>
      <c r="FDK742" s="124"/>
      <c r="FDL742" s="124"/>
      <c r="FDM742" s="124"/>
      <c r="FDN742" s="124"/>
      <c r="FDO742" s="124"/>
      <c r="FDP742" s="124"/>
      <c r="FDQ742" s="124"/>
      <c r="FDR742" s="124"/>
      <c r="FDS742" s="124"/>
      <c r="FDT742" s="124"/>
      <c r="FDU742" s="124"/>
      <c r="FDV742" s="124"/>
      <c r="FDW742" s="124"/>
      <c r="FDX742" s="124"/>
      <c r="FDY742" s="124"/>
      <c r="FDZ742" s="124"/>
      <c r="FEA742" s="124"/>
      <c r="FEB742" s="124"/>
      <c r="FEC742" s="124"/>
      <c r="FED742" s="124"/>
      <c r="FEE742" s="124"/>
      <c r="FEF742" s="124"/>
      <c r="FEG742" s="124"/>
      <c r="FEH742" s="124"/>
      <c r="FEI742" s="124"/>
      <c r="FEJ742" s="124"/>
      <c r="FEK742" s="124"/>
      <c r="FEL742" s="124"/>
      <c r="FEM742" s="124"/>
      <c r="FEN742" s="124"/>
      <c r="FEO742" s="124"/>
      <c r="FEP742" s="124"/>
      <c r="FEQ742" s="124"/>
      <c r="FER742" s="124"/>
      <c r="FES742" s="124"/>
      <c r="FET742" s="124"/>
      <c r="FEU742" s="124"/>
      <c r="FEV742" s="124"/>
      <c r="FEW742" s="124"/>
      <c r="FEX742" s="124"/>
      <c r="FEY742" s="124"/>
      <c r="FEZ742" s="124"/>
      <c r="FFA742" s="124"/>
      <c r="FFB742" s="124"/>
      <c r="FFC742" s="124"/>
      <c r="FFD742" s="124"/>
      <c r="FFE742" s="124"/>
      <c r="FFF742" s="124"/>
      <c r="FFG742" s="124"/>
      <c r="FFH742" s="124"/>
      <c r="FFI742" s="124"/>
      <c r="FFJ742" s="124"/>
      <c r="FFK742" s="124"/>
      <c r="FFL742" s="124"/>
      <c r="FFM742" s="124"/>
      <c r="FFN742" s="124"/>
      <c r="FFO742" s="124"/>
      <c r="FFP742" s="124"/>
      <c r="FFQ742" s="124"/>
      <c r="FFR742" s="124"/>
      <c r="FFS742" s="124"/>
      <c r="FFT742" s="124"/>
      <c r="FFU742" s="124"/>
      <c r="FFV742" s="124"/>
      <c r="FFW742" s="124"/>
      <c r="FFX742" s="124"/>
      <c r="FFY742" s="124"/>
      <c r="FFZ742" s="124"/>
      <c r="FGA742" s="124"/>
      <c r="FGB742" s="124"/>
      <c r="FGC742" s="124"/>
      <c r="FGD742" s="124"/>
      <c r="FGE742" s="124"/>
      <c r="FGF742" s="124"/>
      <c r="FGG742" s="124"/>
      <c r="FGH742" s="124"/>
      <c r="FGI742" s="124"/>
      <c r="FGJ742" s="124"/>
      <c r="FGK742" s="124"/>
      <c r="FGL742" s="124"/>
      <c r="FGM742" s="124"/>
      <c r="FGN742" s="124"/>
      <c r="FGO742" s="124"/>
      <c r="FGP742" s="124"/>
      <c r="FGQ742" s="124"/>
      <c r="FGR742" s="124"/>
      <c r="FGS742" s="124"/>
      <c r="FGT742" s="124"/>
      <c r="FGU742" s="124"/>
      <c r="FGV742" s="124"/>
      <c r="FGW742" s="124"/>
      <c r="FGX742" s="124"/>
      <c r="FGY742" s="124"/>
      <c r="FGZ742" s="124"/>
      <c r="FHA742" s="124"/>
      <c r="FHB742" s="124"/>
      <c r="FHC742" s="124"/>
      <c r="FHD742" s="124"/>
      <c r="FHE742" s="124"/>
      <c r="FHF742" s="124"/>
      <c r="FHG742" s="124"/>
      <c r="FHH742" s="124"/>
      <c r="FHI742" s="124"/>
      <c r="FHJ742" s="124"/>
      <c r="FHK742" s="124"/>
      <c r="FHL742" s="124"/>
      <c r="FHM742" s="124"/>
      <c r="FHN742" s="124"/>
      <c r="FHO742" s="124"/>
      <c r="FHP742" s="124"/>
      <c r="FHQ742" s="124"/>
      <c r="FHR742" s="124"/>
      <c r="FHS742" s="124"/>
      <c r="FHT742" s="124"/>
      <c r="FHU742" s="124"/>
      <c r="FHV742" s="124"/>
      <c r="FHW742" s="124"/>
      <c r="FHX742" s="124"/>
      <c r="FHY742" s="124"/>
      <c r="FHZ742" s="124"/>
      <c r="FIA742" s="124"/>
      <c r="FIB742" s="124"/>
      <c r="FIC742" s="124"/>
      <c r="FID742" s="124"/>
      <c r="FIE742" s="124"/>
      <c r="FIF742" s="124"/>
      <c r="FIG742" s="124"/>
      <c r="FIH742" s="124"/>
      <c r="FII742" s="124"/>
      <c r="FIJ742" s="124"/>
      <c r="FIK742" s="124"/>
      <c r="FIL742" s="124"/>
      <c r="FIM742" s="124"/>
      <c r="FIN742" s="124"/>
      <c r="FIO742" s="124"/>
      <c r="FIP742" s="124"/>
      <c r="FIQ742" s="124"/>
      <c r="FIR742" s="124"/>
      <c r="FIS742" s="124"/>
      <c r="FIT742" s="124"/>
      <c r="FIU742" s="124"/>
      <c r="FIV742" s="124"/>
      <c r="FIW742" s="124"/>
      <c r="FIX742" s="124"/>
      <c r="FIY742" s="124"/>
      <c r="FIZ742" s="124"/>
      <c r="FJA742" s="124"/>
      <c r="FJB742" s="124"/>
      <c r="FJC742" s="124"/>
      <c r="FJD742" s="124"/>
      <c r="FJE742" s="124"/>
      <c r="FJF742" s="124"/>
      <c r="FJG742" s="124"/>
      <c r="FJH742" s="124"/>
      <c r="FJI742" s="124"/>
      <c r="FJJ742" s="124"/>
      <c r="FJK742" s="124"/>
      <c r="FJL742" s="124"/>
      <c r="FJM742" s="124"/>
      <c r="FJN742" s="124"/>
      <c r="FJO742" s="124"/>
      <c r="FJP742" s="124"/>
      <c r="FJQ742" s="124"/>
      <c r="FJR742" s="124"/>
      <c r="FJS742" s="124"/>
      <c r="FJT742" s="124"/>
      <c r="FJU742" s="124"/>
      <c r="FJV742" s="124"/>
      <c r="FJW742" s="124"/>
      <c r="FJX742" s="124"/>
      <c r="FJY742" s="124"/>
      <c r="FJZ742" s="124"/>
      <c r="FKA742" s="124"/>
      <c r="FKB742" s="124"/>
      <c r="FKC742" s="124"/>
      <c r="FKD742" s="124"/>
      <c r="FKE742" s="124"/>
      <c r="FKF742" s="124"/>
      <c r="FKG742" s="124"/>
      <c r="FKH742" s="124"/>
      <c r="FKI742" s="124"/>
      <c r="FKJ742" s="124"/>
      <c r="FKK742" s="124"/>
      <c r="FKL742" s="124"/>
      <c r="FKM742" s="124"/>
      <c r="FKN742" s="124"/>
      <c r="FKO742" s="124"/>
      <c r="FKP742" s="124"/>
      <c r="FKQ742" s="124"/>
      <c r="FKR742" s="124"/>
      <c r="FKS742" s="124"/>
      <c r="FKT742" s="124"/>
      <c r="FKU742" s="124"/>
      <c r="FKV742" s="124"/>
      <c r="FKW742" s="124"/>
      <c r="FKX742" s="124"/>
      <c r="FKY742" s="124"/>
      <c r="FKZ742" s="124"/>
      <c r="FLA742" s="124"/>
      <c r="FLB742" s="124"/>
      <c r="FLC742" s="124"/>
      <c r="FLD742" s="124"/>
      <c r="FLE742" s="124"/>
      <c r="FLF742" s="124"/>
      <c r="FLG742" s="124"/>
      <c r="FLH742" s="124"/>
      <c r="FLI742" s="124"/>
      <c r="FLJ742" s="124"/>
      <c r="FLK742" s="124"/>
      <c r="FLL742" s="124"/>
      <c r="FLM742" s="124"/>
      <c r="FLN742" s="124"/>
      <c r="FLO742" s="124"/>
      <c r="FLP742" s="124"/>
      <c r="FLQ742" s="124"/>
      <c r="FLR742" s="124"/>
      <c r="FLS742" s="124"/>
      <c r="FLT742" s="124"/>
      <c r="FLU742" s="124"/>
      <c r="FLV742" s="124"/>
      <c r="FLW742" s="124"/>
      <c r="FLX742" s="124"/>
      <c r="FLY742" s="124"/>
      <c r="FLZ742" s="124"/>
      <c r="FMA742" s="124"/>
      <c r="FMB742" s="124"/>
      <c r="FMC742" s="124"/>
      <c r="FMD742" s="124"/>
      <c r="FME742" s="124"/>
      <c r="FMF742" s="124"/>
      <c r="FMG742" s="124"/>
      <c r="FMH742" s="124"/>
      <c r="FMI742" s="124"/>
      <c r="FMJ742" s="124"/>
      <c r="FMK742" s="124"/>
      <c r="FML742" s="124"/>
      <c r="FMM742" s="124"/>
      <c r="FMN742" s="124"/>
      <c r="FMO742" s="124"/>
      <c r="FMP742" s="124"/>
      <c r="FMQ742" s="124"/>
      <c r="FMR742" s="124"/>
      <c r="FMS742" s="124"/>
      <c r="FMT742" s="124"/>
      <c r="FMU742" s="124"/>
      <c r="FMV742" s="124"/>
      <c r="FMW742" s="124"/>
      <c r="FMX742" s="124"/>
      <c r="FMY742" s="124"/>
      <c r="FMZ742" s="124"/>
      <c r="FNA742" s="124"/>
      <c r="FNB742" s="124"/>
      <c r="FNC742" s="124"/>
      <c r="FND742" s="124"/>
      <c r="FNE742" s="124"/>
      <c r="FNF742" s="124"/>
      <c r="FNG742" s="124"/>
      <c r="FNH742" s="124"/>
      <c r="FNI742" s="124"/>
      <c r="FNJ742" s="124"/>
      <c r="FNK742" s="124"/>
      <c r="FNL742" s="124"/>
      <c r="FNM742" s="124"/>
      <c r="FNN742" s="124"/>
      <c r="FNO742" s="124"/>
      <c r="FNP742" s="124"/>
      <c r="FNQ742" s="124"/>
      <c r="FNR742" s="124"/>
      <c r="FNS742" s="124"/>
      <c r="FNT742" s="124"/>
      <c r="FNU742" s="124"/>
      <c r="FNV742" s="124"/>
      <c r="FNW742" s="124"/>
      <c r="FNX742" s="124"/>
      <c r="FNY742" s="124"/>
      <c r="FNZ742" s="124"/>
      <c r="FOA742" s="124"/>
      <c r="FOB742" s="124"/>
      <c r="FOC742" s="124"/>
      <c r="FOD742" s="124"/>
      <c r="FOE742" s="124"/>
      <c r="FOF742" s="124"/>
      <c r="FOG742" s="124"/>
      <c r="FOH742" s="124"/>
      <c r="FOI742" s="124"/>
      <c r="FOJ742" s="124"/>
      <c r="FOK742" s="124"/>
      <c r="FOL742" s="124"/>
      <c r="FOM742" s="124"/>
      <c r="FON742" s="124"/>
      <c r="FOO742" s="124"/>
      <c r="FOP742" s="124"/>
      <c r="FOQ742" s="124"/>
      <c r="FOR742" s="124"/>
      <c r="FOS742" s="124"/>
      <c r="FOT742" s="124"/>
      <c r="FOU742" s="124"/>
      <c r="FOV742" s="124"/>
      <c r="FOW742" s="124"/>
      <c r="FOX742" s="124"/>
      <c r="FOY742" s="124"/>
      <c r="FOZ742" s="124"/>
      <c r="FPA742" s="124"/>
      <c r="FPB742" s="124"/>
      <c r="FPC742" s="124"/>
      <c r="FPD742" s="124"/>
      <c r="FPE742" s="124"/>
      <c r="FPF742" s="124"/>
      <c r="FPG742" s="124"/>
      <c r="FPH742" s="124"/>
      <c r="FPI742" s="124"/>
      <c r="FPJ742" s="124"/>
      <c r="FPK742" s="124"/>
      <c r="FPL742" s="124"/>
      <c r="FPM742" s="124"/>
      <c r="FPN742" s="124"/>
      <c r="FPO742" s="124"/>
      <c r="FPP742" s="124"/>
      <c r="FPQ742" s="124"/>
      <c r="FPR742" s="124"/>
      <c r="FPS742" s="124"/>
      <c r="FPT742" s="124"/>
      <c r="FPU742" s="124"/>
      <c r="FPV742" s="124"/>
      <c r="FPW742" s="124"/>
      <c r="FPX742" s="124"/>
      <c r="FPY742" s="124"/>
      <c r="FPZ742" s="124"/>
      <c r="FQA742" s="124"/>
      <c r="FQB742" s="124"/>
      <c r="FQC742" s="124"/>
      <c r="FQD742" s="124"/>
      <c r="FQE742" s="124"/>
      <c r="FQF742" s="124"/>
      <c r="FQG742" s="124"/>
      <c r="FQH742" s="124"/>
      <c r="FQI742" s="124"/>
      <c r="FQJ742" s="124"/>
      <c r="FQK742" s="124"/>
      <c r="FQL742" s="124"/>
      <c r="FQM742" s="124"/>
      <c r="FQN742" s="124"/>
      <c r="FQO742" s="124"/>
      <c r="FQP742" s="124"/>
      <c r="FQQ742" s="124"/>
      <c r="FQR742" s="124"/>
      <c r="FQS742" s="124"/>
      <c r="FQT742" s="124"/>
      <c r="FQU742" s="124"/>
      <c r="FQV742" s="124"/>
      <c r="FQW742" s="124"/>
      <c r="FQX742" s="124"/>
      <c r="FQY742" s="124"/>
      <c r="FQZ742" s="124"/>
      <c r="FRA742" s="124"/>
      <c r="FRB742" s="124"/>
      <c r="FRC742" s="124"/>
      <c r="FRD742" s="124"/>
      <c r="FRE742" s="124"/>
      <c r="FRF742" s="124"/>
      <c r="FRG742" s="124"/>
      <c r="FRH742" s="124"/>
      <c r="FRI742" s="124"/>
      <c r="FRJ742" s="124"/>
      <c r="FRK742" s="124"/>
      <c r="FRL742" s="124"/>
      <c r="FRM742" s="124"/>
      <c r="FRN742" s="124"/>
      <c r="FRO742" s="124"/>
      <c r="FRP742" s="124"/>
      <c r="FRQ742" s="124"/>
      <c r="FRR742" s="124"/>
      <c r="FRS742" s="124"/>
      <c r="FRT742" s="124"/>
      <c r="FRU742" s="124"/>
      <c r="FRV742" s="124"/>
      <c r="FRW742" s="124"/>
      <c r="FRX742" s="124"/>
      <c r="FRY742" s="124"/>
      <c r="FRZ742" s="124"/>
      <c r="FSA742" s="124"/>
      <c r="FSB742" s="124"/>
      <c r="FSC742" s="124"/>
      <c r="FSD742" s="124"/>
      <c r="FSE742" s="124"/>
      <c r="FSF742" s="124"/>
      <c r="FSG742" s="124"/>
      <c r="FSH742" s="124"/>
      <c r="FSI742" s="124"/>
      <c r="FSJ742" s="124"/>
      <c r="FSK742" s="124"/>
      <c r="FSL742" s="124"/>
      <c r="FSM742" s="124"/>
      <c r="FSN742" s="124"/>
      <c r="FSO742" s="124"/>
      <c r="FSP742" s="124"/>
      <c r="FSQ742" s="124"/>
      <c r="FSR742" s="124"/>
      <c r="FSS742" s="124"/>
      <c r="FST742" s="124"/>
      <c r="FSU742" s="124"/>
      <c r="FSV742" s="124"/>
      <c r="FSW742" s="124"/>
      <c r="FSX742" s="124"/>
      <c r="FSY742" s="124"/>
      <c r="FSZ742" s="124"/>
      <c r="FTA742" s="124"/>
      <c r="FTB742" s="124"/>
      <c r="FTC742" s="124"/>
      <c r="FTD742" s="124"/>
      <c r="FTE742" s="124"/>
      <c r="FTF742" s="124"/>
      <c r="FTG742" s="124"/>
      <c r="FTH742" s="124"/>
      <c r="FTI742" s="124"/>
      <c r="FTJ742" s="124"/>
      <c r="FTK742" s="124"/>
      <c r="FTL742" s="124"/>
      <c r="FTM742" s="124"/>
      <c r="FTN742" s="124"/>
      <c r="FTO742" s="124"/>
      <c r="FTP742" s="124"/>
      <c r="FTQ742" s="124"/>
      <c r="FTR742" s="124"/>
      <c r="FTS742" s="124"/>
      <c r="FTT742" s="124"/>
      <c r="FTU742" s="124"/>
      <c r="FTV742" s="124"/>
      <c r="FTW742" s="124"/>
      <c r="FTX742" s="124"/>
      <c r="FTY742" s="124"/>
      <c r="FTZ742" s="124"/>
      <c r="FUA742" s="124"/>
      <c r="FUB742" s="124"/>
      <c r="FUC742" s="124"/>
      <c r="FUD742" s="124"/>
      <c r="FUE742" s="124"/>
      <c r="FUF742" s="124"/>
      <c r="FUG742" s="124"/>
      <c r="FUH742" s="124"/>
      <c r="FUI742" s="124"/>
      <c r="FUJ742" s="124"/>
      <c r="FUK742" s="124"/>
      <c r="FUL742" s="124"/>
      <c r="FUM742" s="124"/>
      <c r="FUN742" s="124"/>
      <c r="FUO742" s="124"/>
      <c r="FUP742" s="124"/>
      <c r="FUQ742" s="124"/>
      <c r="FUR742" s="124"/>
      <c r="FUS742" s="124"/>
      <c r="FUT742" s="124"/>
      <c r="FUU742" s="124"/>
      <c r="FUV742" s="124"/>
      <c r="FUW742" s="124"/>
      <c r="FUX742" s="124"/>
      <c r="FUY742" s="124"/>
      <c r="FUZ742" s="124"/>
      <c r="FVA742" s="124"/>
      <c r="FVB742" s="124"/>
      <c r="FVC742" s="124"/>
      <c r="FVD742" s="124"/>
      <c r="FVE742" s="124"/>
      <c r="FVF742" s="124"/>
      <c r="FVG742" s="124"/>
      <c r="FVH742" s="124"/>
      <c r="FVI742" s="124"/>
      <c r="FVJ742" s="124"/>
      <c r="FVK742" s="124"/>
      <c r="FVL742" s="124"/>
      <c r="FVM742" s="124"/>
      <c r="FVN742" s="124"/>
      <c r="FVO742" s="124"/>
      <c r="FVP742" s="124"/>
      <c r="FVQ742" s="124"/>
      <c r="FVR742" s="124"/>
      <c r="FVS742" s="124"/>
      <c r="FVT742" s="124"/>
      <c r="FVU742" s="124"/>
      <c r="FVV742" s="124"/>
      <c r="FVW742" s="124"/>
      <c r="FVX742" s="124"/>
      <c r="FVY742" s="124"/>
      <c r="FVZ742" s="124"/>
      <c r="FWA742" s="124"/>
      <c r="FWB742" s="124"/>
      <c r="FWC742" s="124"/>
      <c r="FWD742" s="124"/>
      <c r="FWE742" s="124"/>
      <c r="FWF742" s="124"/>
      <c r="FWG742" s="124"/>
      <c r="FWH742" s="124"/>
      <c r="FWI742" s="124"/>
      <c r="FWJ742" s="124"/>
      <c r="FWK742" s="124"/>
      <c r="FWL742" s="124"/>
      <c r="FWM742" s="124"/>
      <c r="FWN742" s="124"/>
      <c r="FWO742" s="124"/>
      <c r="FWP742" s="124"/>
      <c r="FWQ742" s="124"/>
      <c r="FWR742" s="124"/>
      <c r="FWS742" s="124"/>
      <c r="FWT742" s="124"/>
      <c r="FWU742" s="124"/>
      <c r="FWV742" s="124"/>
      <c r="FWW742" s="124"/>
      <c r="FWX742" s="124"/>
      <c r="FWY742" s="124"/>
      <c r="FWZ742" s="124"/>
      <c r="FXA742" s="124"/>
      <c r="FXB742" s="124"/>
      <c r="FXC742" s="124"/>
      <c r="FXD742" s="124"/>
      <c r="FXE742" s="124"/>
      <c r="FXF742" s="124"/>
      <c r="FXG742" s="124"/>
      <c r="FXH742" s="124"/>
      <c r="FXI742" s="124"/>
      <c r="FXJ742" s="124"/>
      <c r="FXK742" s="124"/>
      <c r="FXL742" s="124"/>
      <c r="FXM742" s="124"/>
      <c r="FXN742" s="124"/>
      <c r="FXO742" s="124"/>
      <c r="FXP742" s="124"/>
      <c r="FXQ742" s="124"/>
      <c r="FXR742" s="124"/>
      <c r="FXS742" s="124"/>
      <c r="FXT742" s="124"/>
      <c r="FXU742" s="124"/>
      <c r="FXV742" s="124"/>
      <c r="FXW742" s="124"/>
      <c r="FXX742" s="124"/>
      <c r="FXY742" s="124"/>
      <c r="FXZ742" s="124"/>
      <c r="FYA742" s="124"/>
      <c r="FYB742" s="124"/>
      <c r="FYC742" s="124"/>
      <c r="FYD742" s="124"/>
      <c r="FYE742" s="124"/>
      <c r="FYF742" s="124"/>
      <c r="FYG742" s="124"/>
      <c r="FYH742" s="124"/>
      <c r="FYI742" s="124"/>
      <c r="FYJ742" s="124"/>
      <c r="FYK742" s="124"/>
      <c r="FYL742" s="124"/>
      <c r="FYM742" s="124"/>
      <c r="FYN742" s="124"/>
      <c r="FYO742" s="124"/>
      <c r="FYP742" s="124"/>
      <c r="FYQ742" s="124"/>
      <c r="FYR742" s="124"/>
      <c r="FYS742" s="124"/>
      <c r="FYT742" s="124"/>
      <c r="FYU742" s="124"/>
      <c r="FYV742" s="124"/>
      <c r="FYW742" s="124"/>
      <c r="FYX742" s="124"/>
      <c r="FYY742" s="124"/>
      <c r="FYZ742" s="124"/>
      <c r="FZA742" s="124"/>
      <c r="FZB742" s="124"/>
      <c r="FZC742" s="124"/>
      <c r="FZD742" s="124"/>
      <c r="FZE742" s="124"/>
      <c r="FZF742" s="124"/>
      <c r="FZG742" s="124"/>
      <c r="FZH742" s="124"/>
      <c r="FZI742" s="124"/>
      <c r="FZJ742" s="124"/>
      <c r="FZK742" s="124"/>
      <c r="FZL742" s="124"/>
      <c r="FZM742" s="124"/>
      <c r="FZN742" s="124"/>
      <c r="FZO742" s="124"/>
      <c r="FZP742" s="124"/>
      <c r="FZQ742" s="124"/>
      <c r="FZR742" s="124"/>
      <c r="FZS742" s="124"/>
      <c r="FZT742" s="124"/>
      <c r="FZU742" s="124"/>
      <c r="FZV742" s="124"/>
      <c r="FZW742" s="124"/>
      <c r="FZX742" s="124"/>
      <c r="FZY742" s="124"/>
      <c r="FZZ742" s="124"/>
      <c r="GAA742" s="124"/>
      <c r="GAB742" s="124"/>
      <c r="GAC742" s="124"/>
      <c r="GAD742" s="124"/>
      <c r="GAE742" s="124"/>
      <c r="GAF742" s="124"/>
      <c r="GAG742" s="124"/>
      <c r="GAH742" s="124"/>
      <c r="GAI742" s="124"/>
      <c r="GAJ742" s="124"/>
      <c r="GAK742" s="124"/>
      <c r="GAL742" s="124"/>
      <c r="GAM742" s="124"/>
      <c r="GAN742" s="124"/>
      <c r="GAO742" s="124"/>
      <c r="GAP742" s="124"/>
      <c r="GAQ742" s="124"/>
      <c r="GAR742" s="124"/>
      <c r="GAS742" s="124"/>
      <c r="GAT742" s="124"/>
      <c r="GAU742" s="124"/>
      <c r="GAV742" s="124"/>
      <c r="GAW742" s="124"/>
      <c r="GAX742" s="124"/>
      <c r="GAY742" s="124"/>
      <c r="GAZ742" s="124"/>
      <c r="GBA742" s="124"/>
      <c r="GBB742" s="124"/>
      <c r="GBC742" s="124"/>
      <c r="GBD742" s="124"/>
      <c r="GBE742" s="124"/>
      <c r="GBF742" s="124"/>
      <c r="GBG742" s="124"/>
      <c r="GBH742" s="124"/>
      <c r="GBI742" s="124"/>
      <c r="GBJ742" s="124"/>
      <c r="GBK742" s="124"/>
      <c r="GBL742" s="124"/>
      <c r="GBM742" s="124"/>
      <c r="GBN742" s="124"/>
      <c r="GBO742" s="124"/>
      <c r="GBP742" s="124"/>
      <c r="GBQ742" s="124"/>
      <c r="GBR742" s="124"/>
      <c r="GBS742" s="124"/>
      <c r="GBT742" s="124"/>
      <c r="GBU742" s="124"/>
      <c r="GBV742" s="124"/>
      <c r="GBW742" s="124"/>
      <c r="GBX742" s="124"/>
      <c r="GBY742" s="124"/>
      <c r="GBZ742" s="124"/>
      <c r="GCA742" s="124"/>
      <c r="GCB742" s="124"/>
      <c r="GCC742" s="124"/>
      <c r="GCD742" s="124"/>
      <c r="GCE742" s="124"/>
      <c r="GCF742" s="124"/>
      <c r="GCG742" s="124"/>
      <c r="GCH742" s="124"/>
      <c r="GCI742" s="124"/>
      <c r="GCJ742" s="124"/>
      <c r="GCK742" s="124"/>
      <c r="GCL742" s="124"/>
      <c r="GCM742" s="124"/>
      <c r="GCN742" s="124"/>
      <c r="GCO742" s="124"/>
      <c r="GCP742" s="124"/>
      <c r="GCQ742" s="124"/>
      <c r="GCR742" s="124"/>
      <c r="GCS742" s="124"/>
      <c r="GCT742" s="124"/>
      <c r="GCU742" s="124"/>
      <c r="GCV742" s="124"/>
      <c r="GCW742" s="124"/>
      <c r="GCX742" s="124"/>
      <c r="GCY742" s="124"/>
      <c r="GCZ742" s="124"/>
      <c r="GDA742" s="124"/>
      <c r="GDB742" s="124"/>
      <c r="GDC742" s="124"/>
      <c r="GDD742" s="124"/>
      <c r="GDE742" s="124"/>
      <c r="GDF742" s="124"/>
      <c r="GDG742" s="124"/>
      <c r="GDH742" s="124"/>
      <c r="GDI742" s="124"/>
      <c r="GDJ742" s="124"/>
      <c r="GDK742" s="124"/>
      <c r="GDL742" s="124"/>
      <c r="GDM742" s="124"/>
      <c r="GDN742" s="124"/>
      <c r="GDO742" s="124"/>
      <c r="GDP742" s="124"/>
      <c r="GDQ742" s="124"/>
      <c r="GDR742" s="124"/>
      <c r="GDS742" s="124"/>
      <c r="GDT742" s="124"/>
      <c r="GDU742" s="124"/>
      <c r="GDV742" s="124"/>
      <c r="GDW742" s="124"/>
      <c r="GDX742" s="124"/>
      <c r="GDY742" s="124"/>
      <c r="GDZ742" s="124"/>
      <c r="GEA742" s="124"/>
      <c r="GEB742" s="124"/>
      <c r="GEC742" s="124"/>
      <c r="GED742" s="124"/>
      <c r="GEE742" s="124"/>
      <c r="GEF742" s="124"/>
      <c r="GEG742" s="124"/>
      <c r="GEH742" s="124"/>
      <c r="GEI742" s="124"/>
      <c r="GEJ742" s="124"/>
      <c r="GEK742" s="124"/>
      <c r="GEL742" s="124"/>
      <c r="GEM742" s="124"/>
      <c r="GEN742" s="124"/>
      <c r="GEO742" s="124"/>
      <c r="GEP742" s="124"/>
      <c r="GEQ742" s="124"/>
      <c r="GER742" s="124"/>
      <c r="GES742" s="124"/>
      <c r="GET742" s="124"/>
      <c r="GEU742" s="124"/>
      <c r="GEV742" s="124"/>
      <c r="GEW742" s="124"/>
      <c r="GEX742" s="124"/>
      <c r="GEY742" s="124"/>
      <c r="GEZ742" s="124"/>
      <c r="GFA742" s="124"/>
      <c r="GFB742" s="124"/>
      <c r="GFC742" s="124"/>
      <c r="GFD742" s="124"/>
      <c r="GFE742" s="124"/>
      <c r="GFF742" s="124"/>
      <c r="GFG742" s="124"/>
      <c r="GFH742" s="124"/>
      <c r="GFI742" s="124"/>
      <c r="GFJ742" s="124"/>
      <c r="GFK742" s="124"/>
      <c r="GFL742" s="124"/>
      <c r="GFM742" s="124"/>
      <c r="GFN742" s="124"/>
      <c r="GFO742" s="124"/>
      <c r="GFP742" s="124"/>
      <c r="GFQ742" s="124"/>
      <c r="GFR742" s="124"/>
      <c r="GFS742" s="124"/>
      <c r="GFT742" s="124"/>
      <c r="GFU742" s="124"/>
      <c r="GFV742" s="124"/>
      <c r="GFW742" s="124"/>
      <c r="GFX742" s="124"/>
      <c r="GFY742" s="124"/>
      <c r="GFZ742" s="124"/>
      <c r="GGA742" s="124"/>
      <c r="GGB742" s="124"/>
      <c r="GGC742" s="124"/>
      <c r="GGD742" s="124"/>
      <c r="GGE742" s="124"/>
      <c r="GGF742" s="124"/>
      <c r="GGG742" s="124"/>
      <c r="GGH742" s="124"/>
      <c r="GGI742" s="124"/>
      <c r="GGJ742" s="124"/>
      <c r="GGK742" s="124"/>
      <c r="GGL742" s="124"/>
      <c r="GGM742" s="124"/>
      <c r="GGN742" s="124"/>
      <c r="GGO742" s="124"/>
      <c r="GGP742" s="124"/>
      <c r="GGQ742" s="124"/>
      <c r="GGR742" s="124"/>
      <c r="GGS742" s="124"/>
      <c r="GGT742" s="124"/>
      <c r="GGU742" s="124"/>
      <c r="GGV742" s="124"/>
      <c r="GGW742" s="124"/>
      <c r="GGX742" s="124"/>
      <c r="GGY742" s="124"/>
      <c r="GGZ742" s="124"/>
      <c r="GHA742" s="124"/>
      <c r="GHB742" s="124"/>
      <c r="GHC742" s="124"/>
      <c r="GHD742" s="124"/>
      <c r="GHE742" s="124"/>
      <c r="GHF742" s="124"/>
      <c r="GHG742" s="124"/>
      <c r="GHH742" s="124"/>
      <c r="GHI742" s="124"/>
      <c r="GHJ742" s="124"/>
      <c r="GHK742" s="124"/>
      <c r="GHL742" s="124"/>
      <c r="GHM742" s="124"/>
      <c r="GHN742" s="124"/>
      <c r="GHO742" s="124"/>
      <c r="GHP742" s="124"/>
      <c r="GHQ742" s="124"/>
      <c r="GHR742" s="124"/>
      <c r="GHS742" s="124"/>
      <c r="GHT742" s="124"/>
      <c r="GHU742" s="124"/>
      <c r="GHV742" s="124"/>
      <c r="GHW742" s="124"/>
      <c r="GHX742" s="124"/>
      <c r="GHY742" s="124"/>
      <c r="GHZ742" s="124"/>
      <c r="GIA742" s="124"/>
      <c r="GIB742" s="124"/>
      <c r="GIC742" s="124"/>
      <c r="GID742" s="124"/>
      <c r="GIE742" s="124"/>
      <c r="GIF742" s="124"/>
      <c r="GIG742" s="124"/>
      <c r="GIH742" s="124"/>
      <c r="GII742" s="124"/>
      <c r="GIJ742" s="124"/>
      <c r="GIK742" s="124"/>
      <c r="GIL742" s="124"/>
      <c r="GIM742" s="124"/>
      <c r="GIN742" s="124"/>
      <c r="GIO742" s="124"/>
      <c r="GIP742" s="124"/>
      <c r="GIQ742" s="124"/>
      <c r="GIR742" s="124"/>
      <c r="GIS742" s="124"/>
      <c r="GIT742" s="124"/>
      <c r="GIU742" s="124"/>
      <c r="GIV742" s="124"/>
      <c r="GIW742" s="124"/>
      <c r="GIX742" s="124"/>
      <c r="GIY742" s="124"/>
      <c r="GIZ742" s="124"/>
      <c r="GJA742" s="124"/>
      <c r="GJB742" s="124"/>
      <c r="GJC742" s="124"/>
      <c r="GJD742" s="124"/>
      <c r="GJE742" s="124"/>
      <c r="GJF742" s="124"/>
      <c r="GJG742" s="124"/>
      <c r="GJH742" s="124"/>
      <c r="GJI742" s="124"/>
      <c r="GJJ742" s="124"/>
      <c r="GJK742" s="124"/>
      <c r="GJL742" s="124"/>
      <c r="GJM742" s="124"/>
      <c r="GJN742" s="124"/>
      <c r="GJO742" s="124"/>
      <c r="GJP742" s="124"/>
      <c r="GJQ742" s="124"/>
      <c r="GJR742" s="124"/>
      <c r="GJS742" s="124"/>
      <c r="GJT742" s="124"/>
      <c r="GJU742" s="124"/>
      <c r="GJV742" s="124"/>
      <c r="GJW742" s="124"/>
      <c r="GJX742" s="124"/>
      <c r="GJY742" s="124"/>
      <c r="GJZ742" s="124"/>
      <c r="GKA742" s="124"/>
      <c r="GKB742" s="124"/>
      <c r="GKC742" s="124"/>
      <c r="GKD742" s="124"/>
      <c r="GKE742" s="124"/>
      <c r="GKF742" s="124"/>
      <c r="GKG742" s="124"/>
      <c r="GKH742" s="124"/>
      <c r="GKI742" s="124"/>
      <c r="GKJ742" s="124"/>
      <c r="GKK742" s="124"/>
      <c r="GKL742" s="124"/>
      <c r="GKM742" s="124"/>
      <c r="GKN742" s="124"/>
      <c r="GKO742" s="124"/>
      <c r="GKP742" s="124"/>
      <c r="GKQ742" s="124"/>
      <c r="GKR742" s="124"/>
      <c r="GKS742" s="124"/>
      <c r="GKT742" s="124"/>
      <c r="GKU742" s="124"/>
      <c r="GKV742" s="124"/>
      <c r="GKW742" s="124"/>
      <c r="GKX742" s="124"/>
      <c r="GKY742" s="124"/>
      <c r="GKZ742" s="124"/>
      <c r="GLA742" s="124"/>
      <c r="GLB742" s="124"/>
      <c r="GLC742" s="124"/>
      <c r="GLD742" s="124"/>
      <c r="GLE742" s="124"/>
      <c r="GLF742" s="124"/>
      <c r="GLG742" s="124"/>
      <c r="GLH742" s="124"/>
      <c r="GLI742" s="124"/>
      <c r="GLJ742" s="124"/>
      <c r="GLK742" s="124"/>
      <c r="GLL742" s="124"/>
      <c r="GLM742" s="124"/>
      <c r="GLN742" s="124"/>
      <c r="GLO742" s="124"/>
      <c r="GLP742" s="124"/>
      <c r="GLQ742" s="124"/>
      <c r="GLR742" s="124"/>
      <c r="GLS742" s="124"/>
      <c r="GLT742" s="124"/>
      <c r="GLU742" s="124"/>
      <c r="GLV742" s="124"/>
      <c r="GLW742" s="124"/>
      <c r="GLX742" s="124"/>
      <c r="GLY742" s="124"/>
      <c r="GLZ742" s="124"/>
      <c r="GMA742" s="124"/>
      <c r="GMB742" s="124"/>
      <c r="GMC742" s="124"/>
      <c r="GMD742" s="124"/>
      <c r="GME742" s="124"/>
      <c r="GMF742" s="124"/>
      <c r="GMG742" s="124"/>
      <c r="GMH742" s="124"/>
      <c r="GMI742" s="124"/>
      <c r="GMJ742" s="124"/>
      <c r="GMK742" s="124"/>
      <c r="GML742" s="124"/>
      <c r="GMM742" s="124"/>
      <c r="GMN742" s="124"/>
      <c r="GMO742" s="124"/>
      <c r="GMP742" s="124"/>
      <c r="GMQ742" s="124"/>
      <c r="GMR742" s="124"/>
      <c r="GMS742" s="124"/>
      <c r="GMT742" s="124"/>
      <c r="GMU742" s="124"/>
      <c r="GMV742" s="124"/>
      <c r="GMW742" s="124"/>
      <c r="GMX742" s="124"/>
      <c r="GMY742" s="124"/>
      <c r="GMZ742" s="124"/>
      <c r="GNA742" s="124"/>
      <c r="GNB742" s="124"/>
      <c r="GNC742" s="124"/>
      <c r="GND742" s="124"/>
      <c r="GNE742" s="124"/>
      <c r="GNF742" s="124"/>
      <c r="GNG742" s="124"/>
      <c r="GNH742" s="124"/>
      <c r="GNI742" s="124"/>
      <c r="GNJ742" s="124"/>
      <c r="GNK742" s="124"/>
      <c r="GNL742" s="124"/>
      <c r="GNM742" s="124"/>
      <c r="GNN742" s="124"/>
      <c r="GNO742" s="124"/>
      <c r="GNP742" s="124"/>
      <c r="GNQ742" s="124"/>
      <c r="GNR742" s="124"/>
      <c r="GNS742" s="124"/>
      <c r="GNT742" s="124"/>
      <c r="GNU742" s="124"/>
      <c r="GNV742" s="124"/>
      <c r="GNW742" s="124"/>
      <c r="GNX742" s="124"/>
      <c r="GNY742" s="124"/>
      <c r="GNZ742" s="124"/>
      <c r="GOA742" s="124"/>
      <c r="GOB742" s="124"/>
      <c r="GOC742" s="124"/>
      <c r="GOD742" s="124"/>
      <c r="GOE742" s="124"/>
      <c r="GOF742" s="124"/>
      <c r="GOG742" s="124"/>
      <c r="GOH742" s="124"/>
      <c r="GOI742" s="124"/>
      <c r="GOJ742" s="124"/>
      <c r="GOK742" s="124"/>
      <c r="GOL742" s="124"/>
      <c r="GOM742" s="124"/>
      <c r="GON742" s="124"/>
      <c r="GOO742" s="124"/>
      <c r="GOP742" s="124"/>
      <c r="GOQ742" s="124"/>
      <c r="GOR742" s="124"/>
      <c r="GOS742" s="124"/>
      <c r="GOT742" s="124"/>
      <c r="GOU742" s="124"/>
      <c r="GOV742" s="124"/>
      <c r="GOW742" s="124"/>
      <c r="GOX742" s="124"/>
      <c r="GOY742" s="124"/>
      <c r="GOZ742" s="124"/>
      <c r="GPA742" s="124"/>
      <c r="GPB742" s="124"/>
      <c r="GPC742" s="124"/>
      <c r="GPD742" s="124"/>
      <c r="GPE742" s="124"/>
      <c r="GPF742" s="124"/>
      <c r="GPG742" s="124"/>
      <c r="GPH742" s="124"/>
      <c r="GPI742" s="124"/>
      <c r="GPJ742" s="124"/>
      <c r="GPK742" s="124"/>
      <c r="GPL742" s="124"/>
      <c r="GPM742" s="124"/>
      <c r="GPN742" s="124"/>
      <c r="GPO742" s="124"/>
      <c r="GPP742" s="124"/>
      <c r="GPQ742" s="124"/>
      <c r="GPR742" s="124"/>
      <c r="GPS742" s="124"/>
      <c r="GPT742" s="124"/>
      <c r="GPU742" s="124"/>
      <c r="GPV742" s="124"/>
      <c r="GPW742" s="124"/>
      <c r="GPX742" s="124"/>
      <c r="GPY742" s="124"/>
      <c r="GPZ742" s="124"/>
      <c r="GQA742" s="124"/>
      <c r="GQB742" s="124"/>
      <c r="GQC742" s="124"/>
      <c r="GQD742" s="124"/>
      <c r="GQE742" s="124"/>
      <c r="GQF742" s="124"/>
      <c r="GQG742" s="124"/>
      <c r="GQH742" s="124"/>
      <c r="GQI742" s="124"/>
      <c r="GQJ742" s="124"/>
      <c r="GQK742" s="124"/>
      <c r="GQL742" s="124"/>
      <c r="GQM742" s="124"/>
      <c r="GQN742" s="124"/>
      <c r="GQO742" s="124"/>
      <c r="GQP742" s="124"/>
      <c r="GQQ742" s="124"/>
      <c r="GQR742" s="124"/>
      <c r="GQS742" s="124"/>
      <c r="GQT742" s="124"/>
      <c r="GQU742" s="124"/>
      <c r="GQV742" s="124"/>
      <c r="GQW742" s="124"/>
      <c r="GQX742" s="124"/>
      <c r="GQY742" s="124"/>
      <c r="GQZ742" s="124"/>
      <c r="GRA742" s="124"/>
      <c r="GRB742" s="124"/>
      <c r="GRC742" s="124"/>
      <c r="GRD742" s="124"/>
      <c r="GRE742" s="124"/>
      <c r="GRF742" s="124"/>
      <c r="GRG742" s="124"/>
      <c r="GRH742" s="124"/>
      <c r="GRI742" s="124"/>
      <c r="GRJ742" s="124"/>
      <c r="GRK742" s="124"/>
      <c r="GRL742" s="124"/>
      <c r="GRM742" s="124"/>
      <c r="GRN742" s="124"/>
      <c r="GRO742" s="124"/>
      <c r="GRP742" s="124"/>
      <c r="GRQ742" s="124"/>
      <c r="GRR742" s="124"/>
      <c r="GRS742" s="124"/>
      <c r="GRT742" s="124"/>
      <c r="GRU742" s="124"/>
      <c r="GRV742" s="124"/>
      <c r="GRW742" s="124"/>
      <c r="GRX742" s="124"/>
      <c r="GRY742" s="124"/>
      <c r="GRZ742" s="124"/>
      <c r="GSA742" s="124"/>
      <c r="GSB742" s="124"/>
      <c r="GSC742" s="124"/>
      <c r="GSD742" s="124"/>
      <c r="GSE742" s="124"/>
      <c r="GSF742" s="124"/>
      <c r="GSG742" s="124"/>
      <c r="GSH742" s="124"/>
      <c r="GSI742" s="124"/>
      <c r="GSJ742" s="124"/>
      <c r="GSK742" s="124"/>
      <c r="GSL742" s="124"/>
      <c r="GSM742" s="124"/>
      <c r="GSN742" s="124"/>
      <c r="GSO742" s="124"/>
      <c r="GSP742" s="124"/>
      <c r="GSQ742" s="124"/>
      <c r="GSR742" s="124"/>
      <c r="GSS742" s="124"/>
      <c r="GST742" s="124"/>
      <c r="GSU742" s="124"/>
      <c r="GSV742" s="124"/>
      <c r="GSW742" s="124"/>
      <c r="GSX742" s="124"/>
      <c r="GSY742" s="124"/>
      <c r="GSZ742" s="124"/>
      <c r="GTA742" s="124"/>
      <c r="GTB742" s="124"/>
      <c r="GTC742" s="124"/>
      <c r="GTD742" s="124"/>
      <c r="GTE742" s="124"/>
      <c r="GTF742" s="124"/>
      <c r="GTG742" s="124"/>
      <c r="GTH742" s="124"/>
      <c r="GTI742" s="124"/>
      <c r="GTJ742" s="124"/>
      <c r="GTK742" s="124"/>
      <c r="GTL742" s="124"/>
      <c r="GTM742" s="124"/>
      <c r="GTN742" s="124"/>
      <c r="GTO742" s="124"/>
      <c r="GTP742" s="124"/>
      <c r="GTQ742" s="124"/>
      <c r="GTR742" s="124"/>
      <c r="GTS742" s="124"/>
      <c r="GTT742" s="124"/>
      <c r="GTU742" s="124"/>
      <c r="GTV742" s="124"/>
      <c r="GTW742" s="124"/>
      <c r="GTX742" s="124"/>
      <c r="GTY742" s="124"/>
      <c r="GTZ742" s="124"/>
      <c r="GUA742" s="124"/>
      <c r="GUB742" s="124"/>
      <c r="GUC742" s="124"/>
      <c r="GUD742" s="124"/>
      <c r="GUE742" s="124"/>
      <c r="GUF742" s="124"/>
      <c r="GUG742" s="124"/>
      <c r="GUH742" s="124"/>
      <c r="GUI742" s="124"/>
      <c r="GUJ742" s="124"/>
      <c r="GUK742" s="124"/>
      <c r="GUL742" s="124"/>
      <c r="GUM742" s="124"/>
      <c r="GUN742" s="124"/>
      <c r="GUO742" s="124"/>
      <c r="GUP742" s="124"/>
      <c r="GUQ742" s="124"/>
      <c r="GUR742" s="124"/>
      <c r="GUS742" s="124"/>
      <c r="GUT742" s="124"/>
      <c r="GUU742" s="124"/>
      <c r="GUV742" s="124"/>
      <c r="GUW742" s="124"/>
      <c r="GUX742" s="124"/>
      <c r="GUY742" s="124"/>
      <c r="GUZ742" s="124"/>
      <c r="GVA742" s="124"/>
      <c r="GVB742" s="124"/>
      <c r="GVC742" s="124"/>
      <c r="GVD742" s="124"/>
      <c r="GVE742" s="124"/>
      <c r="GVF742" s="124"/>
      <c r="GVG742" s="124"/>
      <c r="GVH742" s="124"/>
      <c r="GVI742" s="124"/>
      <c r="GVJ742" s="124"/>
      <c r="GVK742" s="124"/>
      <c r="GVL742" s="124"/>
      <c r="GVM742" s="124"/>
      <c r="GVN742" s="124"/>
      <c r="GVO742" s="124"/>
      <c r="GVP742" s="124"/>
      <c r="GVQ742" s="124"/>
      <c r="GVR742" s="124"/>
      <c r="GVS742" s="124"/>
      <c r="GVT742" s="124"/>
      <c r="GVU742" s="124"/>
      <c r="GVV742" s="124"/>
      <c r="GVW742" s="124"/>
      <c r="GVX742" s="124"/>
      <c r="GVY742" s="124"/>
      <c r="GVZ742" s="124"/>
      <c r="GWA742" s="124"/>
      <c r="GWB742" s="124"/>
      <c r="GWC742" s="124"/>
      <c r="GWD742" s="124"/>
      <c r="GWE742" s="124"/>
      <c r="GWF742" s="124"/>
      <c r="GWG742" s="124"/>
      <c r="GWH742" s="124"/>
      <c r="GWI742" s="124"/>
      <c r="GWJ742" s="124"/>
      <c r="GWK742" s="124"/>
      <c r="GWL742" s="124"/>
      <c r="GWM742" s="124"/>
      <c r="GWN742" s="124"/>
      <c r="GWO742" s="124"/>
      <c r="GWP742" s="124"/>
      <c r="GWQ742" s="124"/>
      <c r="GWR742" s="124"/>
      <c r="GWS742" s="124"/>
      <c r="GWT742" s="124"/>
      <c r="GWU742" s="124"/>
      <c r="GWV742" s="124"/>
      <c r="GWW742" s="124"/>
      <c r="GWX742" s="124"/>
      <c r="GWY742" s="124"/>
      <c r="GWZ742" s="124"/>
      <c r="GXA742" s="124"/>
      <c r="GXB742" s="124"/>
      <c r="GXC742" s="124"/>
      <c r="GXD742" s="124"/>
      <c r="GXE742" s="124"/>
      <c r="GXF742" s="124"/>
      <c r="GXG742" s="124"/>
      <c r="GXH742" s="124"/>
      <c r="GXI742" s="124"/>
      <c r="GXJ742" s="124"/>
      <c r="GXK742" s="124"/>
      <c r="GXL742" s="124"/>
      <c r="GXM742" s="124"/>
      <c r="GXN742" s="124"/>
      <c r="GXO742" s="124"/>
      <c r="GXP742" s="124"/>
      <c r="GXQ742" s="124"/>
      <c r="GXR742" s="124"/>
      <c r="GXS742" s="124"/>
      <c r="GXT742" s="124"/>
      <c r="GXU742" s="124"/>
      <c r="GXV742" s="124"/>
      <c r="GXW742" s="124"/>
      <c r="GXX742" s="124"/>
      <c r="GXY742" s="124"/>
      <c r="GXZ742" s="124"/>
      <c r="GYA742" s="124"/>
      <c r="GYB742" s="124"/>
      <c r="GYC742" s="124"/>
      <c r="GYD742" s="124"/>
      <c r="GYE742" s="124"/>
      <c r="GYF742" s="124"/>
      <c r="GYG742" s="124"/>
      <c r="GYH742" s="124"/>
      <c r="GYI742" s="124"/>
      <c r="GYJ742" s="124"/>
      <c r="GYK742" s="124"/>
      <c r="GYL742" s="124"/>
      <c r="GYM742" s="124"/>
      <c r="GYN742" s="124"/>
      <c r="GYO742" s="124"/>
      <c r="GYP742" s="124"/>
      <c r="GYQ742" s="124"/>
      <c r="GYR742" s="124"/>
      <c r="GYS742" s="124"/>
      <c r="GYT742" s="124"/>
      <c r="GYU742" s="124"/>
      <c r="GYV742" s="124"/>
      <c r="GYW742" s="124"/>
      <c r="GYX742" s="124"/>
      <c r="GYY742" s="124"/>
      <c r="GYZ742" s="124"/>
      <c r="GZA742" s="124"/>
      <c r="GZB742" s="124"/>
      <c r="GZC742" s="124"/>
      <c r="GZD742" s="124"/>
      <c r="GZE742" s="124"/>
      <c r="GZF742" s="124"/>
      <c r="GZG742" s="124"/>
      <c r="GZH742" s="124"/>
      <c r="GZI742" s="124"/>
      <c r="GZJ742" s="124"/>
      <c r="GZK742" s="124"/>
      <c r="GZL742" s="124"/>
      <c r="GZM742" s="124"/>
      <c r="GZN742" s="124"/>
      <c r="GZO742" s="124"/>
      <c r="GZP742" s="124"/>
      <c r="GZQ742" s="124"/>
      <c r="GZR742" s="124"/>
      <c r="GZS742" s="124"/>
      <c r="GZT742" s="124"/>
      <c r="GZU742" s="124"/>
      <c r="GZV742" s="124"/>
      <c r="GZW742" s="124"/>
      <c r="GZX742" s="124"/>
      <c r="GZY742" s="124"/>
      <c r="GZZ742" s="124"/>
      <c r="HAA742" s="124"/>
      <c r="HAB742" s="124"/>
      <c r="HAC742" s="124"/>
      <c r="HAD742" s="124"/>
      <c r="HAE742" s="124"/>
      <c r="HAF742" s="124"/>
      <c r="HAG742" s="124"/>
      <c r="HAH742" s="124"/>
      <c r="HAI742" s="124"/>
      <c r="HAJ742" s="124"/>
      <c r="HAK742" s="124"/>
      <c r="HAL742" s="124"/>
      <c r="HAM742" s="124"/>
      <c r="HAN742" s="124"/>
      <c r="HAO742" s="124"/>
      <c r="HAP742" s="124"/>
      <c r="HAQ742" s="124"/>
      <c r="HAR742" s="124"/>
      <c r="HAS742" s="124"/>
      <c r="HAT742" s="124"/>
      <c r="HAU742" s="124"/>
      <c r="HAV742" s="124"/>
      <c r="HAW742" s="124"/>
      <c r="HAX742" s="124"/>
      <c r="HAY742" s="124"/>
      <c r="HAZ742" s="124"/>
      <c r="HBA742" s="124"/>
      <c r="HBB742" s="124"/>
      <c r="HBC742" s="124"/>
      <c r="HBD742" s="124"/>
      <c r="HBE742" s="124"/>
      <c r="HBF742" s="124"/>
      <c r="HBG742" s="124"/>
      <c r="HBH742" s="124"/>
      <c r="HBI742" s="124"/>
      <c r="HBJ742" s="124"/>
      <c r="HBK742" s="124"/>
      <c r="HBL742" s="124"/>
      <c r="HBM742" s="124"/>
      <c r="HBN742" s="124"/>
      <c r="HBO742" s="124"/>
      <c r="HBP742" s="124"/>
      <c r="HBQ742" s="124"/>
      <c r="HBR742" s="124"/>
      <c r="HBS742" s="124"/>
      <c r="HBT742" s="124"/>
      <c r="HBU742" s="124"/>
      <c r="HBV742" s="124"/>
      <c r="HBW742" s="124"/>
      <c r="HBX742" s="124"/>
      <c r="HBY742" s="124"/>
      <c r="HBZ742" s="124"/>
      <c r="HCA742" s="124"/>
      <c r="HCB742" s="124"/>
      <c r="HCC742" s="124"/>
      <c r="HCD742" s="124"/>
      <c r="HCE742" s="124"/>
      <c r="HCF742" s="124"/>
      <c r="HCG742" s="124"/>
      <c r="HCH742" s="124"/>
      <c r="HCI742" s="124"/>
      <c r="HCJ742" s="124"/>
      <c r="HCK742" s="124"/>
      <c r="HCL742" s="124"/>
      <c r="HCM742" s="124"/>
      <c r="HCN742" s="124"/>
      <c r="HCO742" s="124"/>
      <c r="HCP742" s="124"/>
      <c r="HCQ742" s="124"/>
      <c r="HCR742" s="124"/>
      <c r="HCS742" s="124"/>
      <c r="HCT742" s="124"/>
      <c r="HCU742" s="124"/>
      <c r="HCV742" s="124"/>
      <c r="HCW742" s="124"/>
      <c r="HCX742" s="124"/>
      <c r="HCY742" s="124"/>
      <c r="HCZ742" s="124"/>
      <c r="HDA742" s="124"/>
      <c r="HDB742" s="124"/>
      <c r="HDC742" s="124"/>
      <c r="HDD742" s="124"/>
      <c r="HDE742" s="124"/>
      <c r="HDF742" s="124"/>
      <c r="HDG742" s="124"/>
      <c r="HDH742" s="124"/>
      <c r="HDI742" s="124"/>
      <c r="HDJ742" s="124"/>
      <c r="HDK742" s="124"/>
      <c r="HDL742" s="124"/>
      <c r="HDM742" s="124"/>
      <c r="HDN742" s="124"/>
      <c r="HDO742" s="124"/>
      <c r="HDP742" s="124"/>
      <c r="HDQ742" s="124"/>
      <c r="HDR742" s="124"/>
      <c r="HDS742" s="124"/>
      <c r="HDT742" s="124"/>
      <c r="HDU742" s="124"/>
      <c r="HDV742" s="124"/>
      <c r="HDW742" s="124"/>
      <c r="HDX742" s="124"/>
      <c r="HDY742" s="124"/>
      <c r="HDZ742" s="124"/>
      <c r="HEA742" s="124"/>
      <c r="HEB742" s="124"/>
      <c r="HEC742" s="124"/>
      <c r="HED742" s="124"/>
      <c r="HEE742" s="124"/>
      <c r="HEF742" s="124"/>
      <c r="HEG742" s="124"/>
      <c r="HEH742" s="124"/>
      <c r="HEI742" s="124"/>
      <c r="HEJ742" s="124"/>
      <c r="HEK742" s="124"/>
      <c r="HEL742" s="124"/>
      <c r="HEM742" s="124"/>
      <c r="HEN742" s="124"/>
      <c r="HEO742" s="124"/>
      <c r="HEP742" s="124"/>
      <c r="HEQ742" s="124"/>
      <c r="HER742" s="124"/>
      <c r="HES742" s="124"/>
      <c r="HET742" s="124"/>
      <c r="HEU742" s="124"/>
      <c r="HEV742" s="124"/>
      <c r="HEW742" s="124"/>
      <c r="HEX742" s="124"/>
      <c r="HEY742" s="124"/>
      <c r="HEZ742" s="124"/>
      <c r="HFA742" s="124"/>
      <c r="HFB742" s="124"/>
      <c r="HFC742" s="124"/>
      <c r="HFD742" s="124"/>
      <c r="HFE742" s="124"/>
      <c r="HFF742" s="124"/>
      <c r="HFG742" s="124"/>
      <c r="HFH742" s="124"/>
      <c r="HFI742" s="124"/>
      <c r="HFJ742" s="124"/>
      <c r="HFK742" s="124"/>
      <c r="HFL742" s="124"/>
      <c r="HFM742" s="124"/>
      <c r="HFN742" s="124"/>
      <c r="HFO742" s="124"/>
      <c r="HFP742" s="124"/>
      <c r="HFQ742" s="124"/>
      <c r="HFR742" s="124"/>
      <c r="HFS742" s="124"/>
      <c r="HFT742" s="124"/>
      <c r="HFU742" s="124"/>
      <c r="HFV742" s="124"/>
      <c r="HFW742" s="124"/>
      <c r="HFX742" s="124"/>
      <c r="HFY742" s="124"/>
      <c r="HFZ742" s="124"/>
      <c r="HGA742" s="124"/>
      <c r="HGB742" s="124"/>
      <c r="HGC742" s="124"/>
      <c r="HGD742" s="124"/>
      <c r="HGE742" s="124"/>
      <c r="HGF742" s="124"/>
      <c r="HGG742" s="124"/>
      <c r="HGH742" s="124"/>
      <c r="HGI742" s="124"/>
      <c r="HGJ742" s="124"/>
      <c r="HGK742" s="124"/>
      <c r="HGL742" s="124"/>
      <c r="HGM742" s="124"/>
      <c r="HGN742" s="124"/>
      <c r="HGO742" s="124"/>
      <c r="HGP742" s="124"/>
      <c r="HGQ742" s="124"/>
      <c r="HGR742" s="124"/>
      <c r="HGS742" s="124"/>
      <c r="HGT742" s="124"/>
      <c r="HGU742" s="124"/>
      <c r="HGV742" s="124"/>
      <c r="HGW742" s="124"/>
      <c r="HGX742" s="124"/>
      <c r="HGY742" s="124"/>
      <c r="HGZ742" s="124"/>
      <c r="HHA742" s="124"/>
      <c r="HHB742" s="124"/>
      <c r="HHC742" s="124"/>
      <c r="HHD742" s="124"/>
      <c r="HHE742" s="124"/>
      <c r="HHF742" s="124"/>
      <c r="HHG742" s="124"/>
      <c r="HHH742" s="124"/>
      <c r="HHI742" s="124"/>
      <c r="HHJ742" s="124"/>
      <c r="HHK742" s="124"/>
      <c r="HHL742" s="124"/>
      <c r="HHM742" s="124"/>
      <c r="HHN742" s="124"/>
      <c r="HHO742" s="124"/>
      <c r="HHP742" s="124"/>
      <c r="HHQ742" s="124"/>
      <c r="HHR742" s="124"/>
      <c r="HHS742" s="124"/>
      <c r="HHT742" s="124"/>
      <c r="HHU742" s="124"/>
      <c r="HHV742" s="124"/>
      <c r="HHW742" s="124"/>
      <c r="HHX742" s="124"/>
      <c r="HHY742" s="124"/>
      <c r="HHZ742" s="124"/>
      <c r="HIA742" s="124"/>
      <c r="HIB742" s="124"/>
      <c r="HIC742" s="124"/>
      <c r="HID742" s="124"/>
      <c r="HIE742" s="124"/>
      <c r="HIF742" s="124"/>
      <c r="HIG742" s="124"/>
      <c r="HIH742" s="124"/>
      <c r="HII742" s="124"/>
      <c r="HIJ742" s="124"/>
      <c r="HIK742" s="124"/>
      <c r="HIL742" s="124"/>
      <c r="HIM742" s="124"/>
      <c r="HIN742" s="124"/>
      <c r="HIO742" s="124"/>
      <c r="HIP742" s="124"/>
      <c r="HIQ742" s="124"/>
      <c r="HIR742" s="124"/>
      <c r="HIS742" s="124"/>
      <c r="HIT742" s="124"/>
      <c r="HIU742" s="124"/>
      <c r="HIV742" s="124"/>
      <c r="HIW742" s="124"/>
      <c r="HIX742" s="124"/>
      <c r="HIY742" s="124"/>
      <c r="HIZ742" s="124"/>
      <c r="HJA742" s="124"/>
      <c r="HJB742" s="124"/>
      <c r="HJC742" s="124"/>
      <c r="HJD742" s="124"/>
      <c r="HJE742" s="124"/>
      <c r="HJF742" s="124"/>
      <c r="HJG742" s="124"/>
      <c r="HJH742" s="124"/>
      <c r="HJI742" s="124"/>
      <c r="HJJ742" s="124"/>
      <c r="HJK742" s="124"/>
      <c r="HJL742" s="124"/>
      <c r="HJM742" s="124"/>
      <c r="HJN742" s="124"/>
      <c r="HJO742" s="124"/>
      <c r="HJP742" s="124"/>
      <c r="HJQ742" s="124"/>
      <c r="HJR742" s="124"/>
      <c r="HJS742" s="124"/>
      <c r="HJT742" s="124"/>
      <c r="HJU742" s="124"/>
      <c r="HJV742" s="124"/>
      <c r="HJW742" s="124"/>
      <c r="HJX742" s="124"/>
      <c r="HJY742" s="124"/>
      <c r="HJZ742" s="124"/>
      <c r="HKA742" s="124"/>
      <c r="HKB742" s="124"/>
      <c r="HKC742" s="124"/>
      <c r="HKD742" s="124"/>
      <c r="HKE742" s="124"/>
      <c r="HKF742" s="124"/>
      <c r="HKG742" s="124"/>
      <c r="HKH742" s="124"/>
      <c r="HKI742" s="124"/>
      <c r="HKJ742" s="124"/>
      <c r="HKK742" s="124"/>
      <c r="HKL742" s="124"/>
      <c r="HKM742" s="124"/>
      <c r="HKN742" s="124"/>
      <c r="HKO742" s="124"/>
      <c r="HKP742" s="124"/>
      <c r="HKQ742" s="124"/>
      <c r="HKR742" s="124"/>
      <c r="HKS742" s="124"/>
      <c r="HKT742" s="124"/>
      <c r="HKU742" s="124"/>
      <c r="HKV742" s="124"/>
      <c r="HKW742" s="124"/>
      <c r="HKX742" s="124"/>
      <c r="HKY742" s="124"/>
      <c r="HKZ742" s="124"/>
      <c r="HLA742" s="124"/>
      <c r="HLB742" s="124"/>
      <c r="HLC742" s="124"/>
      <c r="HLD742" s="124"/>
      <c r="HLE742" s="124"/>
      <c r="HLF742" s="124"/>
      <c r="HLG742" s="124"/>
      <c r="HLH742" s="124"/>
      <c r="HLI742" s="124"/>
      <c r="HLJ742" s="124"/>
      <c r="HLK742" s="124"/>
      <c r="HLL742" s="124"/>
      <c r="HLM742" s="124"/>
      <c r="HLN742" s="124"/>
      <c r="HLO742" s="124"/>
      <c r="HLP742" s="124"/>
      <c r="HLQ742" s="124"/>
      <c r="HLR742" s="124"/>
      <c r="HLS742" s="124"/>
      <c r="HLT742" s="124"/>
      <c r="HLU742" s="124"/>
      <c r="HLV742" s="124"/>
      <c r="HLW742" s="124"/>
      <c r="HLX742" s="124"/>
      <c r="HLY742" s="124"/>
      <c r="HLZ742" s="124"/>
      <c r="HMA742" s="124"/>
      <c r="HMB742" s="124"/>
      <c r="HMC742" s="124"/>
      <c r="HMD742" s="124"/>
      <c r="HME742" s="124"/>
      <c r="HMF742" s="124"/>
      <c r="HMG742" s="124"/>
      <c r="HMH742" s="124"/>
      <c r="HMI742" s="124"/>
      <c r="HMJ742" s="124"/>
      <c r="HMK742" s="124"/>
      <c r="HML742" s="124"/>
      <c r="HMM742" s="124"/>
      <c r="HMN742" s="124"/>
      <c r="HMO742" s="124"/>
      <c r="HMP742" s="124"/>
      <c r="HMQ742" s="124"/>
      <c r="HMR742" s="124"/>
      <c r="HMS742" s="124"/>
      <c r="HMT742" s="124"/>
      <c r="HMU742" s="124"/>
      <c r="HMV742" s="124"/>
      <c r="HMW742" s="124"/>
      <c r="HMX742" s="124"/>
      <c r="HMY742" s="124"/>
      <c r="HMZ742" s="124"/>
      <c r="HNA742" s="124"/>
      <c r="HNB742" s="124"/>
      <c r="HNC742" s="124"/>
      <c r="HND742" s="124"/>
      <c r="HNE742" s="124"/>
      <c r="HNF742" s="124"/>
      <c r="HNG742" s="124"/>
      <c r="HNH742" s="124"/>
      <c r="HNI742" s="124"/>
      <c r="HNJ742" s="124"/>
      <c r="HNK742" s="124"/>
      <c r="HNL742" s="124"/>
      <c r="HNM742" s="124"/>
      <c r="HNN742" s="124"/>
      <c r="HNO742" s="124"/>
      <c r="HNP742" s="124"/>
      <c r="HNQ742" s="124"/>
      <c r="HNR742" s="124"/>
      <c r="HNS742" s="124"/>
      <c r="HNT742" s="124"/>
      <c r="HNU742" s="124"/>
      <c r="HNV742" s="124"/>
      <c r="HNW742" s="124"/>
      <c r="HNX742" s="124"/>
      <c r="HNY742" s="124"/>
      <c r="HNZ742" s="124"/>
      <c r="HOA742" s="124"/>
      <c r="HOB742" s="124"/>
      <c r="HOC742" s="124"/>
      <c r="HOD742" s="124"/>
      <c r="HOE742" s="124"/>
      <c r="HOF742" s="124"/>
      <c r="HOG742" s="124"/>
      <c r="HOH742" s="124"/>
      <c r="HOI742" s="124"/>
      <c r="HOJ742" s="124"/>
      <c r="HOK742" s="124"/>
      <c r="HOL742" s="124"/>
      <c r="HOM742" s="124"/>
      <c r="HON742" s="124"/>
      <c r="HOO742" s="124"/>
      <c r="HOP742" s="124"/>
      <c r="HOQ742" s="124"/>
      <c r="HOR742" s="124"/>
      <c r="HOS742" s="124"/>
      <c r="HOT742" s="124"/>
      <c r="HOU742" s="124"/>
      <c r="HOV742" s="124"/>
      <c r="HOW742" s="124"/>
      <c r="HOX742" s="124"/>
      <c r="HOY742" s="124"/>
      <c r="HOZ742" s="124"/>
      <c r="HPA742" s="124"/>
      <c r="HPB742" s="124"/>
      <c r="HPC742" s="124"/>
      <c r="HPD742" s="124"/>
      <c r="HPE742" s="124"/>
      <c r="HPF742" s="124"/>
      <c r="HPG742" s="124"/>
      <c r="HPH742" s="124"/>
      <c r="HPI742" s="124"/>
      <c r="HPJ742" s="124"/>
      <c r="HPK742" s="124"/>
      <c r="HPL742" s="124"/>
      <c r="HPM742" s="124"/>
      <c r="HPN742" s="124"/>
      <c r="HPO742" s="124"/>
      <c r="HPP742" s="124"/>
      <c r="HPQ742" s="124"/>
      <c r="HPR742" s="124"/>
      <c r="HPS742" s="124"/>
      <c r="HPT742" s="124"/>
      <c r="HPU742" s="124"/>
      <c r="HPV742" s="124"/>
      <c r="HPW742" s="124"/>
      <c r="HPX742" s="124"/>
      <c r="HPY742" s="124"/>
      <c r="HPZ742" s="124"/>
      <c r="HQA742" s="124"/>
      <c r="HQB742" s="124"/>
      <c r="HQC742" s="124"/>
      <c r="HQD742" s="124"/>
      <c r="HQE742" s="124"/>
      <c r="HQF742" s="124"/>
      <c r="HQG742" s="124"/>
      <c r="HQH742" s="124"/>
      <c r="HQI742" s="124"/>
      <c r="HQJ742" s="124"/>
      <c r="HQK742" s="124"/>
      <c r="HQL742" s="124"/>
      <c r="HQM742" s="124"/>
      <c r="HQN742" s="124"/>
      <c r="HQO742" s="124"/>
      <c r="HQP742" s="124"/>
      <c r="HQQ742" s="124"/>
      <c r="HQR742" s="124"/>
      <c r="HQS742" s="124"/>
      <c r="HQT742" s="124"/>
      <c r="HQU742" s="124"/>
      <c r="HQV742" s="124"/>
      <c r="HQW742" s="124"/>
      <c r="HQX742" s="124"/>
      <c r="HQY742" s="124"/>
      <c r="HQZ742" s="124"/>
      <c r="HRA742" s="124"/>
      <c r="HRB742" s="124"/>
      <c r="HRC742" s="124"/>
      <c r="HRD742" s="124"/>
      <c r="HRE742" s="124"/>
      <c r="HRF742" s="124"/>
      <c r="HRG742" s="124"/>
      <c r="HRH742" s="124"/>
      <c r="HRI742" s="124"/>
      <c r="HRJ742" s="124"/>
      <c r="HRK742" s="124"/>
      <c r="HRL742" s="124"/>
      <c r="HRM742" s="124"/>
      <c r="HRN742" s="124"/>
      <c r="HRO742" s="124"/>
      <c r="HRP742" s="124"/>
      <c r="HRQ742" s="124"/>
      <c r="HRR742" s="124"/>
      <c r="HRS742" s="124"/>
      <c r="HRT742" s="124"/>
      <c r="HRU742" s="124"/>
      <c r="HRV742" s="124"/>
      <c r="HRW742" s="124"/>
      <c r="HRX742" s="124"/>
      <c r="HRY742" s="124"/>
      <c r="HRZ742" s="124"/>
      <c r="HSA742" s="124"/>
      <c r="HSB742" s="124"/>
      <c r="HSC742" s="124"/>
      <c r="HSD742" s="124"/>
      <c r="HSE742" s="124"/>
      <c r="HSF742" s="124"/>
      <c r="HSG742" s="124"/>
      <c r="HSH742" s="124"/>
      <c r="HSI742" s="124"/>
      <c r="HSJ742" s="124"/>
      <c r="HSK742" s="124"/>
      <c r="HSL742" s="124"/>
      <c r="HSM742" s="124"/>
      <c r="HSN742" s="124"/>
      <c r="HSO742" s="124"/>
      <c r="HSP742" s="124"/>
      <c r="HSQ742" s="124"/>
      <c r="HSR742" s="124"/>
      <c r="HSS742" s="124"/>
      <c r="HST742" s="124"/>
      <c r="HSU742" s="124"/>
      <c r="HSV742" s="124"/>
      <c r="HSW742" s="124"/>
      <c r="HSX742" s="124"/>
      <c r="HSY742" s="124"/>
      <c r="HSZ742" s="124"/>
      <c r="HTA742" s="124"/>
      <c r="HTB742" s="124"/>
      <c r="HTC742" s="124"/>
      <c r="HTD742" s="124"/>
      <c r="HTE742" s="124"/>
      <c r="HTF742" s="124"/>
      <c r="HTG742" s="124"/>
      <c r="HTH742" s="124"/>
      <c r="HTI742" s="124"/>
      <c r="HTJ742" s="124"/>
      <c r="HTK742" s="124"/>
      <c r="HTL742" s="124"/>
      <c r="HTM742" s="124"/>
      <c r="HTN742" s="124"/>
      <c r="HTO742" s="124"/>
      <c r="HTP742" s="124"/>
      <c r="HTQ742" s="124"/>
      <c r="HTR742" s="124"/>
      <c r="HTS742" s="124"/>
      <c r="HTT742" s="124"/>
      <c r="HTU742" s="124"/>
      <c r="HTV742" s="124"/>
      <c r="HTW742" s="124"/>
      <c r="HTX742" s="124"/>
      <c r="HTY742" s="124"/>
      <c r="HTZ742" s="124"/>
      <c r="HUA742" s="124"/>
      <c r="HUB742" s="124"/>
      <c r="HUC742" s="124"/>
      <c r="HUD742" s="124"/>
      <c r="HUE742" s="124"/>
      <c r="HUF742" s="124"/>
      <c r="HUG742" s="124"/>
      <c r="HUH742" s="124"/>
      <c r="HUI742" s="124"/>
      <c r="HUJ742" s="124"/>
      <c r="HUK742" s="124"/>
      <c r="HUL742" s="124"/>
      <c r="HUM742" s="124"/>
      <c r="HUN742" s="124"/>
      <c r="HUO742" s="124"/>
      <c r="HUP742" s="124"/>
      <c r="HUQ742" s="124"/>
      <c r="HUR742" s="124"/>
      <c r="HUS742" s="124"/>
      <c r="HUT742" s="124"/>
      <c r="HUU742" s="124"/>
      <c r="HUV742" s="124"/>
      <c r="HUW742" s="124"/>
      <c r="HUX742" s="124"/>
      <c r="HUY742" s="124"/>
      <c r="HUZ742" s="124"/>
      <c r="HVA742" s="124"/>
      <c r="HVB742" s="124"/>
      <c r="HVC742" s="124"/>
      <c r="HVD742" s="124"/>
      <c r="HVE742" s="124"/>
      <c r="HVF742" s="124"/>
      <c r="HVG742" s="124"/>
      <c r="HVH742" s="124"/>
      <c r="HVI742" s="124"/>
      <c r="HVJ742" s="124"/>
      <c r="HVK742" s="124"/>
      <c r="HVL742" s="124"/>
      <c r="HVM742" s="124"/>
      <c r="HVN742" s="124"/>
      <c r="HVO742" s="124"/>
      <c r="HVP742" s="124"/>
      <c r="HVQ742" s="124"/>
      <c r="HVR742" s="124"/>
      <c r="HVS742" s="124"/>
      <c r="HVT742" s="124"/>
      <c r="HVU742" s="124"/>
      <c r="HVV742" s="124"/>
      <c r="HVW742" s="124"/>
      <c r="HVX742" s="124"/>
      <c r="HVY742" s="124"/>
      <c r="HVZ742" s="124"/>
      <c r="HWA742" s="124"/>
      <c r="HWB742" s="124"/>
      <c r="HWC742" s="124"/>
      <c r="HWD742" s="124"/>
      <c r="HWE742" s="124"/>
      <c r="HWF742" s="124"/>
      <c r="HWG742" s="124"/>
      <c r="HWH742" s="124"/>
      <c r="HWI742" s="124"/>
      <c r="HWJ742" s="124"/>
      <c r="HWK742" s="124"/>
      <c r="HWL742" s="124"/>
      <c r="HWM742" s="124"/>
      <c r="HWN742" s="124"/>
      <c r="HWO742" s="124"/>
      <c r="HWP742" s="124"/>
      <c r="HWQ742" s="124"/>
      <c r="HWR742" s="124"/>
      <c r="HWS742" s="124"/>
      <c r="HWT742" s="124"/>
      <c r="HWU742" s="124"/>
      <c r="HWV742" s="124"/>
      <c r="HWW742" s="124"/>
      <c r="HWX742" s="124"/>
      <c r="HWY742" s="124"/>
      <c r="HWZ742" s="124"/>
      <c r="HXA742" s="124"/>
      <c r="HXB742" s="124"/>
      <c r="HXC742" s="124"/>
      <c r="HXD742" s="124"/>
      <c r="HXE742" s="124"/>
      <c r="HXF742" s="124"/>
      <c r="HXG742" s="124"/>
      <c r="HXH742" s="124"/>
      <c r="HXI742" s="124"/>
      <c r="HXJ742" s="124"/>
      <c r="HXK742" s="124"/>
      <c r="HXL742" s="124"/>
      <c r="HXM742" s="124"/>
      <c r="HXN742" s="124"/>
      <c r="HXO742" s="124"/>
      <c r="HXP742" s="124"/>
      <c r="HXQ742" s="124"/>
      <c r="HXR742" s="124"/>
      <c r="HXS742" s="124"/>
      <c r="HXT742" s="124"/>
      <c r="HXU742" s="124"/>
      <c r="HXV742" s="124"/>
      <c r="HXW742" s="124"/>
      <c r="HXX742" s="124"/>
      <c r="HXY742" s="124"/>
      <c r="HXZ742" s="124"/>
      <c r="HYA742" s="124"/>
      <c r="HYB742" s="124"/>
      <c r="HYC742" s="124"/>
      <c r="HYD742" s="124"/>
      <c r="HYE742" s="124"/>
      <c r="HYF742" s="124"/>
      <c r="HYG742" s="124"/>
      <c r="HYH742" s="124"/>
      <c r="HYI742" s="124"/>
      <c r="HYJ742" s="124"/>
      <c r="HYK742" s="124"/>
      <c r="HYL742" s="124"/>
      <c r="HYM742" s="124"/>
      <c r="HYN742" s="124"/>
      <c r="HYO742" s="124"/>
      <c r="HYP742" s="124"/>
      <c r="HYQ742" s="124"/>
      <c r="HYR742" s="124"/>
      <c r="HYS742" s="124"/>
      <c r="HYT742" s="124"/>
      <c r="HYU742" s="124"/>
      <c r="HYV742" s="124"/>
      <c r="HYW742" s="124"/>
      <c r="HYX742" s="124"/>
      <c r="HYY742" s="124"/>
      <c r="HYZ742" s="124"/>
      <c r="HZA742" s="124"/>
      <c r="HZB742" s="124"/>
      <c r="HZC742" s="124"/>
      <c r="HZD742" s="124"/>
      <c r="HZE742" s="124"/>
      <c r="HZF742" s="124"/>
      <c r="HZG742" s="124"/>
      <c r="HZH742" s="124"/>
      <c r="HZI742" s="124"/>
      <c r="HZJ742" s="124"/>
      <c r="HZK742" s="124"/>
      <c r="HZL742" s="124"/>
      <c r="HZM742" s="124"/>
      <c r="HZN742" s="124"/>
      <c r="HZO742" s="124"/>
      <c r="HZP742" s="124"/>
      <c r="HZQ742" s="124"/>
      <c r="HZR742" s="124"/>
      <c r="HZS742" s="124"/>
      <c r="HZT742" s="124"/>
      <c r="HZU742" s="124"/>
      <c r="HZV742" s="124"/>
      <c r="HZW742" s="124"/>
      <c r="HZX742" s="124"/>
      <c r="HZY742" s="124"/>
      <c r="HZZ742" s="124"/>
      <c r="IAA742" s="124"/>
      <c r="IAB742" s="124"/>
      <c r="IAC742" s="124"/>
      <c r="IAD742" s="124"/>
      <c r="IAE742" s="124"/>
      <c r="IAF742" s="124"/>
      <c r="IAG742" s="124"/>
      <c r="IAH742" s="124"/>
      <c r="IAI742" s="124"/>
      <c r="IAJ742" s="124"/>
      <c r="IAK742" s="124"/>
      <c r="IAL742" s="124"/>
      <c r="IAM742" s="124"/>
      <c r="IAN742" s="124"/>
      <c r="IAO742" s="124"/>
      <c r="IAP742" s="124"/>
      <c r="IAQ742" s="124"/>
      <c r="IAR742" s="124"/>
      <c r="IAS742" s="124"/>
      <c r="IAT742" s="124"/>
      <c r="IAU742" s="124"/>
      <c r="IAV742" s="124"/>
      <c r="IAW742" s="124"/>
      <c r="IAX742" s="124"/>
      <c r="IAY742" s="124"/>
      <c r="IAZ742" s="124"/>
      <c r="IBA742" s="124"/>
      <c r="IBB742" s="124"/>
      <c r="IBC742" s="124"/>
      <c r="IBD742" s="124"/>
      <c r="IBE742" s="124"/>
      <c r="IBF742" s="124"/>
      <c r="IBG742" s="124"/>
      <c r="IBH742" s="124"/>
      <c r="IBI742" s="124"/>
      <c r="IBJ742" s="124"/>
      <c r="IBK742" s="124"/>
      <c r="IBL742" s="124"/>
      <c r="IBM742" s="124"/>
      <c r="IBN742" s="124"/>
      <c r="IBO742" s="124"/>
      <c r="IBP742" s="124"/>
      <c r="IBQ742" s="124"/>
      <c r="IBR742" s="124"/>
      <c r="IBS742" s="124"/>
      <c r="IBT742" s="124"/>
      <c r="IBU742" s="124"/>
      <c r="IBV742" s="124"/>
      <c r="IBW742" s="124"/>
      <c r="IBX742" s="124"/>
      <c r="IBY742" s="124"/>
      <c r="IBZ742" s="124"/>
      <c r="ICA742" s="124"/>
      <c r="ICB742" s="124"/>
      <c r="ICC742" s="124"/>
      <c r="ICD742" s="124"/>
      <c r="ICE742" s="124"/>
      <c r="ICF742" s="124"/>
      <c r="ICG742" s="124"/>
      <c r="ICH742" s="124"/>
      <c r="ICI742" s="124"/>
      <c r="ICJ742" s="124"/>
      <c r="ICK742" s="124"/>
      <c r="ICL742" s="124"/>
      <c r="ICM742" s="124"/>
      <c r="ICN742" s="124"/>
      <c r="ICO742" s="124"/>
      <c r="ICP742" s="124"/>
      <c r="ICQ742" s="124"/>
      <c r="ICR742" s="124"/>
      <c r="ICS742" s="124"/>
      <c r="ICT742" s="124"/>
      <c r="ICU742" s="124"/>
      <c r="ICV742" s="124"/>
      <c r="ICW742" s="124"/>
      <c r="ICX742" s="124"/>
      <c r="ICY742" s="124"/>
      <c r="ICZ742" s="124"/>
      <c r="IDA742" s="124"/>
      <c r="IDB742" s="124"/>
      <c r="IDC742" s="124"/>
      <c r="IDD742" s="124"/>
      <c r="IDE742" s="124"/>
      <c r="IDF742" s="124"/>
      <c r="IDG742" s="124"/>
      <c r="IDH742" s="124"/>
      <c r="IDI742" s="124"/>
      <c r="IDJ742" s="124"/>
      <c r="IDK742" s="124"/>
      <c r="IDL742" s="124"/>
      <c r="IDM742" s="124"/>
      <c r="IDN742" s="124"/>
      <c r="IDO742" s="124"/>
      <c r="IDP742" s="124"/>
      <c r="IDQ742" s="124"/>
      <c r="IDR742" s="124"/>
      <c r="IDS742" s="124"/>
      <c r="IDT742" s="124"/>
      <c r="IDU742" s="124"/>
      <c r="IDV742" s="124"/>
      <c r="IDW742" s="124"/>
      <c r="IDX742" s="124"/>
      <c r="IDY742" s="124"/>
      <c r="IDZ742" s="124"/>
      <c r="IEA742" s="124"/>
      <c r="IEB742" s="124"/>
      <c r="IEC742" s="124"/>
      <c r="IED742" s="124"/>
      <c r="IEE742" s="124"/>
      <c r="IEF742" s="124"/>
      <c r="IEG742" s="124"/>
      <c r="IEH742" s="124"/>
      <c r="IEI742" s="124"/>
      <c r="IEJ742" s="124"/>
      <c r="IEK742" s="124"/>
      <c r="IEL742" s="124"/>
      <c r="IEM742" s="124"/>
      <c r="IEN742" s="124"/>
      <c r="IEO742" s="124"/>
      <c r="IEP742" s="124"/>
      <c r="IEQ742" s="124"/>
      <c r="IER742" s="124"/>
      <c r="IES742" s="124"/>
      <c r="IET742" s="124"/>
      <c r="IEU742" s="124"/>
      <c r="IEV742" s="124"/>
      <c r="IEW742" s="124"/>
      <c r="IEX742" s="124"/>
      <c r="IEY742" s="124"/>
      <c r="IEZ742" s="124"/>
      <c r="IFA742" s="124"/>
      <c r="IFB742" s="124"/>
      <c r="IFC742" s="124"/>
      <c r="IFD742" s="124"/>
      <c r="IFE742" s="124"/>
      <c r="IFF742" s="124"/>
      <c r="IFG742" s="124"/>
      <c r="IFH742" s="124"/>
      <c r="IFI742" s="124"/>
      <c r="IFJ742" s="124"/>
      <c r="IFK742" s="124"/>
      <c r="IFL742" s="124"/>
      <c r="IFM742" s="124"/>
      <c r="IFN742" s="124"/>
      <c r="IFO742" s="124"/>
      <c r="IFP742" s="124"/>
      <c r="IFQ742" s="124"/>
      <c r="IFR742" s="124"/>
      <c r="IFS742" s="124"/>
      <c r="IFT742" s="124"/>
      <c r="IFU742" s="124"/>
      <c r="IFV742" s="124"/>
      <c r="IFW742" s="124"/>
      <c r="IFX742" s="124"/>
      <c r="IFY742" s="124"/>
      <c r="IFZ742" s="124"/>
      <c r="IGA742" s="124"/>
      <c r="IGB742" s="124"/>
      <c r="IGC742" s="124"/>
      <c r="IGD742" s="124"/>
      <c r="IGE742" s="124"/>
      <c r="IGF742" s="124"/>
      <c r="IGG742" s="124"/>
      <c r="IGH742" s="124"/>
      <c r="IGI742" s="124"/>
      <c r="IGJ742" s="124"/>
      <c r="IGK742" s="124"/>
      <c r="IGL742" s="124"/>
      <c r="IGM742" s="124"/>
      <c r="IGN742" s="124"/>
      <c r="IGO742" s="124"/>
      <c r="IGP742" s="124"/>
      <c r="IGQ742" s="124"/>
      <c r="IGR742" s="124"/>
      <c r="IGS742" s="124"/>
      <c r="IGT742" s="124"/>
      <c r="IGU742" s="124"/>
      <c r="IGV742" s="124"/>
      <c r="IGW742" s="124"/>
      <c r="IGX742" s="124"/>
      <c r="IGY742" s="124"/>
      <c r="IGZ742" s="124"/>
      <c r="IHA742" s="124"/>
      <c r="IHB742" s="124"/>
      <c r="IHC742" s="124"/>
      <c r="IHD742" s="124"/>
      <c r="IHE742" s="124"/>
      <c r="IHF742" s="124"/>
      <c r="IHG742" s="124"/>
      <c r="IHH742" s="124"/>
      <c r="IHI742" s="124"/>
      <c r="IHJ742" s="124"/>
      <c r="IHK742" s="124"/>
      <c r="IHL742" s="124"/>
      <c r="IHM742" s="124"/>
      <c r="IHN742" s="124"/>
      <c r="IHO742" s="124"/>
      <c r="IHP742" s="124"/>
      <c r="IHQ742" s="124"/>
      <c r="IHR742" s="124"/>
      <c r="IHS742" s="124"/>
      <c r="IHT742" s="124"/>
      <c r="IHU742" s="124"/>
      <c r="IHV742" s="124"/>
      <c r="IHW742" s="124"/>
      <c r="IHX742" s="124"/>
      <c r="IHY742" s="124"/>
      <c r="IHZ742" s="124"/>
      <c r="IIA742" s="124"/>
      <c r="IIB742" s="124"/>
      <c r="IIC742" s="124"/>
      <c r="IID742" s="124"/>
      <c r="IIE742" s="124"/>
      <c r="IIF742" s="124"/>
      <c r="IIG742" s="124"/>
      <c r="IIH742" s="124"/>
      <c r="III742" s="124"/>
      <c r="IIJ742" s="124"/>
      <c r="IIK742" s="124"/>
      <c r="IIL742" s="124"/>
      <c r="IIM742" s="124"/>
      <c r="IIN742" s="124"/>
      <c r="IIO742" s="124"/>
      <c r="IIP742" s="124"/>
      <c r="IIQ742" s="124"/>
      <c r="IIR742" s="124"/>
      <c r="IIS742" s="124"/>
      <c r="IIT742" s="124"/>
      <c r="IIU742" s="124"/>
      <c r="IIV742" s="124"/>
      <c r="IIW742" s="124"/>
      <c r="IIX742" s="124"/>
      <c r="IIY742" s="124"/>
      <c r="IIZ742" s="124"/>
      <c r="IJA742" s="124"/>
      <c r="IJB742" s="124"/>
      <c r="IJC742" s="124"/>
      <c r="IJD742" s="124"/>
      <c r="IJE742" s="124"/>
      <c r="IJF742" s="124"/>
      <c r="IJG742" s="124"/>
      <c r="IJH742" s="124"/>
      <c r="IJI742" s="124"/>
      <c r="IJJ742" s="124"/>
      <c r="IJK742" s="124"/>
      <c r="IJL742" s="124"/>
      <c r="IJM742" s="124"/>
      <c r="IJN742" s="124"/>
      <c r="IJO742" s="124"/>
      <c r="IJP742" s="124"/>
      <c r="IJQ742" s="124"/>
      <c r="IJR742" s="124"/>
      <c r="IJS742" s="124"/>
      <c r="IJT742" s="124"/>
      <c r="IJU742" s="124"/>
      <c r="IJV742" s="124"/>
      <c r="IJW742" s="124"/>
      <c r="IJX742" s="124"/>
      <c r="IJY742" s="124"/>
      <c r="IJZ742" s="124"/>
      <c r="IKA742" s="124"/>
      <c r="IKB742" s="124"/>
      <c r="IKC742" s="124"/>
      <c r="IKD742" s="124"/>
      <c r="IKE742" s="124"/>
      <c r="IKF742" s="124"/>
      <c r="IKG742" s="124"/>
      <c r="IKH742" s="124"/>
      <c r="IKI742" s="124"/>
      <c r="IKJ742" s="124"/>
      <c r="IKK742" s="124"/>
      <c r="IKL742" s="124"/>
      <c r="IKM742" s="124"/>
      <c r="IKN742" s="124"/>
      <c r="IKO742" s="124"/>
      <c r="IKP742" s="124"/>
      <c r="IKQ742" s="124"/>
      <c r="IKR742" s="124"/>
      <c r="IKS742" s="124"/>
      <c r="IKT742" s="124"/>
      <c r="IKU742" s="124"/>
      <c r="IKV742" s="124"/>
      <c r="IKW742" s="124"/>
      <c r="IKX742" s="124"/>
      <c r="IKY742" s="124"/>
      <c r="IKZ742" s="124"/>
      <c r="ILA742" s="124"/>
      <c r="ILB742" s="124"/>
      <c r="ILC742" s="124"/>
      <c r="ILD742" s="124"/>
      <c r="ILE742" s="124"/>
      <c r="ILF742" s="124"/>
      <c r="ILG742" s="124"/>
      <c r="ILH742" s="124"/>
      <c r="ILI742" s="124"/>
      <c r="ILJ742" s="124"/>
      <c r="ILK742" s="124"/>
      <c r="ILL742" s="124"/>
      <c r="ILM742" s="124"/>
      <c r="ILN742" s="124"/>
      <c r="ILO742" s="124"/>
      <c r="ILP742" s="124"/>
      <c r="ILQ742" s="124"/>
      <c r="ILR742" s="124"/>
      <c r="ILS742" s="124"/>
      <c r="ILT742" s="124"/>
      <c r="ILU742" s="124"/>
      <c r="ILV742" s="124"/>
      <c r="ILW742" s="124"/>
      <c r="ILX742" s="124"/>
      <c r="ILY742" s="124"/>
      <c r="ILZ742" s="124"/>
      <c r="IMA742" s="124"/>
      <c r="IMB742" s="124"/>
      <c r="IMC742" s="124"/>
      <c r="IMD742" s="124"/>
      <c r="IME742" s="124"/>
      <c r="IMF742" s="124"/>
      <c r="IMG742" s="124"/>
      <c r="IMH742" s="124"/>
      <c r="IMI742" s="124"/>
      <c r="IMJ742" s="124"/>
      <c r="IMK742" s="124"/>
      <c r="IML742" s="124"/>
      <c r="IMM742" s="124"/>
      <c r="IMN742" s="124"/>
      <c r="IMO742" s="124"/>
      <c r="IMP742" s="124"/>
      <c r="IMQ742" s="124"/>
      <c r="IMR742" s="124"/>
      <c r="IMS742" s="124"/>
      <c r="IMT742" s="124"/>
      <c r="IMU742" s="124"/>
      <c r="IMV742" s="124"/>
      <c r="IMW742" s="124"/>
      <c r="IMX742" s="124"/>
      <c r="IMY742" s="124"/>
      <c r="IMZ742" s="124"/>
      <c r="INA742" s="124"/>
      <c r="INB742" s="124"/>
      <c r="INC742" s="124"/>
      <c r="IND742" s="124"/>
      <c r="INE742" s="124"/>
      <c r="INF742" s="124"/>
      <c r="ING742" s="124"/>
      <c r="INH742" s="124"/>
      <c r="INI742" s="124"/>
      <c r="INJ742" s="124"/>
      <c r="INK742" s="124"/>
      <c r="INL742" s="124"/>
      <c r="INM742" s="124"/>
      <c r="INN742" s="124"/>
      <c r="INO742" s="124"/>
      <c r="INP742" s="124"/>
      <c r="INQ742" s="124"/>
      <c r="INR742" s="124"/>
      <c r="INS742" s="124"/>
      <c r="INT742" s="124"/>
      <c r="INU742" s="124"/>
      <c r="INV742" s="124"/>
      <c r="INW742" s="124"/>
      <c r="INX742" s="124"/>
      <c r="INY742" s="124"/>
      <c r="INZ742" s="124"/>
      <c r="IOA742" s="124"/>
      <c r="IOB742" s="124"/>
      <c r="IOC742" s="124"/>
      <c r="IOD742" s="124"/>
      <c r="IOE742" s="124"/>
      <c r="IOF742" s="124"/>
      <c r="IOG742" s="124"/>
      <c r="IOH742" s="124"/>
      <c r="IOI742" s="124"/>
      <c r="IOJ742" s="124"/>
      <c r="IOK742" s="124"/>
      <c r="IOL742" s="124"/>
      <c r="IOM742" s="124"/>
      <c r="ION742" s="124"/>
      <c r="IOO742" s="124"/>
      <c r="IOP742" s="124"/>
      <c r="IOQ742" s="124"/>
      <c r="IOR742" s="124"/>
      <c r="IOS742" s="124"/>
      <c r="IOT742" s="124"/>
      <c r="IOU742" s="124"/>
      <c r="IOV742" s="124"/>
      <c r="IOW742" s="124"/>
      <c r="IOX742" s="124"/>
      <c r="IOY742" s="124"/>
      <c r="IOZ742" s="124"/>
      <c r="IPA742" s="124"/>
      <c r="IPB742" s="124"/>
      <c r="IPC742" s="124"/>
      <c r="IPD742" s="124"/>
      <c r="IPE742" s="124"/>
      <c r="IPF742" s="124"/>
      <c r="IPG742" s="124"/>
      <c r="IPH742" s="124"/>
      <c r="IPI742" s="124"/>
      <c r="IPJ742" s="124"/>
      <c r="IPK742" s="124"/>
      <c r="IPL742" s="124"/>
      <c r="IPM742" s="124"/>
      <c r="IPN742" s="124"/>
      <c r="IPO742" s="124"/>
      <c r="IPP742" s="124"/>
      <c r="IPQ742" s="124"/>
      <c r="IPR742" s="124"/>
      <c r="IPS742" s="124"/>
      <c r="IPT742" s="124"/>
      <c r="IPU742" s="124"/>
      <c r="IPV742" s="124"/>
      <c r="IPW742" s="124"/>
      <c r="IPX742" s="124"/>
      <c r="IPY742" s="124"/>
      <c r="IPZ742" s="124"/>
      <c r="IQA742" s="124"/>
      <c r="IQB742" s="124"/>
      <c r="IQC742" s="124"/>
      <c r="IQD742" s="124"/>
      <c r="IQE742" s="124"/>
      <c r="IQF742" s="124"/>
      <c r="IQG742" s="124"/>
      <c r="IQH742" s="124"/>
      <c r="IQI742" s="124"/>
      <c r="IQJ742" s="124"/>
      <c r="IQK742" s="124"/>
      <c r="IQL742" s="124"/>
      <c r="IQM742" s="124"/>
      <c r="IQN742" s="124"/>
      <c r="IQO742" s="124"/>
      <c r="IQP742" s="124"/>
      <c r="IQQ742" s="124"/>
      <c r="IQR742" s="124"/>
      <c r="IQS742" s="124"/>
      <c r="IQT742" s="124"/>
      <c r="IQU742" s="124"/>
      <c r="IQV742" s="124"/>
      <c r="IQW742" s="124"/>
      <c r="IQX742" s="124"/>
      <c r="IQY742" s="124"/>
      <c r="IQZ742" s="124"/>
      <c r="IRA742" s="124"/>
      <c r="IRB742" s="124"/>
      <c r="IRC742" s="124"/>
      <c r="IRD742" s="124"/>
      <c r="IRE742" s="124"/>
      <c r="IRF742" s="124"/>
      <c r="IRG742" s="124"/>
      <c r="IRH742" s="124"/>
      <c r="IRI742" s="124"/>
      <c r="IRJ742" s="124"/>
      <c r="IRK742" s="124"/>
      <c r="IRL742" s="124"/>
      <c r="IRM742" s="124"/>
      <c r="IRN742" s="124"/>
      <c r="IRO742" s="124"/>
      <c r="IRP742" s="124"/>
      <c r="IRQ742" s="124"/>
      <c r="IRR742" s="124"/>
      <c r="IRS742" s="124"/>
      <c r="IRT742" s="124"/>
      <c r="IRU742" s="124"/>
      <c r="IRV742" s="124"/>
      <c r="IRW742" s="124"/>
      <c r="IRX742" s="124"/>
      <c r="IRY742" s="124"/>
      <c r="IRZ742" s="124"/>
      <c r="ISA742" s="124"/>
      <c r="ISB742" s="124"/>
      <c r="ISC742" s="124"/>
      <c r="ISD742" s="124"/>
      <c r="ISE742" s="124"/>
      <c r="ISF742" s="124"/>
      <c r="ISG742" s="124"/>
      <c r="ISH742" s="124"/>
      <c r="ISI742" s="124"/>
      <c r="ISJ742" s="124"/>
      <c r="ISK742" s="124"/>
      <c r="ISL742" s="124"/>
      <c r="ISM742" s="124"/>
      <c r="ISN742" s="124"/>
      <c r="ISO742" s="124"/>
      <c r="ISP742" s="124"/>
      <c r="ISQ742" s="124"/>
      <c r="ISR742" s="124"/>
      <c r="ISS742" s="124"/>
      <c r="IST742" s="124"/>
      <c r="ISU742" s="124"/>
      <c r="ISV742" s="124"/>
      <c r="ISW742" s="124"/>
      <c r="ISX742" s="124"/>
      <c r="ISY742" s="124"/>
      <c r="ISZ742" s="124"/>
      <c r="ITA742" s="124"/>
      <c r="ITB742" s="124"/>
      <c r="ITC742" s="124"/>
      <c r="ITD742" s="124"/>
      <c r="ITE742" s="124"/>
      <c r="ITF742" s="124"/>
      <c r="ITG742" s="124"/>
      <c r="ITH742" s="124"/>
      <c r="ITI742" s="124"/>
      <c r="ITJ742" s="124"/>
      <c r="ITK742" s="124"/>
      <c r="ITL742" s="124"/>
      <c r="ITM742" s="124"/>
      <c r="ITN742" s="124"/>
      <c r="ITO742" s="124"/>
      <c r="ITP742" s="124"/>
      <c r="ITQ742" s="124"/>
      <c r="ITR742" s="124"/>
      <c r="ITS742" s="124"/>
      <c r="ITT742" s="124"/>
      <c r="ITU742" s="124"/>
      <c r="ITV742" s="124"/>
      <c r="ITW742" s="124"/>
      <c r="ITX742" s="124"/>
      <c r="ITY742" s="124"/>
      <c r="ITZ742" s="124"/>
      <c r="IUA742" s="124"/>
      <c r="IUB742" s="124"/>
      <c r="IUC742" s="124"/>
      <c r="IUD742" s="124"/>
      <c r="IUE742" s="124"/>
      <c r="IUF742" s="124"/>
      <c r="IUG742" s="124"/>
      <c r="IUH742" s="124"/>
      <c r="IUI742" s="124"/>
      <c r="IUJ742" s="124"/>
      <c r="IUK742" s="124"/>
      <c r="IUL742" s="124"/>
      <c r="IUM742" s="124"/>
      <c r="IUN742" s="124"/>
      <c r="IUO742" s="124"/>
      <c r="IUP742" s="124"/>
      <c r="IUQ742" s="124"/>
      <c r="IUR742" s="124"/>
      <c r="IUS742" s="124"/>
      <c r="IUT742" s="124"/>
      <c r="IUU742" s="124"/>
      <c r="IUV742" s="124"/>
      <c r="IUW742" s="124"/>
      <c r="IUX742" s="124"/>
      <c r="IUY742" s="124"/>
      <c r="IUZ742" s="124"/>
      <c r="IVA742" s="124"/>
      <c r="IVB742" s="124"/>
      <c r="IVC742" s="124"/>
      <c r="IVD742" s="124"/>
      <c r="IVE742" s="124"/>
      <c r="IVF742" s="124"/>
      <c r="IVG742" s="124"/>
      <c r="IVH742" s="124"/>
      <c r="IVI742" s="124"/>
      <c r="IVJ742" s="124"/>
      <c r="IVK742" s="124"/>
      <c r="IVL742" s="124"/>
      <c r="IVM742" s="124"/>
      <c r="IVN742" s="124"/>
      <c r="IVO742" s="124"/>
      <c r="IVP742" s="124"/>
      <c r="IVQ742" s="124"/>
      <c r="IVR742" s="124"/>
      <c r="IVS742" s="124"/>
      <c r="IVT742" s="124"/>
      <c r="IVU742" s="124"/>
      <c r="IVV742" s="124"/>
      <c r="IVW742" s="124"/>
      <c r="IVX742" s="124"/>
      <c r="IVY742" s="124"/>
      <c r="IVZ742" s="124"/>
      <c r="IWA742" s="124"/>
      <c r="IWB742" s="124"/>
      <c r="IWC742" s="124"/>
      <c r="IWD742" s="124"/>
      <c r="IWE742" s="124"/>
      <c r="IWF742" s="124"/>
      <c r="IWG742" s="124"/>
      <c r="IWH742" s="124"/>
      <c r="IWI742" s="124"/>
      <c r="IWJ742" s="124"/>
      <c r="IWK742" s="124"/>
      <c r="IWL742" s="124"/>
      <c r="IWM742" s="124"/>
      <c r="IWN742" s="124"/>
      <c r="IWO742" s="124"/>
      <c r="IWP742" s="124"/>
      <c r="IWQ742" s="124"/>
      <c r="IWR742" s="124"/>
      <c r="IWS742" s="124"/>
      <c r="IWT742" s="124"/>
      <c r="IWU742" s="124"/>
      <c r="IWV742" s="124"/>
      <c r="IWW742" s="124"/>
      <c r="IWX742" s="124"/>
      <c r="IWY742" s="124"/>
      <c r="IWZ742" s="124"/>
      <c r="IXA742" s="124"/>
      <c r="IXB742" s="124"/>
      <c r="IXC742" s="124"/>
      <c r="IXD742" s="124"/>
      <c r="IXE742" s="124"/>
      <c r="IXF742" s="124"/>
      <c r="IXG742" s="124"/>
      <c r="IXH742" s="124"/>
      <c r="IXI742" s="124"/>
      <c r="IXJ742" s="124"/>
      <c r="IXK742" s="124"/>
      <c r="IXL742" s="124"/>
      <c r="IXM742" s="124"/>
      <c r="IXN742" s="124"/>
      <c r="IXO742" s="124"/>
      <c r="IXP742" s="124"/>
      <c r="IXQ742" s="124"/>
      <c r="IXR742" s="124"/>
      <c r="IXS742" s="124"/>
      <c r="IXT742" s="124"/>
      <c r="IXU742" s="124"/>
      <c r="IXV742" s="124"/>
      <c r="IXW742" s="124"/>
      <c r="IXX742" s="124"/>
      <c r="IXY742" s="124"/>
      <c r="IXZ742" s="124"/>
      <c r="IYA742" s="124"/>
      <c r="IYB742" s="124"/>
      <c r="IYC742" s="124"/>
      <c r="IYD742" s="124"/>
      <c r="IYE742" s="124"/>
      <c r="IYF742" s="124"/>
      <c r="IYG742" s="124"/>
      <c r="IYH742" s="124"/>
      <c r="IYI742" s="124"/>
      <c r="IYJ742" s="124"/>
      <c r="IYK742" s="124"/>
      <c r="IYL742" s="124"/>
      <c r="IYM742" s="124"/>
      <c r="IYN742" s="124"/>
      <c r="IYO742" s="124"/>
      <c r="IYP742" s="124"/>
      <c r="IYQ742" s="124"/>
      <c r="IYR742" s="124"/>
      <c r="IYS742" s="124"/>
      <c r="IYT742" s="124"/>
      <c r="IYU742" s="124"/>
      <c r="IYV742" s="124"/>
      <c r="IYW742" s="124"/>
      <c r="IYX742" s="124"/>
      <c r="IYY742" s="124"/>
      <c r="IYZ742" s="124"/>
      <c r="IZA742" s="124"/>
      <c r="IZB742" s="124"/>
      <c r="IZC742" s="124"/>
      <c r="IZD742" s="124"/>
      <c r="IZE742" s="124"/>
      <c r="IZF742" s="124"/>
      <c r="IZG742" s="124"/>
      <c r="IZH742" s="124"/>
      <c r="IZI742" s="124"/>
      <c r="IZJ742" s="124"/>
      <c r="IZK742" s="124"/>
      <c r="IZL742" s="124"/>
      <c r="IZM742" s="124"/>
      <c r="IZN742" s="124"/>
      <c r="IZO742" s="124"/>
      <c r="IZP742" s="124"/>
      <c r="IZQ742" s="124"/>
      <c r="IZR742" s="124"/>
      <c r="IZS742" s="124"/>
      <c r="IZT742" s="124"/>
      <c r="IZU742" s="124"/>
      <c r="IZV742" s="124"/>
      <c r="IZW742" s="124"/>
      <c r="IZX742" s="124"/>
      <c r="IZY742" s="124"/>
      <c r="IZZ742" s="124"/>
      <c r="JAA742" s="124"/>
      <c r="JAB742" s="124"/>
      <c r="JAC742" s="124"/>
      <c r="JAD742" s="124"/>
      <c r="JAE742" s="124"/>
      <c r="JAF742" s="124"/>
      <c r="JAG742" s="124"/>
      <c r="JAH742" s="124"/>
      <c r="JAI742" s="124"/>
      <c r="JAJ742" s="124"/>
      <c r="JAK742" s="124"/>
      <c r="JAL742" s="124"/>
      <c r="JAM742" s="124"/>
      <c r="JAN742" s="124"/>
      <c r="JAO742" s="124"/>
      <c r="JAP742" s="124"/>
      <c r="JAQ742" s="124"/>
      <c r="JAR742" s="124"/>
      <c r="JAS742" s="124"/>
      <c r="JAT742" s="124"/>
      <c r="JAU742" s="124"/>
      <c r="JAV742" s="124"/>
      <c r="JAW742" s="124"/>
      <c r="JAX742" s="124"/>
      <c r="JAY742" s="124"/>
      <c r="JAZ742" s="124"/>
      <c r="JBA742" s="124"/>
      <c r="JBB742" s="124"/>
      <c r="JBC742" s="124"/>
      <c r="JBD742" s="124"/>
      <c r="JBE742" s="124"/>
      <c r="JBF742" s="124"/>
      <c r="JBG742" s="124"/>
      <c r="JBH742" s="124"/>
      <c r="JBI742" s="124"/>
      <c r="JBJ742" s="124"/>
      <c r="JBK742" s="124"/>
      <c r="JBL742" s="124"/>
      <c r="JBM742" s="124"/>
      <c r="JBN742" s="124"/>
      <c r="JBO742" s="124"/>
      <c r="JBP742" s="124"/>
      <c r="JBQ742" s="124"/>
      <c r="JBR742" s="124"/>
      <c r="JBS742" s="124"/>
      <c r="JBT742" s="124"/>
      <c r="JBU742" s="124"/>
      <c r="JBV742" s="124"/>
      <c r="JBW742" s="124"/>
      <c r="JBX742" s="124"/>
      <c r="JBY742" s="124"/>
      <c r="JBZ742" s="124"/>
      <c r="JCA742" s="124"/>
      <c r="JCB742" s="124"/>
      <c r="JCC742" s="124"/>
      <c r="JCD742" s="124"/>
      <c r="JCE742" s="124"/>
      <c r="JCF742" s="124"/>
      <c r="JCG742" s="124"/>
      <c r="JCH742" s="124"/>
      <c r="JCI742" s="124"/>
      <c r="JCJ742" s="124"/>
      <c r="JCK742" s="124"/>
      <c r="JCL742" s="124"/>
      <c r="JCM742" s="124"/>
      <c r="JCN742" s="124"/>
      <c r="JCO742" s="124"/>
      <c r="JCP742" s="124"/>
      <c r="JCQ742" s="124"/>
      <c r="JCR742" s="124"/>
      <c r="JCS742" s="124"/>
      <c r="JCT742" s="124"/>
      <c r="JCU742" s="124"/>
      <c r="JCV742" s="124"/>
      <c r="JCW742" s="124"/>
      <c r="JCX742" s="124"/>
      <c r="JCY742" s="124"/>
      <c r="JCZ742" s="124"/>
      <c r="JDA742" s="124"/>
      <c r="JDB742" s="124"/>
      <c r="JDC742" s="124"/>
      <c r="JDD742" s="124"/>
      <c r="JDE742" s="124"/>
      <c r="JDF742" s="124"/>
      <c r="JDG742" s="124"/>
      <c r="JDH742" s="124"/>
      <c r="JDI742" s="124"/>
      <c r="JDJ742" s="124"/>
      <c r="JDK742" s="124"/>
      <c r="JDL742" s="124"/>
      <c r="JDM742" s="124"/>
      <c r="JDN742" s="124"/>
      <c r="JDO742" s="124"/>
      <c r="JDP742" s="124"/>
      <c r="JDQ742" s="124"/>
      <c r="JDR742" s="124"/>
      <c r="JDS742" s="124"/>
      <c r="JDT742" s="124"/>
      <c r="JDU742" s="124"/>
      <c r="JDV742" s="124"/>
      <c r="JDW742" s="124"/>
      <c r="JDX742" s="124"/>
      <c r="JDY742" s="124"/>
      <c r="JDZ742" s="124"/>
      <c r="JEA742" s="124"/>
      <c r="JEB742" s="124"/>
      <c r="JEC742" s="124"/>
      <c r="JED742" s="124"/>
      <c r="JEE742" s="124"/>
      <c r="JEF742" s="124"/>
      <c r="JEG742" s="124"/>
      <c r="JEH742" s="124"/>
      <c r="JEI742" s="124"/>
      <c r="JEJ742" s="124"/>
      <c r="JEK742" s="124"/>
      <c r="JEL742" s="124"/>
      <c r="JEM742" s="124"/>
      <c r="JEN742" s="124"/>
      <c r="JEO742" s="124"/>
      <c r="JEP742" s="124"/>
      <c r="JEQ742" s="124"/>
      <c r="JER742" s="124"/>
      <c r="JES742" s="124"/>
      <c r="JET742" s="124"/>
      <c r="JEU742" s="124"/>
      <c r="JEV742" s="124"/>
      <c r="JEW742" s="124"/>
      <c r="JEX742" s="124"/>
      <c r="JEY742" s="124"/>
      <c r="JEZ742" s="124"/>
      <c r="JFA742" s="124"/>
      <c r="JFB742" s="124"/>
      <c r="JFC742" s="124"/>
      <c r="JFD742" s="124"/>
      <c r="JFE742" s="124"/>
      <c r="JFF742" s="124"/>
      <c r="JFG742" s="124"/>
      <c r="JFH742" s="124"/>
      <c r="JFI742" s="124"/>
      <c r="JFJ742" s="124"/>
      <c r="JFK742" s="124"/>
      <c r="JFL742" s="124"/>
      <c r="JFM742" s="124"/>
      <c r="JFN742" s="124"/>
      <c r="JFO742" s="124"/>
      <c r="JFP742" s="124"/>
      <c r="JFQ742" s="124"/>
      <c r="JFR742" s="124"/>
      <c r="JFS742" s="124"/>
      <c r="JFT742" s="124"/>
      <c r="JFU742" s="124"/>
      <c r="JFV742" s="124"/>
      <c r="JFW742" s="124"/>
      <c r="JFX742" s="124"/>
      <c r="JFY742" s="124"/>
      <c r="JFZ742" s="124"/>
      <c r="JGA742" s="124"/>
      <c r="JGB742" s="124"/>
      <c r="JGC742" s="124"/>
      <c r="JGD742" s="124"/>
      <c r="JGE742" s="124"/>
      <c r="JGF742" s="124"/>
      <c r="JGG742" s="124"/>
      <c r="JGH742" s="124"/>
      <c r="JGI742" s="124"/>
      <c r="JGJ742" s="124"/>
      <c r="JGK742" s="124"/>
      <c r="JGL742" s="124"/>
      <c r="JGM742" s="124"/>
      <c r="JGN742" s="124"/>
      <c r="JGO742" s="124"/>
      <c r="JGP742" s="124"/>
      <c r="JGQ742" s="124"/>
      <c r="JGR742" s="124"/>
      <c r="JGS742" s="124"/>
      <c r="JGT742" s="124"/>
      <c r="JGU742" s="124"/>
      <c r="JGV742" s="124"/>
      <c r="JGW742" s="124"/>
      <c r="JGX742" s="124"/>
      <c r="JGY742" s="124"/>
      <c r="JGZ742" s="124"/>
      <c r="JHA742" s="124"/>
      <c r="JHB742" s="124"/>
      <c r="JHC742" s="124"/>
      <c r="JHD742" s="124"/>
      <c r="JHE742" s="124"/>
      <c r="JHF742" s="124"/>
      <c r="JHG742" s="124"/>
      <c r="JHH742" s="124"/>
      <c r="JHI742" s="124"/>
      <c r="JHJ742" s="124"/>
      <c r="JHK742" s="124"/>
      <c r="JHL742" s="124"/>
      <c r="JHM742" s="124"/>
      <c r="JHN742" s="124"/>
      <c r="JHO742" s="124"/>
      <c r="JHP742" s="124"/>
      <c r="JHQ742" s="124"/>
      <c r="JHR742" s="124"/>
      <c r="JHS742" s="124"/>
      <c r="JHT742" s="124"/>
      <c r="JHU742" s="124"/>
      <c r="JHV742" s="124"/>
      <c r="JHW742" s="124"/>
      <c r="JHX742" s="124"/>
      <c r="JHY742" s="124"/>
      <c r="JHZ742" s="124"/>
      <c r="JIA742" s="124"/>
      <c r="JIB742" s="124"/>
      <c r="JIC742" s="124"/>
      <c r="JID742" s="124"/>
      <c r="JIE742" s="124"/>
      <c r="JIF742" s="124"/>
      <c r="JIG742" s="124"/>
      <c r="JIH742" s="124"/>
      <c r="JII742" s="124"/>
      <c r="JIJ742" s="124"/>
      <c r="JIK742" s="124"/>
      <c r="JIL742" s="124"/>
      <c r="JIM742" s="124"/>
      <c r="JIN742" s="124"/>
      <c r="JIO742" s="124"/>
      <c r="JIP742" s="124"/>
      <c r="JIQ742" s="124"/>
      <c r="JIR742" s="124"/>
      <c r="JIS742" s="124"/>
      <c r="JIT742" s="124"/>
      <c r="JIU742" s="124"/>
      <c r="JIV742" s="124"/>
      <c r="JIW742" s="124"/>
      <c r="JIX742" s="124"/>
      <c r="JIY742" s="124"/>
      <c r="JIZ742" s="124"/>
      <c r="JJA742" s="124"/>
      <c r="JJB742" s="124"/>
      <c r="JJC742" s="124"/>
      <c r="JJD742" s="124"/>
      <c r="JJE742" s="124"/>
      <c r="JJF742" s="124"/>
      <c r="JJG742" s="124"/>
      <c r="JJH742" s="124"/>
      <c r="JJI742" s="124"/>
      <c r="JJJ742" s="124"/>
      <c r="JJK742" s="124"/>
      <c r="JJL742" s="124"/>
      <c r="JJM742" s="124"/>
      <c r="JJN742" s="124"/>
      <c r="JJO742" s="124"/>
      <c r="JJP742" s="124"/>
      <c r="JJQ742" s="124"/>
      <c r="JJR742" s="124"/>
      <c r="JJS742" s="124"/>
      <c r="JJT742" s="124"/>
      <c r="JJU742" s="124"/>
      <c r="JJV742" s="124"/>
      <c r="JJW742" s="124"/>
      <c r="JJX742" s="124"/>
      <c r="JJY742" s="124"/>
      <c r="JJZ742" s="124"/>
      <c r="JKA742" s="124"/>
      <c r="JKB742" s="124"/>
      <c r="JKC742" s="124"/>
      <c r="JKD742" s="124"/>
      <c r="JKE742" s="124"/>
      <c r="JKF742" s="124"/>
      <c r="JKG742" s="124"/>
      <c r="JKH742" s="124"/>
      <c r="JKI742" s="124"/>
      <c r="JKJ742" s="124"/>
      <c r="JKK742" s="124"/>
      <c r="JKL742" s="124"/>
      <c r="JKM742" s="124"/>
      <c r="JKN742" s="124"/>
      <c r="JKO742" s="124"/>
      <c r="JKP742" s="124"/>
      <c r="JKQ742" s="124"/>
      <c r="JKR742" s="124"/>
      <c r="JKS742" s="124"/>
      <c r="JKT742" s="124"/>
      <c r="JKU742" s="124"/>
      <c r="JKV742" s="124"/>
      <c r="JKW742" s="124"/>
      <c r="JKX742" s="124"/>
      <c r="JKY742" s="124"/>
      <c r="JKZ742" s="124"/>
      <c r="JLA742" s="124"/>
      <c r="JLB742" s="124"/>
      <c r="JLC742" s="124"/>
      <c r="JLD742" s="124"/>
      <c r="JLE742" s="124"/>
      <c r="JLF742" s="124"/>
      <c r="JLG742" s="124"/>
      <c r="JLH742" s="124"/>
      <c r="JLI742" s="124"/>
      <c r="JLJ742" s="124"/>
      <c r="JLK742" s="124"/>
      <c r="JLL742" s="124"/>
      <c r="JLM742" s="124"/>
      <c r="JLN742" s="124"/>
      <c r="JLO742" s="124"/>
      <c r="JLP742" s="124"/>
      <c r="JLQ742" s="124"/>
      <c r="JLR742" s="124"/>
      <c r="JLS742" s="124"/>
      <c r="JLT742" s="124"/>
      <c r="JLU742" s="124"/>
      <c r="JLV742" s="124"/>
      <c r="JLW742" s="124"/>
      <c r="JLX742" s="124"/>
      <c r="JLY742" s="124"/>
      <c r="JLZ742" s="124"/>
      <c r="JMA742" s="124"/>
      <c r="JMB742" s="124"/>
      <c r="JMC742" s="124"/>
      <c r="JMD742" s="124"/>
      <c r="JME742" s="124"/>
      <c r="JMF742" s="124"/>
      <c r="JMG742" s="124"/>
      <c r="JMH742" s="124"/>
      <c r="JMI742" s="124"/>
      <c r="JMJ742" s="124"/>
      <c r="JMK742" s="124"/>
      <c r="JML742" s="124"/>
      <c r="JMM742" s="124"/>
      <c r="JMN742" s="124"/>
      <c r="JMO742" s="124"/>
      <c r="JMP742" s="124"/>
      <c r="JMQ742" s="124"/>
      <c r="JMR742" s="124"/>
      <c r="JMS742" s="124"/>
      <c r="JMT742" s="124"/>
      <c r="JMU742" s="124"/>
      <c r="JMV742" s="124"/>
      <c r="JMW742" s="124"/>
      <c r="JMX742" s="124"/>
      <c r="JMY742" s="124"/>
      <c r="JMZ742" s="124"/>
      <c r="JNA742" s="124"/>
      <c r="JNB742" s="124"/>
      <c r="JNC742" s="124"/>
      <c r="JND742" s="124"/>
      <c r="JNE742" s="124"/>
      <c r="JNF742" s="124"/>
      <c r="JNG742" s="124"/>
      <c r="JNH742" s="124"/>
      <c r="JNI742" s="124"/>
      <c r="JNJ742" s="124"/>
      <c r="JNK742" s="124"/>
      <c r="JNL742" s="124"/>
      <c r="JNM742" s="124"/>
      <c r="JNN742" s="124"/>
      <c r="JNO742" s="124"/>
      <c r="JNP742" s="124"/>
      <c r="JNQ742" s="124"/>
      <c r="JNR742" s="124"/>
      <c r="JNS742" s="124"/>
      <c r="JNT742" s="124"/>
      <c r="JNU742" s="124"/>
      <c r="JNV742" s="124"/>
      <c r="JNW742" s="124"/>
      <c r="JNX742" s="124"/>
      <c r="JNY742" s="124"/>
      <c r="JNZ742" s="124"/>
      <c r="JOA742" s="124"/>
      <c r="JOB742" s="124"/>
      <c r="JOC742" s="124"/>
      <c r="JOD742" s="124"/>
      <c r="JOE742" s="124"/>
      <c r="JOF742" s="124"/>
      <c r="JOG742" s="124"/>
      <c r="JOH742" s="124"/>
      <c r="JOI742" s="124"/>
      <c r="JOJ742" s="124"/>
      <c r="JOK742" s="124"/>
      <c r="JOL742" s="124"/>
      <c r="JOM742" s="124"/>
      <c r="JON742" s="124"/>
      <c r="JOO742" s="124"/>
      <c r="JOP742" s="124"/>
      <c r="JOQ742" s="124"/>
      <c r="JOR742" s="124"/>
      <c r="JOS742" s="124"/>
      <c r="JOT742" s="124"/>
      <c r="JOU742" s="124"/>
      <c r="JOV742" s="124"/>
      <c r="JOW742" s="124"/>
      <c r="JOX742" s="124"/>
      <c r="JOY742" s="124"/>
      <c r="JOZ742" s="124"/>
      <c r="JPA742" s="124"/>
      <c r="JPB742" s="124"/>
      <c r="JPC742" s="124"/>
      <c r="JPD742" s="124"/>
      <c r="JPE742" s="124"/>
      <c r="JPF742" s="124"/>
      <c r="JPG742" s="124"/>
      <c r="JPH742" s="124"/>
      <c r="JPI742" s="124"/>
      <c r="JPJ742" s="124"/>
      <c r="JPK742" s="124"/>
      <c r="JPL742" s="124"/>
      <c r="JPM742" s="124"/>
      <c r="JPN742" s="124"/>
      <c r="JPO742" s="124"/>
      <c r="JPP742" s="124"/>
      <c r="JPQ742" s="124"/>
      <c r="JPR742" s="124"/>
      <c r="JPS742" s="124"/>
      <c r="JPT742" s="124"/>
      <c r="JPU742" s="124"/>
      <c r="JPV742" s="124"/>
      <c r="JPW742" s="124"/>
      <c r="JPX742" s="124"/>
      <c r="JPY742" s="124"/>
      <c r="JPZ742" s="124"/>
      <c r="JQA742" s="124"/>
      <c r="JQB742" s="124"/>
      <c r="JQC742" s="124"/>
      <c r="JQD742" s="124"/>
      <c r="JQE742" s="124"/>
      <c r="JQF742" s="124"/>
      <c r="JQG742" s="124"/>
      <c r="JQH742" s="124"/>
      <c r="JQI742" s="124"/>
      <c r="JQJ742" s="124"/>
      <c r="JQK742" s="124"/>
      <c r="JQL742" s="124"/>
      <c r="JQM742" s="124"/>
      <c r="JQN742" s="124"/>
      <c r="JQO742" s="124"/>
      <c r="JQP742" s="124"/>
      <c r="JQQ742" s="124"/>
      <c r="JQR742" s="124"/>
      <c r="JQS742" s="124"/>
      <c r="JQT742" s="124"/>
      <c r="JQU742" s="124"/>
      <c r="JQV742" s="124"/>
      <c r="JQW742" s="124"/>
      <c r="JQX742" s="124"/>
      <c r="JQY742" s="124"/>
      <c r="JQZ742" s="124"/>
      <c r="JRA742" s="124"/>
      <c r="JRB742" s="124"/>
      <c r="JRC742" s="124"/>
      <c r="JRD742" s="124"/>
      <c r="JRE742" s="124"/>
      <c r="JRF742" s="124"/>
      <c r="JRG742" s="124"/>
      <c r="JRH742" s="124"/>
      <c r="JRI742" s="124"/>
      <c r="JRJ742" s="124"/>
      <c r="JRK742" s="124"/>
      <c r="JRL742" s="124"/>
      <c r="JRM742" s="124"/>
      <c r="JRN742" s="124"/>
      <c r="JRO742" s="124"/>
      <c r="JRP742" s="124"/>
      <c r="JRQ742" s="124"/>
      <c r="JRR742" s="124"/>
      <c r="JRS742" s="124"/>
      <c r="JRT742" s="124"/>
      <c r="JRU742" s="124"/>
      <c r="JRV742" s="124"/>
      <c r="JRW742" s="124"/>
      <c r="JRX742" s="124"/>
      <c r="JRY742" s="124"/>
      <c r="JRZ742" s="124"/>
      <c r="JSA742" s="124"/>
      <c r="JSB742" s="124"/>
      <c r="JSC742" s="124"/>
      <c r="JSD742" s="124"/>
      <c r="JSE742" s="124"/>
      <c r="JSF742" s="124"/>
      <c r="JSG742" s="124"/>
      <c r="JSH742" s="124"/>
      <c r="JSI742" s="124"/>
      <c r="JSJ742" s="124"/>
      <c r="JSK742" s="124"/>
      <c r="JSL742" s="124"/>
      <c r="JSM742" s="124"/>
      <c r="JSN742" s="124"/>
      <c r="JSO742" s="124"/>
      <c r="JSP742" s="124"/>
      <c r="JSQ742" s="124"/>
      <c r="JSR742" s="124"/>
      <c r="JSS742" s="124"/>
      <c r="JST742" s="124"/>
      <c r="JSU742" s="124"/>
      <c r="JSV742" s="124"/>
      <c r="JSW742" s="124"/>
      <c r="JSX742" s="124"/>
      <c r="JSY742" s="124"/>
      <c r="JSZ742" s="124"/>
      <c r="JTA742" s="124"/>
      <c r="JTB742" s="124"/>
      <c r="JTC742" s="124"/>
      <c r="JTD742" s="124"/>
      <c r="JTE742" s="124"/>
      <c r="JTF742" s="124"/>
      <c r="JTG742" s="124"/>
      <c r="JTH742" s="124"/>
      <c r="JTI742" s="124"/>
      <c r="JTJ742" s="124"/>
      <c r="JTK742" s="124"/>
      <c r="JTL742" s="124"/>
      <c r="JTM742" s="124"/>
      <c r="JTN742" s="124"/>
      <c r="JTO742" s="124"/>
      <c r="JTP742" s="124"/>
      <c r="JTQ742" s="124"/>
      <c r="JTR742" s="124"/>
      <c r="JTS742" s="124"/>
      <c r="JTT742" s="124"/>
      <c r="JTU742" s="124"/>
      <c r="JTV742" s="124"/>
      <c r="JTW742" s="124"/>
      <c r="JTX742" s="124"/>
      <c r="JTY742" s="124"/>
      <c r="JTZ742" s="124"/>
      <c r="JUA742" s="124"/>
      <c r="JUB742" s="124"/>
      <c r="JUC742" s="124"/>
      <c r="JUD742" s="124"/>
      <c r="JUE742" s="124"/>
      <c r="JUF742" s="124"/>
      <c r="JUG742" s="124"/>
      <c r="JUH742" s="124"/>
      <c r="JUI742" s="124"/>
      <c r="JUJ742" s="124"/>
      <c r="JUK742" s="124"/>
      <c r="JUL742" s="124"/>
      <c r="JUM742" s="124"/>
      <c r="JUN742" s="124"/>
      <c r="JUO742" s="124"/>
      <c r="JUP742" s="124"/>
      <c r="JUQ742" s="124"/>
      <c r="JUR742" s="124"/>
      <c r="JUS742" s="124"/>
      <c r="JUT742" s="124"/>
      <c r="JUU742" s="124"/>
      <c r="JUV742" s="124"/>
      <c r="JUW742" s="124"/>
      <c r="JUX742" s="124"/>
      <c r="JUY742" s="124"/>
      <c r="JUZ742" s="124"/>
      <c r="JVA742" s="124"/>
      <c r="JVB742" s="124"/>
      <c r="JVC742" s="124"/>
      <c r="JVD742" s="124"/>
      <c r="JVE742" s="124"/>
      <c r="JVF742" s="124"/>
      <c r="JVG742" s="124"/>
      <c r="JVH742" s="124"/>
      <c r="JVI742" s="124"/>
      <c r="JVJ742" s="124"/>
      <c r="JVK742" s="124"/>
      <c r="JVL742" s="124"/>
      <c r="JVM742" s="124"/>
      <c r="JVN742" s="124"/>
      <c r="JVO742" s="124"/>
      <c r="JVP742" s="124"/>
      <c r="JVQ742" s="124"/>
      <c r="JVR742" s="124"/>
      <c r="JVS742" s="124"/>
      <c r="JVT742" s="124"/>
      <c r="JVU742" s="124"/>
      <c r="JVV742" s="124"/>
      <c r="JVW742" s="124"/>
      <c r="JVX742" s="124"/>
      <c r="JVY742" s="124"/>
      <c r="JVZ742" s="124"/>
      <c r="JWA742" s="124"/>
      <c r="JWB742" s="124"/>
      <c r="JWC742" s="124"/>
      <c r="JWD742" s="124"/>
      <c r="JWE742" s="124"/>
      <c r="JWF742" s="124"/>
      <c r="JWG742" s="124"/>
      <c r="JWH742" s="124"/>
      <c r="JWI742" s="124"/>
      <c r="JWJ742" s="124"/>
      <c r="JWK742" s="124"/>
      <c r="JWL742" s="124"/>
      <c r="JWM742" s="124"/>
      <c r="JWN742" s="124"/>
      <c r="JWO742" s="124"/>
      <c r="JWP742" s="124"/>
      <c r="JWQ742" s="124"/>
      <c r="JWR742" s="124"/>
      <c r="JWS742" s="124"/>
      <c r="JWT742" s="124"/>
      <c r="JWU742" s="124"/>
      <c r="JWV742" s="124"/>
      <c r="JWW742" s="124"/>
      <c r="JWX742" s="124"/>
      <c r="JWY742" s="124"/>
      <c r="JWZ742" s="124"/>
      <c r="JXA742" s="124"/>
      <c r="JXB742" s="124"/>
      <c r="JXC742" s="124"/>
      <c r="JXD742" s="124"/>
      <c r="JXE742" s="124"/>
      <c r="JXF742" s="124"/>
      <c r="JXG742" s="124"/>
      <c r="JXH742" s="124"/>
      <c r="JXI742" s="124"/>
      <c r="JXJ742" s="124"/>
      <c r="JXK742" s="124"/>
      <c r="JXL742" s="124"/>
      <c r="JXM742" s="124"/>
      <c r="JXN742" s="124"/>
      <c r="JXO742" s="124"/>
      <c r="JXP742" s="124"/>
      <c r="JXQ742" s="124"/>
      <c r="JXR742" s="124"/>
      <c r="JXS742" s="124"/>
      <c r="JXT742" s="124"/>
      <c r="JXU742" s="124"/>
      <c r="JXV742" s="124"/>
      <c r="JXW742" s="124"/>
      <c r="JXX742" s="124"/>
      <c r="JXY742" s="124"/>
      <c r="JXZ742" s="124"/>
      <c r="JYA742" s="124"/>
      <c r="JYB742" s="124"/>
      <c r="JYC742" s="124"/>
      <c r="JYD742" s="124"/>
      <c r="JYE742" s="124"/>
      <c r="JYF742" s="124"/>
      <c r="JYG742" s="124"/>
      <c r="JYH742" s="124"/>
      <c r="JYI742" s="124"/>
      <c r="JYJ742" s="124"/>
      <c r="JYK742" s="124"/>
      <c r="JYL742" s="124"/>
      <c r="JYM742" s="124"/>
      <c r="JYN742" s="124"/>
      <c r="JYO742" s="124"/>
      <c r="JYP742" s="124"/>
      <c r="JYQ742" s="124"/>
      <c r="JYR742" s="124"/>
      <c r="JYS742" s="124"/>
      <c r="JYT742" s="124"/>
      <c r="JYU742" s="124"/>
      <c r="JYV742" s="124"/>
      <c r="JYW742" s="124"/>
      <c r="JYX742" s="124"/>
      <c r="JYY742" s="124"/>
      <c r="JYZ742" s="124"/>
      <c r="JZA742" s="124"/>
      <c r="JZB742" s="124"/>
      <c r="JZC742" s="124"/>
      <c r="JZD742" s="124"/>
      <c r="JZE742" s="124"/>
      <c r="JZF742" s="124"/>
      <c r="JZG742" s="124"/>
      <c r="JZH742" s="124"/>
      <c r="JZI742" s="124"/>
      <c r="JZJ742" s="124"/>
      <c r="JZK742" s="124"/>
      <c r="JZL742" s="124"/>
      <c r="JZM742" s="124"/>
      <c r="JZN742" s="124"/>
      <c r="JZO742" s="124"/>
      <c r="JZP742" s="124"/>
      <c r="JZQ742" s="124"/>
      <c r="JZR742" s="124"/>
      <c r="JZS742" s="124"/>
      <c r="JZT742" s="124"/>
      <c r="JZU742" s="124"/>
      <c r="JZV742" s="124"/>
      <c r="JZW742" s="124"/>
      <c r="JZX742" s="124"/>
      <c r="JZY742" s="124"/>
      <c r="JZZ742" s="124"/>
      <c r="KAA742" s="124"/>
      <c r="KAB742" s="124"/>
      <c r="KAC742" s="124"/>
      <c r="KAD742" s="124"/>
      <c r="KAE742" s="124"/>
      <c r="KAF742" s="124"/>
      <c r="KAG742" s="124"/>
      <c r="KAH742" s="124"/>
      <c r="KAI742" s="124"/>
      <c r="KAJ742" s="124"/>
      <c r="KAK742" s="124"/>
      <c r="KAL742" s="124"/>
      <c r="KAM742" s="124"/>
      <c r="KAN742" s="124"/>
      <c r="KAO742" s="124"/>
      <c r="KAP742" s="124"/>
      <c r="KAQ742" s="124"/>
      <c r="KAR742" s="124"/>
      <c r="KAS742" s="124"/>
      <c r="KAT742" s="124"/>
      <c r="KAU742" s="124"/>
      <c r="KAV742" s="124"/>
      <c r="KAW742" s="124"/>
      <c r="KAX742" s="124"/>
      <c r="KAY742" s="124"/>
      <c r="KAZ742" s="124"/>
      <c r="KBA742" s="124"/>
      <c r="KBB742" s="124"/>
      <c r="KBC742" s="124"/>
      <c r="KBD742" s="124"/>
      <c r="KBE742" s="124"/>
      <c r="KBF742" s="124"/>
      <c r="KBG742" s="124"/>
      <c r="KBH742" s="124"/>
      <c r="KBI742" s="124"/>
      <c r="KBJ742" s="124"/>
      <c r="KBK742" s="124"/>
      <c r="KBL742" s="124"/>
      <c r="KBM742" s="124"/>
      <c r="KBN742" s="124"/>
      <c r="KBO742" s="124"/>
      <c r="KBP742" s="124"/>
      <c r="KBQ742" s="124"/>
      <c r="KBR742" s="124"/>
      <c r="KBS742" s="124"/>
      <c r="KBT742" s="124"/>
      <c r="KBU742" s="124"/>
      <c r="KBV742" s="124"/>
      <c r="KBW742" s="124"/>
      <c r="KBX742" s="124"/>
      <c r="KBY742" s="124"/>
      <c r="KBZ742" s="124"/>
      <c r="KCA742" s="124"/>
      <c r="KCB742" s="124"/>
      <c r="KCC742" s="124"/>
      <c r="KCD742" s="124"/>
      <c r="KCE742" s="124"/>
      <c r="KCF742" s="124"/>
      <c r="KCG742" s="124"/>
      <c r="KCH742" s="124"/>
      <c r="KCI742" s="124"/>
      <c r="KCJ742" s="124"/>
      <c r="KCK742" s="124"/>
      <c r="KCL742" s="124"/>
      <c r="KCM742" s="124"/>
      <c r="KCN742" s="124"/>
      <c r="KCO742" s="124"/>
      <c r="KCP742" s="124"/>
      <c r="KCQ742" s="124"/>
      <c r="KCR742" s="124"/>
      <c r="KCS742" s="124"/>
      <c r="KCT742" s="124"/>
      <c r="KCU742" s="124"/>
      <c r="KCV742" s="124"/>
      <c r="KCW742" s="124"/>
      <c r="KCX742" s="124"/>
      <c r="KCY742" s="124"/>
      <c r="KCZ742" s="124"/>
      <c r="KDA742" s="124"/>
      <c r="KDB742" s="124"/>
      <c r="KDC742" s="124"/>
      <c r="KDD742" s="124"/>
      <c r="KDE742" s="124"/>
      <c r="KDF742" s="124"/>
      <c r="KDG742" s="124"/>
      <c r="KDH742" s="124"/>
      <c r="KDI742" s="124"/>
      <c r="KDJ742" s="124"/>
      <c r="KDK742" s="124"/>
      <c r="KDL742" s="124"/>
      <c r="KDM742" s="124"/>
      <c r="KDN742" s="124"/>
      <c r="KDO742" s="124"/>
      <c r="KDP742" s="124"/>
      <c r="KDQ742" s="124"/>
      <c r="KDR742" s="124"/>
      <c r="KDS742" s="124"/>
      <c r="KDT742" s="124"/>
      <c r="KDU742" s="124"/>
      <c r="KDV742" s="124"/>
      <c r="KDW742" s="124"/>
      <c r="KDX742" s="124"/>
      <c r="KDY742" s="124"/>
      <c r="KDZ742" s="124"/>
      <c r="KEA742" s="124"/>
      <c r="KEB742" s="124"/>
      <c r="KEC742" s="124"/>
      <c r="KED742" s="124"/>
      <c r="KEE742" s="124"/>
      <c r="KEF742" s="124"/>
      <c r="KEG742" s="124"/>
      <c r="KEH742" s="124"/>
      <c r="KEI742" s="124"/>
      <c r="KEJ742" s="124"/>
      <c r="KEK742" s="124"/>
      <c r="KEL742" s="124"/>
      <c r="KEM742" s="124"/>
      <c r="KEN742" s="124"/>
      <c r="KEO742" s="124"/>
      <c r="KEP742" s="124"/>
      <c r="KEQ742" s="124"/>
      <c r="KER742" s="124"/>
      <c r="KES742" s="124"/>
      <c r="KET742" s="124"/>
      <c r="KEU742" s="124"/>
      <c r="KEV742" s="124"/>
      <c r="KEW742" s="124"/>
      <c r="KEX742" s="124"/>
      <c r="KEY742" s="124"/>
      <c r="KEZ742" s="124"/>
      <c r="KFA742" s="124"/>
      <c r="KFB742" s="124"/>
      <c r="KFC742" s="124"/>
      <c r="KFD742" s="124"/>
      <c r="KFE742" s="124"/>
      <c r="KFF742" s="124"/>
      <c r="KFG742" s="124"/>
      <c r="KFH742" s="124"/>
      <c r="KFI742" s="124"/>
      <c r="KFJ742" s="124"/>
      <c r="KFK742" s="124"/>
      <c r="KFL742" s="124"/>
      <c r="KFM742" s="124"/>
      <c r="KFN742" s="124"/>
      <c r="KFO742" s="124"/>
      <c r="KFP742" s="124"/>
      <c r="KFQ742" s="124"/>
      <c r="KFR742" s="124"/>
      <c r="KFS742" s="124"/>
      <c r="KFT742" s="124"/>
      <c r="KFU742" s="124"/>
      <c r="KFV742" s="124"/>
      <c r="KFW742" s="124"/>
      <c r="KFX742" s="124"/>
      <c r="KFY742" s="124"/>
      <c r="KFZ742" s="124"/>
      <c r="KGA742" s="124"/>
      <c r="KGB742" s="124"/>
      <c r="KGC742" s="124"/>
      <c r="KGD742" s="124"/>
      <c r="KGE742" s="124"/>
      <c r="KGF742" s="124"/>
      <c r="KGG742" s="124"/>
      <c r="KGH742" s="124"/>
      <c r="KGI742" s="124"/>
      <c r="KGJ742" s="124"/>
      <c r="KGK742" s="124"/>
      <c r="KGL742" s="124"/>
      <c r="KGM742" s="124"/>
      <c r="KGN742" s="124"/>
      <c r="KGO742" s="124"/>
      <c r="KGP742" s="124"/>
      <c r="KGQ742" s="124"/>
      <c r="KGR742" s="124"/>
      <c r="KGS742" s="124"/>
      <c r="KGT742" s="124"/>
      <c r="KGU742" s="124"/>
      <c r="KGV742" s="124"/>
      <c r="KGW742" s="124"/>
      <c r="KGX742" s="124"/>
      <c r="KGY742" s="124"/>
      <c r="KGZ742" s="124"/>
      <c r="KHA742" s="124"/>
      <c r="KHB742" s="124"/>
      <c r="KHC742" s="124"/>
      <c r="KHD742" s="124"/>
      <c r="KHE742" s="124"/>
      <c r="KHF742" s="124"/>
      <c r="KHG742" s="124"/>
      <c r="KHH742" s="124"/>
      <c r="KHI742" s="124"/>
      <c r="KHJ742" s="124"/>
      <c r="KHK742" s="124"/>
      <c r="KHL742" s="124"/>
      <c r="KHM742" s="124"/>
      <c r="KHN742" s="124"/>
      <c r="KHO742" s="124"/>
      <c r="KHP742" s="124"/>
      <c r="KHQ742" s="124"/>
      <c r="KHR742" s="124"/>
      <c r="KHS742" s="124"/>
      <c r="KHT742" s="124"/>
      <c r="KHU742" s="124"/>
      <c r="KHV742" s="124"/>
      <c r="KHW742" s="124"/>
      <c r="KHX742" s="124"/>
      <c r="KHY742" s="124"/>
      <c r="KHZ742" s="124"/>
      <c r="KIA742" s="124"/>
      <c r="KIB742" s="124"/>
      <c r="KIC742" s="124"/>
      <c r="KID742" s="124"/>
      <c r="KIE742" s="124"/>
      <c r="KIF742" s="124"/>
      <c r="KIG742" s="124"/>
      <c r="KIH742" s="124"/>
      <c r="KII742" s="124"/>
      <c r="KIJ742" s="124"/>
      <c r="KIK742" s="124"/>
      <c r="KIL742" s="124"/>
      <c r="KIM742" s="124"/>
      <c r="KIN742" s="124"/>
      <c r="KIO742" s="124"/>
      <c r="KIP742" s="124"/>
      <c r="KIQ742" s="124"/>
      <c r="KIR742" s="124"/>
      <c r="KIS742" s="124"/>
      <c r="KIT742" s="124"/>
      <c r="KIU742" s="124"/>
      <c r="KIV742" s="124"/>
      <c r="KIW742" s="124"/>
      <c r="KIX742" s="124"/>
      <c r="KIY742" s="124"/>
      <c r="KIZ742" s="124"/>
      <c r="KJA742" s="124"/>
      <c r="KJB742" s="124"/>
      <c r="KJC742" s="124"/>
      <c r="KJD742" s="124"/>
      <c r="KJE742" s="124"/>
      <c r="KJF742" s="124"/>
      <c r="KJG742" s="124"/>
      <c r="KJH742" s="124"/>
      <c r="KJI742" s="124"/>
      <c r="KJJ742" s="124"/>
      <c r="KJK742" s="124"/>
      <c r="KJL742" s="124"/>
      <c r="KJM742" s="124"/>
      <c r="KJN742" s="124"/>
      <c r="KJO742" s="124"/>
      <c r="KJP742" s="124"/>
      <c r="KJQ742" s="124"/>
      <c r="KJR742" s="124"/>
      <c r="KJS742" s="124"/>
      <c r="KJT742" s="124"/>
      <c r="KJU742" s="124"/>
      <c r="KJV742" s="124"/>
      <c r="KJW742" s="124"/>
      <c r="KJX742" s="124"/>
      <c r="KJY742" s="124"/>
      <c r="KJZ742" s="124"/>
      <c r="KKA742" s="124"/>
      <c r="KKB742" s="124"/>
      <c r="KKC742" s="124"/>
      <c r="KKD742" s="124"/>
      <c r="KKE742" s="124"/>
      <c r="KKF742" s="124"/>
      <c r="KKG742" s="124"/>
      <c r="KKH742" s="124"/>
      <c r="KKI742" s="124"/>
      <c r="KKJ742" s="124"/>
      <c r="KKK742" s="124"/>
      <c r="KKL742" s="124"/>
      <c r="KKM742" s="124"/>
      <c r="KKN742" s="124"/>
      <c r="KKO742" s="124"/>
      <c r="KKP742" s="124"/>
      <c r="KKQ742" s="124"/>
      <c r="KKR742" s="124"/>
      <c r="KKS742" s="124"/>
      <c r="KKT742" s="124"/>
      <c r="KKU742" s="124"/>
      <c r="KKV742" s="124"/>
      <c r="KKW742" s="124"/>
      <c r="KKX742" s="124"/>
      <c r="KKY742" s="124"/>
      <c r="KKZ742" s="124"/>
      <c r="KLA742" s="124"/>
      <c r="KLB742" s="124"/>
      <c r="KLC742" s="124"/>
      <c r="KLD742" s="124"/>
      <c r="KLE742" s="124"/>
      <c r="KLF742" s="124"/>
      <c r="KLG742" s="124"/>
      <c r="KLH742" s="124"/>
      <c r="KLI742" s="124"/>
      <c r="KLJ742" s="124"/>
      <c r="KLK742" s="124"/>
      <c r="KLL742" s="124"/>
      <c r="KLM742" s="124"/>
      <c r="KLN742" s="124"/>
      <c r="KLO742" s="124"/>
      <c r="KLP742" s="124"/>
      <c r="KLQ742" s="124"/>
      <c r="KLR742" s="124"/>
      <c r="KLS742" s="124"/>
      <c r="KLT742" s="124"/>
      <c r="KLU742" s="124"/>
      <c r="KLV742" s="124"/>
      <c r="KLW742" s="124"/>
      <c r="KLX742" s="124"/>
      <c r="KLY742" s="124"/>
      <c r="KLZ742" s="124"/>
      <c r="KMA742" s="124"/>
      <c r="KMB742" s="124"/>
      <c r="KMC742" s="124"/>
      <c r="KMD742" s="124"/>
      <c r="KME742" s="124"/>
      <c r="KMF742" s="124"/>
      <c r="KMG742" s="124"/>
      <c r="KMH742" s="124"/>
      <c r="KMI742" s="124"/>
      <c r="KMJ742" s="124"/>
      <c r="KMK742" s="124"/>
      <c r="KML742" s="124"/>
      <c r="KMM742" s="124"/>
      <c r="KMN742" s="124"/>
      <c r="KMO742" s="124"/>
      <c r="KMP742" s="124"/>
      <c r="KMQ742" s="124"/>
      <c r="KMR742" s="124"/>
      <c r="KMS742" s="124"/>
      <c r="KMT742" s="124"/>
      <c r="KMU742" s="124"/>
      <c r="KMV742" s="124"/>
      <c r="KMW742" s="124"/>
      <c r="KMX742" s="124"/>
      <c r="KMY742" s="124"/>
      <c r="KMZ742" s="124"/>
      <c r="KNA742" s="124"/>
      <c r="KNB742" s="124"/>
      <c r="KNC742" s="124"/>
      <c r="KND742" s="124"/>
      <c r="KNE742" s="124"/>
      <c r="KNF742" s="124"/>
      <c r="KNG742" s="124"/>
      <c r="KNH742" s="124"/>
      <c r="KNI742" s="124"/>
      <c r="KNJ742" s="124"/>
      <c r="KNK742" s="124"/>
      <c r="KNL742" s="124"/>
      <c r="KNM742" s="124"/>
      <c r="KNN742" s="124"/>
      <c r="KNO742" s="124"/>
      <c r="KNP742" s="124"/>
      <c r="KNQ742" s="124"/>
      <c r="KNR742" s="124"/>
      <c r="KNS742" s="124"/>
      <c r="KNT742" s="124"/>
      <c r="KNU742" s="124"/>
      <c r="KNV742" s="124"/>
      <c r="KNW742" s="124"/>
      <c r="KNX742" s="124"/>
      <c r="KNY742" s="124"/>
      <c r="KNZ742" s="124"/>
      <c r="KOA742" s="124"/>
      <c r="KOB742" s="124"/>
      <c r="KOC742" s="124"/>
      <c r="KOD742" s="124"/>
      <c r="KOE742" s="124"/>
      <c r="KOF742" s="124"/>
      <c r="KOG742" s="124"/>
      <c r="KOH742" s="124"/>
      <c r="KOI742" s="124"/>
      <c r="KOJ742" s="124"/>
      <c r="KOK742" s="124"/>
      <c r="KOL742" s="124"/>
      <c r="KOM742" s="124"/>
      <c r="KON742" s="124"/>
      <c r="KOO742" s="124"/>
      <c r="KOP742" s="124"/>
      <c r="KOQ742" s="124"/>
      <c r="KOR742" s="124"/>
      <c r="KOS742" s="124"/>
      <c r="KOT742" s="124"/>
      <c r="KOU742" s="124"/>
      <c r="KOV742" s="124"/>
      <c r="KOW742" s="124"/>
      <c r="KOX742" s="124"/>
      <c r="KOY742" s="124"/>
      <c r="KOZ742" s="124"/>
      <c r="KPA742" s="124"/>
      <c r="KPB742" s="124"/>
      <c r="KPC742" s="124"/>
      <c r="KPD742" s="124"/>
      <c r="KPE742" s="124"/>
      <c r="KPF742" s="124"/>
      <c r="KPG742" s="124"/>
      <c r="KPH742" s="124"/>
      <c r="KPI742" s="124"/>
      <c r="KPJ742" s="124"/>
      <c r="KPK742" s="124"/>
      <c r="KPL742" s="124"/>
      <c r="KPM742" s="124"/>
      <c r="KPN742" s="124"/>
      <c r="KPO742" s="124"/>
      <c r="KPP742" s="124"/>
      <c r="KPQ742" s="124"/>
      <c r="KPR742" s="124"/>
      <c r="KPS742" s="124"/>
      <c r="KPT742" s="124"/>
      <c r="KPU742" s="124"/>
      <c r="KPV742" s="124"/>
      <c r="KPW742" s="124"/>
      <c r="KPX742" s="124"/>
      <c r="KPY742" s="124"/>
      <c r="KPZ742" s="124"/>
      <c r="KQA742" s="124"/>
      <c r="KQB742" s="124"/>
      <c r="KQC742" s="124"/>
      <c r="KQD742" s="124"/>
      <c r="KQE742" s="124"/>
      <c r="KQF742" s="124"/>
      <c r="KQG742" s="124"/>
      <c r="KQH742" s="124"/>
      <c r="KQI742" s="124"/>
      <c r="KQJ742" s="124"/>
      <c r="KQK742" s="124"/>
      <c r="KQL742" s="124"/>
      <c r="KQM742" s="124"/>
      <c r="KQN742" s="124"/>
      <c r="KQO742" s="124"/>
      <c r="KQP742" s="124"/>
      <c r="KQQ742" s="124"/>
      <c r="KQR742" s="124"/>
      <c r="KQS742" s="124"/>
      <c r="KQT742" s="124"/>
      <c r="KQU742" s="124"/>
      <c r="KQV742" s="124"/>
      <c r="KQW742" s="124"/>
      <c r="KQX742" s="124"/>
      <c r="KQY742" s="124"/>
      <c r="KQZ742" s="124"/>
      <c r="KRA742" s="124"/>
      <c r="KRB742" s="124"/>
      <c r="KRC742" s="124"/>
      <c r="KRD742" s="124"/>
      <c r="KRE742" s="124"/>
      <c r="KRF742" s="124"/>
      <c r="KRG742" s="124"/>
      <c r="KRH742" s="124"/>
      <c r="KRI742" s="124"/>
      <c r="KRJ742" s="124"/>
      <c r="KRK742" s="124"/>
      <c r="KRL742" s="124"/>
      <c r="KRM742" s="124"/>
      <c r="KRN742" s="124"/>
      <c r="KRO742" s="124"/>
      <c r="KRP742" s="124"/>
      <c r="KRQ742" s="124"/>
      <c r="KRR742" s="124"/>
      <c r="KRS742" s="124"/>
      <c r="KRT742" s="124"/>
      <c r="KRU742" s="124"/>
      <c r="KRV742" s="124"/>
      <c r="KRW742" s="124"/>
      <c r="KRX742" s="124"/>
      <c r="KRY742" s="124"/>
      <c r="KRZ742" s="124"/>
      <c r="KSA742" s="124"/>
      <c r="KSB742" s="124"/>
      <c r="KSC742" s="124"/>
      <c r="KSD742" s="124"/>
      <c r="KSE742" s="124"/>
      <c r="KSF742" s="124"/>
      <c r="KSG742" s="124"/>
      <c r="KSH742" s="124"/>
      <c r="KSI742" s="124"/>
      <c r="KSJ742" s="124"/>
      <c r="KSK742" s="124"/>
      <c r="KSL742" s="124"/>
      <c r="KSM742" s="124"/>
      <c r="KSN742" s="124"/>
      <c r="KSO742" s="124"/>
      <c r="KSP742" s="124"/>
      <c r="KSQ742" s="124"/>
      <c r="KSR742" s="124"/>
      <c r="KSS742" s="124"/>
      <c r="KST742" s="124"/>
      <c r="KSU742" s="124"/>
      <c r="KSV742" s="124"/>
      <c r="KSW742" s="124"/>
      <c r="KSX742" s="124"/>
      <c r="KSY742" s="124"/>
      <c r="KSZ742" s="124"/>
      <c r="KTA742" s="124"/>
      <c r="KTB742" s="124"/>
      <c r="KTC742" s="124"/>
      <c r="KTD742" s="124"/>
      <c r="KTE742" s="124"/>
      <c r="KTF742" s="124"/>
      <c r="KTG742" s="124"/>
      <c r="KTH742" s="124"/>
      <c r="KTI742" s="124"/>
      <c r="KTJ742" s="124"/>
      <c r="KTK742" s="124"/>
      <c r="KTL742" s="124"/>
      <c r="KTM742" s="124"/>
      <c r="KTN742" s="124"/>
      <c r="KTO742" s="124"/>
      <c r="KTP742" s="124"/>
      <c r="KTQ742" s="124"/>
      <c r="KTR742" s="124"/>
      <c r="KTS742" s="124"/>
      <c r="KTT742" s="124"/>
      <c r="KTU742" s="124"/>
      <c r="KTV742" s="124"/>
      <c r="KTW742" s="124"/>
      <c r="KTX742" s="124"/>
      <c r="KTY742" s="124"/>
      <c r="KTZ742" s="124"/>
      <c r="KUA742" s="124"/>
      <c r="KUB742" s="124"/>
      <c r="KUC742" s="124"/>
      <c r="KUD742" s="124"/>
      <c r="KUE742" s="124"/>
      <c r="KUF742" s="124"/>
      <c r="KUG742" s="124"/>
      <c r="KUH742" s="124"/>
      <c r="KUI742" s="124"/>
      <c r="KUJ742" s="124"/>
      <c r="KUK742" s="124"/>
      <c r="KUL742" s="124"/>
      <c r="KUM742" s="124"/>
      <c r="KUN742" s="124"/>
      <c r="KUO742" s="124"/>
      <c r="KUP742" s="124"/>
      <c r="KUQ742" s="124"/>
      <c r="KUR742" s="124"/>
      <c r="KUS742" s="124"/>
      <c r="KUT742" s="124"/>
      <c r="KUU742" s="124"/>
      <c r="KUV742" s="124"/>
      <c r="KUW742" s="124"/>
      <c r="KUX742" s="124"/>
      <c r="KUY742" s="124"/>
      <c r="KUZ742" s="124"/>
      <c r="KVA742" s="124"/>
      <c r="KVB742" s="124"/>
      <c r="KVC742" s="124"/>
      <c r="KVD742" s="124"/>
      <c r="KVE742" s="124"/>
      <c r="KVF742" s="124"/>
      <c r="KVG742" s="124"/>
      <c r="KVH742" s="124"/>
      <c r="KVI742" s="124"/>
      <c r="KVJ742" s="124"/>
      <c r="KVK742" s="124"/>
      <c r="KVL742" s="124"/>
      <c r="KVM742" s="124"/>
      <c r="KVN742" s="124"/>
      <c r="KVO742" s="124"/>
      <c r="KVP742" s="124"/>
      <c r="KVQ742" s="124"/>
      <c r="KVR742" s="124"/>
      <c r="KVS742" s="124"/>
      <c r="KVT742" s="124"/>
      <c r="KVU742" s="124"/>
      <c r="KVV742" s="124"/>
      <c r="KVW742" s="124"/>
      <c r="KVX742" s="124"/>
      <c r="KVY742" s="124"/>
      <c r="KVZ742" s="124"/>
      <c r="KWA742" s="124"/>
      <c r="KWB742" s="124"/>
      <c r="KWC742" s="124"/>
      <c r="KWD742" s="124"/>
      <c r="KWE742" s="124"/>
      <c r="KWF742" s="124"/>
      <c r="KWG742" s="124"/>
      <c r="KWH742" s="124"/>
      <c r="KWI742" s="124"/>
      <c r="KWJ742" s="124"/>
      <c r="KWK742" s="124"/>
      <c r="KWL742" s="124"/>
      <c r="KWM742" s="124"/>
      <c r="KWN742" s="124"/>
      <c r="KWO742" s="124"/>
      <c r="KWP742" s="124"/>
      <c r="KWQ742" s="124"/>
      <c r="KWR742" s="124"/>
      <c r="KWS742" s="124"/>
      <c r="KWT742" s="124"/>
      <c r="KWU742" s="124"/>
      <c r="KWV742" s="124"/>
      <c r="KWW742" s="124"/>
      <c r="KWX742" s="124"/>
      <c r="KWY742" s="124"/>
      <c r="KWZ742" s="124"/>
      <c r="KXA742" s="124"/>
      <c r="KXB742" s="124"/>
      <c r="KXC742" s="124"/>
      <c r="KXD742" s="124"/>
      <c r="KXE742" s="124"/>
      <c r="KXF742" s="124"/>
      <c r="KXG742" s="124"/>
      <c r="KXH742" s="124"/>
      <c r="KXI742" s="124"/>
      <c r="KXJ742" s="124"/>
      <c r="KXK742" s="124"/>
      <c r="KXL742" s="124"/>
      <c r="KXM742" s="124"/>
      <c r="KXN742" s="124"/>
      <c r="KXO742" s="124"/>
      <c r="KXP742" s="124"/>
      <c r="KXQ742" s="124"/>
      <c r="KXR742" s="124"/>
      <c r="KXS742" s="124"/>
      <c r="KXT742" s="124"/>
      <c r="KXU742" s="124"/>
      <c r="KXV742" s="124"/>
      <c r="KXW742" s="124"/>
      <c r="KXX742" s="124"/>
      <c r="KXY742" s="124"/>
      <c r="KXZ742" s="124"/>
      <c r="KYA742" s="124"/>
      <c r="KYB742" s="124"/>
      <c r="KYC742" s="124"/>
      <c r="KYD742" s="124"/>
      <c r="KYE742" s="124"/>
      <c r="KYF742" s="124"/>
      <c r="KYG742" s="124"/>
      <c r="KYH742" s="124"/>
      <c r="KYI742" s="124"/>
      <c r="KYJ742" s="124"/>
      <c r="KYK742" s="124"/>
      <c r="KYL742" s="124"/>
      <c r="KYM742" s="124"/>
      <c r="KYN742" s="124"/>
      <c r="KYO742" s="124"/>
      <c r="KYP742" s="124"/>
      <c r="KYQ742" s="124"/>
      <c r="KYR742" s="124"/>
      <c r="KYS742" s="124"/>
      <c r="KYT742" s="124"/>
      <c r="KYU742" s="124"/>
      <c r="KYV742" s="124"/>
      <c r="KYW742" s="124"/>
      <c r="KYX742" s="124"/>
      <c r="KYY742" s="124"/>
      <c r="KYZ742" s="124"/>
      <c r="KZA742" s="124"/>
      <c r="KZB742" s="124"/>
      <c r="KZC742" s="124"/>
      <c r="KZD742" s="124"/>
      <c r="KZE742" s="124"/>
      <c r="KZF742" s="124"/>
      <c r="KZG742" s="124"/>
      <c r="KZH742" s="124"/>
      <c r="KZI742" s="124"/>
      <c r="KZJ742" s="124"/>
      <c r="KZK742" s="124"/>
      <c r="KZL742" s="124"/>
      <c r="KZM742" s="124"/>
      <c r="KZN742" s="124"/>
      <c r="KZO742" s="124"/>
      <c r="KZP742" s="124"/>
      <c r="KZQ742" s="124"/>
      <c r="KZR742" s="124"/>
      <c r="KZS742" s="124"/>
      <c r="KZT742" s="124"/>
      <c r="KZU742" s="124"/>
      <c r="KZV742" s="124"/>
      <c r="KZW742" s="124"/>
      <c r="KZX742" s="124"/>
      <c r="KZY742" s="124"/>
      <c r="KZZ742" s="124"/>
      <c r="LAA742" s="124"/>
      <c r="LAB742" s="124"/>
      <c r="LAC742" s="124"/>
      <c r="LAD742" s="124"/>
      <c r="LAE742" s="124"/>
      <c r="LAF742" s="124"/>
      <c r="LAG742" s="124"/>
      <c r="LAH742" s="124"/>
      <c r="LAI742" s="124"/>
      <c r="LAJ742" s="124"/>
      <c r="LAK742" s="124"/>
      <c r="LAL742" s="124"/>
      <c r="LAM742" s="124"/>
      <c r="LAN742" s="124"/>
      <c r="LAO742" s="124"/>
      <c r="LAP742" s="124"/>
      <c r="LAQ742" s="124"/>
      <c r="LAR742" s="124"/>
      <c r="LAS742" s="124"/>
      <c r="LAT742" s="124"/>
      <c r="LAU742" s="124"/>
      <c r="LAV742" s="124"/>
      <c r="LAW742" s="124"/>
      <c r="LAX742" s="124"/>
      <c r="LAY742" s="124"/>
      <c r="LAZ742" s="124"/>
      <c r="LBA742" s="124"/>
      <c r="LBB742" s="124"/>
      <c r="LBC742" s="124"/>
      <c r="LBD742" s="124"/>
      <c r="LBE742" s="124"/>
      <c r="LBF742" s="124"/>
      <c r="LBG742" s="124"/>
      <c r="LBH742" s="124"/>
      <c r="LBI742" s="124"/>
      <c r="LBJ742" s="124"/>
      <c r="LBK742" s="124"/>
      <c r="LBL742" s="124"/>
      <c r="LBM742" s="124"/>
      <c r="LBN742" s="124"/>
      <c r="LBO742" s="124"/>
      <c r="LBP742" s="124"/>
      <c r="LBQ742" s="124"/>
      <c r="LBR742" s="124"/>
      <c r="LBS742" s="124"/>
      <c r="LBT742" s="124"/>
      <c r="LBU742" s="124"/>
      <c r="LBV742" s="124"/>
      <c r="LBW742" s="124"/>
      <c r="LBX742" s="124"/>
      <c r="LBY742" s="124"/>
      <c r="LBZ742" s="124"/>
      <c r="LCA742" s="124"/>
      <c r="LCB742" s="124"/>
      <c r="LCC742" s="124"/>
      <c r="LCD742" s="124"/>
      <c r="LCE742" s="124"/>
      <c r="LCF742" s="124"/>
      <c r="LCG742" s="124"/>
      <c r="LCH742" s="124"/>
      <c r="LCI742" s="124"/>
      <c r="LCJ742" s="124"/>
      <c r="LCK742" s="124"/>
      <c r="LCL742" s="124"/>
      <c r="LCM742" s="124"/>
      <c r="LCN742" s="124"/>
      <c r="LCO742" s="124"/>
      <c r="LCP742" s="124"/>
      <c r="LCQ742" s="124"/>
      <c r="LCR742" s="124"/>
      <c r="LCS742" s="124"/>
      <c r="LCT742" s="124"/>
      <c r="LCU742" s="124"/>
      <c r="LCV742" s="124"/>
      <c r="LCW742" s="124"/>
      <c r="LCX742" s="124"/>
      <c r="LCY742" s="124"/>
      <c r="LCZ742" s="124"/>
      <c r="LDA742" s="124"/>
      <c r="LDB742" s="124"/>
      <c r="LDC742" s="124"/>
      <c r="LDD742" s="124"/>
      <c r="LDE742" s="124"/>
      <c r="LDF742" s="124"/>
      <c r="LDG742" s="124"/>
      <c r="LDH742" s="124"/>
      <c r="LDI742" s="124"/>
      <c r="LDJ742" s="124"/>
      <c r="LDK742" s="124"/>
      <c r="LDL742" s="124"/>
      <c r="LDM742" s="124"/>
      <c r="LDN742" s="124"/>
      <c r="LDO742" s="124"/>
      <c r="LDP742" s="124"/>
      <c r="LDQ742" s="124"/>
      <c r="LDR742" s="124"/>
      <c r="LDS742" s="124"/>
      <c r="LDT742" s="124"/>
      <c r="LDU742" s="124"/>
      <c r="LDV742" s="124"/>
      <c r="LDW742" s="124"/>
      <c r="LDX742" s="124"/>
      <c r="LDY742" s="124"/>
      <c r="LDZ742" s="124"/>
      <c r="LEA742" s="124"/>
      <c r="LEB742" s="124"/>
      <c r="LEC742" s="124"/>
      <c r="LED742" s="124"/>
      <c r="LEE742" s="124"/>
      <c r="LEF742" s="124"/>
      <c r="LEG742" s="124"/>
      <c r="LEH742" s="124"/>
      <c r="LEI742" s="124"/>
      <c r="LEJ742" s="124"/>
      <c r="LEK742" s="124"/>
      <c r="LEL742" s="124"/>
      <c r="LEM742" s="124"/>
      <c r="LEN742" s="124"/>
      <c r="LEO742" s="124"/>
      <c r="LEP742" s="124"/>
      <c r="LEQ742" s="124"/>
      <c r="LER742" s="124"/>
      <c r="LES742" s="124"/>
      <c r="LET742" s="124"/>
      <c r="LEU742" s="124"/>
      <c r="LEV742" s="124"/>
      <c r="LEW742" s="124"/>
      <c r="LEX742" s="124"/>
      <c r="LEY742" s="124"/>
      <c r="LEZ742" s="124"/>
      <c r="LFA742" s="124"/>
      <c r="LFB742" s="124"/>
      <c r="LFC742" s="124"/>
      <c r="LFD742" s="124"/>
      <c r="LFE742" s="124"/>
      <c r="LFF742" s="124"/>
      <c r="LFG742" s="124"/>
      <c r="LFH742" s="124"/>
      <c r="LFI742" s="124"/>
      <c r="LFJ742" s="124"/>
      <c r="LFK742" s="124"/>
      <c r="LFL742" s="124"/>
      <c r="LFM742" s="124"/>
      <c r="LFN742" s="124"/>
      <c r="LFO742" s="124"/>
      <c r="LFP742" s="124"/>
      <c r="LFQ742" s="124"/>
      <c r="LFR742" s="124"/>
      <c r="LFS742" s="124"/>
      <c r="LFT742" s="124"/>
      <c r="LFU742" s="124"/>
      <c r="LFV742" s="124"/>
      <c r="LFW742" s="124"/>
      <c r="LFX742" s="124"/>
      <c r="LFY742" s="124"/>
      <c r="LFZ742" s="124"/>
      <c r="LGA742" s="124"/>
      <c r="LGB742" s="124"/>
      <c r="LGC742" s="124"/>
      <c r="LGD742" s="124"/>
      <c r="LGE742" s="124"/>
      <c r="LGF742" s="124"/>
      <c r="LGG742" s="124"/>
      <c r="LGH742" s="124"/>
      <c r="LGI742" s="124"/>
      <c r="LGJ742" s="124"/>
      <c r="LGK742" s="124"/>
      <c r="LGL742" s="124"/>
      <c r="LGM742" s="124"/>
      <c r="LGN742" s="124"/>
      <c r="LGO742" s="124"/>
      <c r="LGP742" s="124"/>
      <c r="LGQ742" s="124"/>
      <c r="LGR742" s="124"/>
      <c r="LGS742" s="124"/>
      <c r="LGT742" s="124"/>
      <c r="LGU742" s="124"/>
      <c r="LGV742" s="124"/>
      <c r="LGW742" s="124"/>
      <c r="LGX742" s="124"/>
      <c r="LGY742" s="124"/>
      <c r="LGZ742" s="124"/>
      <c r="LHA742" s="124"/>
      <c r="LHB742" s="124"/>
      <c r="LHC742" s="124"/>
      <c r="LHD742" s="124"/>
      <c r="LHE742" s="124"/>
      <c r="LHF742" s="124"/>
      <c r="LHG742" s="124"/>
      <c r="LHH742" s="124"/>
      <c r="LHI742" s="124"/>
      <c r="LHJ742" s="124"/>
      <c r="LHK742" s="124"/>
      <c r="LHL742" s="124"/>
      <c r="LHM742" s="124"/>
      <c r="LHN742" s="124"/>
      <c r="LHO742" s="124"/>
      <c r="LHP742" s="124"/>
      <c r="LHQ742" s="124"/>
      <c r="LHR742" s="124"/>
      <c r="LHS742" s="124"/>
      <c r="LHT742" s="124"/>
      <c r="LHU742" s="124"/>
      <c r="LHV742" s="124"/>
      <c r="LHW742" s="124"/>
      <c r="LHX742" s="124"/>
      <c r="LHY742" s="124"/>
      <c r="LHZ742" s="124"/>
      <c r="LIA742" s="124"/>
      <c r="LIB742" s="124"/>
      <c r="LIC742" s="124"/>
      <c r="LID742" s="124"/>
      <c r="LIE742" s="124"/>
      <c r="LIF742" s="124"/>
      <c r="LIG742" s="124"/>
      <c r="LIH742" s="124"/>
      <c r="LII742" s="124"/>
      <c r="LIJ742" s="124"/>
      <c r="LIK742" s="124"/>
      <c r="LIL742" s="124"/>
      <c r="LIM742" s="124"/>
      <c r="LIN742" s="124"/>
      <c r="LIO742" s="124"/>
      <c r="LIP742" s="124"/>
      <c r="LIQ742" s="124"/>
      <c r="LIR742" s="124"/>
      <c r="LIS742" s="124"/>
      <c r="LIT742" s="124"/>
      <c r="LIU742" s="124"/>
      <c r="LIV742" s="124"/>
      <c r="LIW742" s="124"/>
      <c r="LIX742" s="124"/>
      <c r="LIY742" s="124"/>
      <c r="LIZ742" s="124"/>
      <c r="LJA742" s="124"/>
      <c r="LJB742" s="124"/>
      <c r="LJC742" s="124"/>
      <c r="LJD742" s="124"/>
      <c r="LJE742" s="124"/>
      <c r="LJF742" s="124"/>
      <c r="LJG742" s="124"/>
      <c r="LJH742" s="124"/>
      <c r="LJI742" s="124"/>
      <c r="LJJ742" s="124"/>
      <c r="LJK742" s="124"/>
      <c r="LJL742" s="124"/>
      <c r="LJM742" s="124"/>
      <c r="LJN742" s="124"/>
      <c r="LJO742" s="124"/>
      <c r="LJP742" s="124"/>
      <c r="LJQ742" s="124"/>
      <c r="LJR742" s="124"/>
      <c r="LJS742" s="124"/>
      <c r="LJT742" s="124"/>
      <c r="LJU742" s="124"/>
      <c r="LJV742" s="124"/>
      <c r="LJW742" s="124"/>
      <c r="LJX742" s="124"/>
      <c r="LJY742" s="124"/>
      <c r="LJZ742" s="124"/>
      <c r="LKA742" s="124"/>
      <c r="LKB742" s="124"/>
      <c r="LKC742" s="124"/>
      <c r="LKD742" s="124"/>
      <c r="LKE742" s="124"/>
      <c r="LKF742" s="124"/>
      <c r="LKG742" s="124"/>
      <c r="LKH742" s="124"/>
      <c r="LKI742" s="124"/>
      <c r="LKJ742" s="124"/>
      <c r="LKK742" s="124"/>
      <c r="LKL742" s="124"/>
      <c r="LKM742" s="124"/>
      <c r="LKN742" s="124"/>
      <c r="LKO742" s="124"/>
      <c r="LKP742" s="124"/>
      <c r="LKQ742" s="124"/>
      <c r="LKR742" s="124"/>
      <c r="LKS742" s="124"/>
      <c r="LKT742" s="124"/>
      <c r="LKU742" s="124"/>
      <c r="LKV742" s="124"/>
      <c r="LKW742" s="124"/>
      <c r="LKX742" s="124"/>
      <c r="LKY742" s="124"/>
      <c r="LKZ742" s="124"/>
      <c r="LLA742" s="124"/>
      <c r="LLB742" s="124"/>
      <c r="LLC742" s="124"/>
      <c r="LLD742" s="124"/>
      <c r="LLE742" s="124"/>
      <c r="LLF742" s="124"/>
      <c r="LLG742" s="124"/>
      <c r="LLH742" s="124"/>
      <c r="LLI742" s="124"/>
      <c r="LLJ742" s="124"/>
      <c r="LLK742" s="124"/>
      <c r="LLL742" s="124"/>
      <c r="LLM742" s="124"/>
      <c r="LLN742" s="124"/>
      <c r="LLO742" s="124"/>
      <c r="LLP742" s="124"/>
      <c r="LLQ742" s="124"/>
      <c r="LLR742" s="124"/>
      <c r="LLS742" s="124"/>
      <c r="LLT742" s="124"/>
      <c r="LLU742" s="124"/>
      <c r="LLV742" s="124"/>
      <c r="LLW742" s="124"/>
      <c r="LLX742" s="124"/>
      <c r="LLY742" s="124"/>
      <c r="LLZ742" s="124"/>
      <c r="LMA742" s="124"/>
      <c r="LMB742" s="124"/>
      <c r="LMC742" s="124"/>
      <c r="LMD742" s="124"/>
      <c r="LME742" s="124"/>
      <c r="LMF742" s="124"/>
      <c r="LMG742" s="124"/>
      <c r="LMH742" s="124"/>
      <c r="LMI742" s="124"/>
      <c r="LMJ742" s="124"/>
      <c r="LMK742" s="124"/>
      <c r="LML742" s="124"/>
      <c r="LMM742" s="124"/>
      <c r="LMN742" s="124"/>
      <c r="LMO742" s="124"/>
      <c r="LMP742" s="124"/>
      <c r="LMQ742" s="124"/>
      <c r="LMR742" s="124"/>
      <c r="LMS742" s="124"/>
      <c r="LMT742" s="124"/>
      <c r="LMU742" s="124"/>
      <c r="LMV742" s="124"/>
      <c r="LMW742" s="124"/>
      <c r="LMX742" s="124"/>
      <c r="LMY742" s="124"/>
      <c r="LMZ742" s="124"/>
      <c r="LNA742" s="124"/>
      <c r="LNB742" s="124"/>
      <c r="LNC742" s="124"/>
      <c r="LND742" s="124"/>
      <c r="LNE742" s="124"/>
      <c r="LNF742" s="124"/>
      <c r="LNG742" s="124"/>
      <c r="LNH742" s="124"/>
      <c r="LNI742" s="124"/>
      <c r="LNJ742" s="124"/>
      <c r="LNK742" s="124"/>
      <c r="LNL742" s="124"/>
      <c r="LNM742" s="124"/>
      <c r="LNN742" s="124"/>
      <c r="LNO742" s="124"/>
      <c r="LNP742" s="124"/>
      <c r="LNQ742" s="124"/>
      <c r="LNR742" s="124"/>
      <c r="LNS742" s="124"/>
      <c r="LNT742" s="124"/>
      <c r="LNU742" s="124"/>
      <c r="LNV742" s="124"/>
      <c r="LNW742" s="124"/>
      <c r="LNX742" s="124"/>
      <c r="LNY742" s="124"/>
      <c r="LNZ742" s="124"/>
      <c r="LOA742" s="124"/>
      <c r="LOB742" s="124"/>
      <c r="LOC742" s="124"/>
      <c r="LOD742" s="124"/>
      <c r="LOE742" s="124"/>
      <c r="LOF742" s="124"/>
      <c r="LOG742" s="124"/>
      <c r="LOH742" s="124"/>
      <c r="LOI742" s="124"/>
      <c r="LOJ742" s="124"/>
      <c r="LOK742" s="124"/>
      <c r="LOL742" s="124"/>
      <c r="LOM742" s="124"/>
      <c r="LON742" s="124"/>
      <c r="LOO742" s="124"/>
      <c r="LOP742" s="124"/>
      <c r="LOQ742" s="124"/>
      <c r="LOR742" s="124"/>
      <c r="LOS742" s="124"/>
      <c r="LOT742" s="124"/>
      <c r="LOU742" s="124"/>
      <c r="LOV742" s="124"/>
      <c r="LOW742" s="124"/>
      <c r="LOX742" s="124"/>
      <c r="LOY742" s="124"/>
      <c r="LOZ742" s="124"/>
      <c r="LPA742" s="124"/>
      <c r="LPB742" s="124"/>
      <c r="LPC742" s="124"/>
      <c r="LPD742" s="124"/>
      <c r="LPE742" s="124"/>
      <c r="LPF742" s="124"/>
      <c r="LPG742" s="124"/>
      <c r="LPH742" s="124"/>
      <c r="LPI742" s="124"/>
      <c r="LPJ742" s="124"/>
      <c r="LPK742" s="124"/>
      <c r="LPL742" s="124"/>
      <c r="LPM742" s="124"/>
      <c r="LPN742" s="124"/>
      <c r="LPO742" s="124"/>
      <c r="LPP742" s="124"/>
      <c r="LPQ742" s="124"/>
      <c r="LPR742" s="124"/>
      <c r="LPS742" s="124"/>
      <c r="LPT742" s="124"/>
      <c r="LPU742" s="124"/>
      <c r="LPV742" s="124"/>
      <c r="LPW742" s="124"/>
      <c r="LPX742" s="124"/>
      <c r="LPY742" s="124"/>
      <c r="LPZ742" s="124"/>
      <c r="LQA742" s="124"/>
      <c r="LQB742" s="124"/>
      <c r="LQC742" s="124"/>
      <c r="LQD742" s="124"/>
      <c r="LQE742" s="124"/>
      <c r="LQF742" s="124"/>
      <c r="LQG742" s="124"/>
      <c r="LQH742" s="124"/>
      <c r="LQI742" s="124"/>
      <c r="LQJ742" s="124"/>
      <c r="LQK742" s="124"/>
      <c r="LQL742" s="124"/>
      <c r="LQM742" s="124"/>
      <c r="LQN742" s="124"/>
      <c r="LQO742" s="124"/>
      <c r="LQP742" s="124"/>
      <c r="LQQ742" s="124"/>
      <c r="LQR742" s="124"/>
      <c r="LQS742" s="124"/>
      <c r="LQT742" s="124"/>
      <c r="LQU742" s="124"/>
      <c r="LQV742" s="124"/>
      <c r="LQW742" s="124"/>
      <c r="LQX742" s="124"/>
      <c r="LQY742" s="124"/>
      <c r="LQZ742" s="124"/>
      <c r="LRA742" s="124"/>
      <c r="LRB742" s="124"/>
      <c r="LRC742" s="124"/>
      <c r="LRD742" s="124"/>
      <c r="LRE742" s="124"/>
      <c r="LRF742" s="124"/>
      <c r="LRG742" s="124"/>
      <c r="LRH742" s="124"/>
      <c r="LRI742" s="124"/>
      <c r="LRJ742" s="124"/>
      <c r="LRK742" s="124"/>
      <c r="LRL742" s="124"/>
      <c r="LRM742" s="124"/>
      <c r="LRN742" s="124"/>
      <c r="LRO742" s="124"/>
      <c r="LRP742" s="124"/>
      <c r="LRQ742" s="124"/>
      <c r="LRR742" s="124"/>
      <c r="LRS742" s="124"/>
      <c r="LRT742" s="124"/>
      <c r="LRU742" s="124"/>
      <c r="LRV742" s="124"/>
      <c r="LRW742" s="124"/>
      <c r="LRX742" s="124"/>
      <c r="LRY742" s="124"/>
      <c r="LRZ742" s="124"/>
      <c r="LSA742" s="124"/>
      <c r="LSB742" s="124"/>
      <c r="LSC742" s="124"/>
      <c r="LSD742" s="124"/>
      <c r="LSE742" s="124"/>
      <c r="LSF742" s="124"/>
      <c r="LSG742" s="124"/>
      <c r="LSH742" s="124"/>
      <c r="LSI742" s="124"/>
      <c r="LSJ742" s="124"/>
      <c r="LSK742" s="124"/>
      <c r="LSL742" s="124"/>
      <c r="LSM742" s="124"/>
      <c r="LSN742" s="124"/>
      <c r="LSO742" s="124"/>
      <c r="LSP742" s="124"/>
      <c r="LSQ742" s="124"/>
      <c r="LSR742" s="124"/>
      <c r="LSS742" s="124"/>
      <c r="LST742" s="124"/>
      <c r="LSU742" s="124"/>
      <c r="LSV742" s="124"/>
      <c r="LSW742" s="124"/>
      <c r="LSX742" s="124"/>
      <c r="LSY742" s="124"/>
      <c r="LSZ742" s="124"/>
      <c r="LTA742" s="124"/>
      <c r="LTB742" s="124"/>
      <c r="LTC742" s="124"/>
      <c r="LTD742" s="124"/>
      <c r="LTE742" s="124"/>
      <c r="LTF742" s="124"/>
      <c r="LTG742" s="124"/>
      <c r="LTH742" s="124"/>
      <c r="LTI742" s="124"/>
      <c r="LTJ742" s="124"/>
      <c r="LTK742" s="124"/>
      <c r="LTL742" s="124"/>
      <c r="LTM742" s="124"/>
      <c r="LTN742" s="124"/>
      <c r="LTO742" s="124"/>
      <c r="LTP742" s="124"/>
      <c r="LTQ742" s="124"/>
      <c r="LTR742" s="124"/>
      <c r="LTS742" s="124"/>
      <c r="LTT742" s="124"/>
      <c r="LTU742" s="124"/>
      <c r="LTV742" s="124"/>
      <c r="LTW742" s="124"/>
      <c r="LTX742" s="124"/>
      <c r="LTY742" s="124"/>
      <c r="LTZ742" s="124"/>
      <c r="LUA742" s="124"/>
      <c r="LUB742" s="124"/>
      <c r="LUC742" s="124"/>
      <c r="LUD742" s="124"/>
      <c r="LUE742" s="124"/>
      <c r="LUF742" s="124"/>
      <c r="LUG742" s="124"/>
      <c r="LUH742" s="124"/>
      <c r="LUI742" s="124"/>
      <c r="LUJ742" s="124"/>
      <c r="LUK742" s="124"/>
      <c r="LUL742" s="124"/>
      <c r="LUM742" s="124"/>
      <c r="LUN742" s="124"/>
      <c r="LUO742" s="124"/>
      <c r="LUP742" s="124"/>
      <c r="LUQ742" s="124"/>
      <c r="LUR742" s="124"/>
      <c r="LUS742" s="124"/>
      <c r="LUT742" s="124"/>
      <c r="LUU742" s="124"/>
      <c r="LUV742" s="124"/>
      <c r="LUW742" s="124"/>
      <c r="LUX742" s="124"/>
      <c r="LUY742" s="124"/>
      <c r="LUZ742" s="124"/>
      <c r="LVA742" s="124"/>
      <c r="LVB742" s="124"/>
      <c r="LVC742" s="124"/>
      <c r="LVD742" s="124"/>
      <c r="LVE742" s="124"/>
      <c r="LVF742" s="124"/>
      <c r="LVG742" s="124"/>
      <c r="LVH742" s="124"/>
      <c r="LVI742" s="124"/>
      <c r="LVJ742" s="124"/>
      <c r="LVK742" s="124"/>
      <c r="LVL742" s="124"/>
      <c r="LVM742" s="124"/>
      <c r="LVN742" s="124"/>
      <c r="LVO742" s="124"/>
      <c r="LVP742" s="124"/>
      <c r="LVQ742" s="124"/>
      <c r="LVR742" s="124"/>
      <c r="LVS742" s="124"/>
      <c r="LVT742" s="124"/>
      <c r="LVU742" s="124"/>
      <c r="LVV742" s="124"/>
      <c r="LVW742" s="124"/>
      <c r="LVX742" s="124"/>
      <c r="LVY742" s="124"/>
      <c r="LVZ742" s="124"/>
      <c r="LWA742" s="124"/>
      <c r="LWB742" s="124"/>
      <c r="LWC742" s="124"/>
      <c r="LWD742" s="124"/>
      <c r="LWE742" s="124"/>
      <c r="LWF742" s="124"/>
      <c r="LWG742" s="124"/>
      <c r="LWH742" s="124"/>
      <c r="LWI742" s="124"/>
      <c r="LWJ742" s="124"/>
      <c r="LWK742" s="124"/>
      <c r="LWL742" s="124"/>
      <c r="LWM742" s="124"/>
      <c r="LWN742" s="124"/>
      <c r="LWO742" s="124"/>
      <c r="LWP742" s="124"/>
      <c r="LWQ742" s="124"/>
      <c r="LWR742" s="124"/>
      <c r="LWS742" s="124"/>
      <c r="LWT742" s="124"/>
      <c r="LWU742" s="124"/>
      <c r="LWV742" s="124"/>
      <c r="LWW742" s="124"/>
      <c r="LWX742" s="124"/>
      <c r="LWY742" s="124"/>
      <c r="LWZ742" s="124"/>
      <c r="LXA742" s="124"/>
      <c r="LXB742" s="124"/>
      <c r="LXC742" s="124"/>
      <c r="LXD742" s="124"/>
      <c r="LXE742" s="124"/>
      <c r="LXF742" s="124"/>
      <c r="LXG742" s="124"/>
      <c r="LXH742" s="124"/>
      <c r="LXI742" s="124"/>
      <c r="LXJ742" s="124"/>
      <c r="LXK742" s="124"/>
      <c r="LXL742" s="124"/>
      <c r="LXM742" s="124"/>
      <c r="LXN742" s="124"/>
      <c r="LXO742" s="124"/>
      <c r="LXP742" s="124"/>
      <c r="LXQ742" s="124"/>
      <c r="LXR742" s="124"/>
      <c r="LXS742" s="124"/>
      <c r="LXT742" s="124"/>
      <c r="LXU742" s="124"/>
      <c r="LXV742" s="124"/>
      <c r="LXW742" s="124"/>
      <c r="LXX742" s="124"/>
      <c r="LXY742" s="124"/>
      <c r="LXZ742" s="124"/>
      <c r="LYA742" s="124"/>
      <c r="LYB742" s="124"/>
      <c r="LYC742" s="124"/>
      <c r="LYD742" s="124"/>
      <c r="LYE742" s="124"/>
      <c r="LYF742" s="124"/>
      <c r="LYG742" s="124"/>
      <c r="LYH742" s="124"/>
      <c r="LYI742" s="124"/>
      <c r="LYJ742" s="124"/>
      <c r="LYK742" s="124"/>
      <c r="LYL742" s="124"/>
      <c r="LYM742" s="124"/>
      <c r="LYN742" s="124"/>
      <c r="LYO742" s="124"/>
      <c r="LYP742" s="124"/>
      <c r="LYQ742" s="124"/>
      <c r="LYR742" s="124"/>
      <c r="LYS742" s="124"/>
      <c r="LYT742" s="124"/>
      <c r="LYU742" s="124"/>
      <c r="LYV742" s="124"/>
      <c r="LYW742" s="124"/>
      <c r="LYX742" s="124"/>
      <c r="LYY742" s="124"/>
      <c r="LYZ742" s="124"/>
      <c r="LZA742" s="124"/>
      <c r="LZB742" s="124"/>
      <c r="LZC742" s="124"/>
      <c r="LZD742" s="124"/>
      <c r="LZE742" s="124"/>
      <c r="LZF742" s="124"/>
      <c r="LZG742" s="124"/>
      <c r="LZH742" s="124"/>
      <c r="LZI742" s="124"/>
      <c r="LZJ742" s="124"/>
      <c r="LZK742" s="124"/>
      <c r="LZL742" s="124"/>
      <c r="LZM742" s="124"/>
      <c r="LZN742" s="124"/>
      <c r="LZO742" s="124"/>
      <c r="LZP742" s="124"/>
      <c r="LZQ742" s="124"/>
      <c r="LZR742" s="124"/>
      <c r="LZS742" s="124"/>
      <c r="LZT742" s="124"/>
      <c r="LZU742" s="124"/>
      <c r="LZV742" s="124"/>
      <c r="LZW742" s="124"/>
      <c r="LZX742" s="124"/>
      <c r="LZY742" s="124"/>
      <c r="LZZ742" s="124"/>
      <c r="MAA742" s="124"/>
      <c r="MAB742" s="124"/>
      <c r="MAC742" s="124"/>
      <c r="MAD742" s="124"/>
      <c r="MAE742" s="124"/>
      <c r="MAF742" s="124"/>
      <c r="MAG742" s="124"/>
      <c r="MAH742" s="124"/>
      <c r="MAI742" s="124"/>
      <c r="MAJ742" s="124"/>
      <c r="MAK742" s="124"/>
      <c r="MAL742" s="124"/>
      <c r="MAM742" s="124"/>
      <c r="MAN742" s="124"/>
      <c r="MAO742" s="124"/>
      <c r="MAP742" s="124"/>
      <c r="MAQ742" s="124"/>
      <c r="MAR742" s="124"/>
      <c r="MAS742" s="124"/>
      <c r="MAT742" s="124"/>
      <c r="MAU742" s="124"/>
      <c r="MAV742" s="124"/>
      <c r="MAW742" s="124"/>
      <c r="MAX742" s="124"/>
      <c r="MAY742" s="124"/>
      <c r="MAZ742" s="124"/>
      <c r="MBA742" s="124"/>
      <c r="MBB742" s="124"/>
      <c r="MBC742" s="124"/>
      <c r="MBD742" s="124"/>
      <c r="MBE742" s="124"/>
      <c r="MBF742" s="124"/>
      <c r="MBG742" s="124"/>
      <c r="MBH742" s="124"/>
      <c r="MBI742" s="124"/>
      <c r="MBJ742" s="124"/>
      <c r="MBK742" s="124"/>
      <c r="MBL742" s="124"/>
      <c r="MBM742" s="124"/>
      <c r="MBN742" s="124"/>
      <c r="MBO742" s="124"/>
      <c r="MBP742" s="124"/>
      <c r="MBQ742" s="124"/>
      <c r="MBR742" s="124"/>
      <c r="MBS742" s="124"/>
      <c r="MBT742" s="124"/>
      <c r="MBU742" s="124"/>
      <c r="MBV742" s="124"/>
      <c r="MBW742" s="124"/>
      <c r="MBX742" s="124"/>
      <c r="MBY742" s="124"/>
      <c r="MBZ742" s="124"/>
      <c r="MCA742" s="124"/>
      <c r="MCB742" s="124"/>
      <c r="MCC742" s="124"/>
      <c r="MCD742" s="124"/>
      <c r="MCE742" s="124"/>
      <c r="MCF742" s="124"/>
      <c r="MCG742" s="124"/>
      <c r="MCH742" s="124"/>
      <c r="MCI742" s="124"/>
      <c r="MCJ742" s="124"/>
      <c r="MCK742" s="124"/>
      <c r="MCL742" s="124"/>
      <c r="MCM742" s="124"/>
      <c r="MCN742" s="124"/>
      <c r="MCO742" s="124"/>
      <c r="MCP742" s="124"/>
      <c r="MCQ742" s="124"/>
      <c r="MCR742" s="124"/>
      <c r="MCS742" s="124"/>
      <c r="MCT742" s="124"/>
      <c r="MCU742" s="124"/>
      <c r="MCV742" s="124"/>
      <c r="MCW742" s="124"/>
      <c r="MCX742" s="124"/>
      <c r="MCY742" s="124"/>
      <c r="MCZ742" s="124"/>
      <c r="MDA742" s="124"/>
      <c r="MDB742" s="124"/>
      <c r="MDC742" s="124"/>
      <c r="MDD742" s="124"/>
      <c r="MDE742" s="124"/>
      <c r="MDF742" s="124"/>
      <c r="MDG742" s="124"/>
      <c r="MDH742" s="124"/>
      <c r="MDI742" s="124"/>
      <c r="MDJ742" s="124"/>
      <c r="MDK742" s="124"/>
      <c r="MDL742" s="124"/>
      <c r="MDM742" s="124"/>
      <c r="MDN742" s="124"/>
      <c r="MDO742" s="124"/>
      <c r="MDP742" s="124"/>
      <c r="MDQ742" s="124"/>
      <c r="MDR742" s="124"/>
      <c r="MDS742" s="124"/>
      <c r="MDT742" s="124"/>
      <c r="MDU742" s="124"/>
      <c r="MDV742" s="124"/>
      <c r="MDW742" s="124"/>
      <c r="MDX742" s="124"/>
      <c r="MDY742" s="124"/>
      <c r="MDZ742" s="124"/>
      <c r="MEA742" s="124"/>
      <c r="MEB742" s="124"/>
      <c r="MEC742" s="124"/>
      <c r="MED742" s="124"/>
      <c r="MEE742" s="124"/>
      <c r="MEF742" s="124"/>
      <c r="MEG742" s="124"/>
      <c r="MEH742" s="124"/>
      <c r="MEI742" s="124"/>
      <c r="MEJ742" s="124"/>
      <c r="MEK742" s="124"/>
      <c r="MEL742" s="124"/>
      <c r="MEM742" s="124"/>
      <c r="MEN742" s="124"/>
      <c r="MEO742" s="124"/>
      <c r="MEP742" s="124"/>
      <c r="MEQ742" s="124"/>
      <c r="MER742" s="124"/>
      <c r="MES742" s="124"/>
      <c r="MET742" s="124"/>
      <c r="MEU742" s="124"/>
      <c r="MEV742" s="124"/>
      <c r="MEW742" s="124"/>
      <c r="MEX742" s="124"/>
      <c r="MEY742" s="124"/>
      <c r="MEZ742" s="124"/>
      <c r="MFA742" s="124"/>
      <c r="MFB742" s="124"/>
      <c r="MFC742" s="124"/>
      <c r="MFD742" s="124"/>
      <c r="MFE742" s="124"/>
      <c r="MFF742" s="124"/>
      <c r="MFG742" s="124"/>
      <c r="MFH742" s="124"/>
      <c r="MFI742" s="124"/>
      <c r="MFJ742" s="124"/>
      <c r="MFK742" s="124"/>
      <c r="MFL742" s="124"/>
      <c r="MFM742" s="124"/>
      <c r="MFN742" s="124"/>
      <c r="MFO742" s="124"/>
      <c r="MFP742" s="124"/>
      <c r="MFQ742" s="124"/>
      <c r="MFR742" s="124"/>
      <c r="MFS742" s="124"/>
      <c r="MFT742" s="124"/>
      <c r="MFU742" s="124"/>
      <c r="MFV742" s="124"/>
      <c r="MFW742" s="124"/>
      <c r="MFX742" s="124"/>
      <c r="MFY742" s="124"/>
      <c r="MFZ742" s="124"/>
      <c r="MGA742" s="124"/>
      <c r="MGB742" s="124"/>
      <c r="MGC742" s="124"/>
      <c r="MGD742" s="124"/>
      <c r="MGE742" s="124"/>
      <c r="MGF742" s="124"/>
      <c r="MGG742" s="124"/>
      <c r="MGH742" s="124"/>
      <c r="MGI742" s="124"/>
      <c r="MGJ742" s="124"/>
      <c r="MGK742" s="124"/>
      <c r="MGL742" s="124"/>
      <c r="MGM742" s="124"/>
      <c r="MGN742" s="124"/>
      <c r="MGO742" s="124"/>
      <c r="MGP742" s="124"/>
      <c r="MGQ742" s="124"/>
      <c r="MGR742" s="124"/>
      <c r="MGS742" s="124"/>
      <c r="MGT742" s="124"/>
      <c r="MGU742" s="124"/>
      <c r="MGV742" s="124"/>
      <c r="MGW742" s="124"/>
      <c r="MGX742" s="124"/>
      <c r="MGY742" s="124"/>
      <c r="MGZ742" s="124"/>
      <c r="MHA742" s="124"/>
      <c r="MHB742" s="124"/>
      <c r="MHC742" s="124"/>
      <c r="MHD742" s="124"/>
      <c r="MHE742" s="124"/>
      <c r="MHF742" s="124"/>
      <c r="MHG742" s="124"/>
      <c r="MHH742" s="124"/>
      <c r="MHI742" s="124"/>
      <c r="MHJ742" s="124"/>
      <c r="MHK742" s="124"/>
      <c r="MHL742" s="124"/>
      <c r="MHM742" s="124"/>
      <c r="MHN742" s="124"/>
      <c r="MHO742" s="124"/>
      <c r="MHP742" s="124"/>
      <c r="MHQ742" s="124"/>
      <c r="MHR742" s="124"/>
      <c r="MHS742" s="124"/>
      <c r="MHT742" s="124"/>
      <c r="MHU742" s="124"/>
      <c r="MHV742" s="124"/>
      <c r="MHW742" s="124"/>
      <c r="MHX742" s="124"/>
      <c r="MHY742" s="124"/>
      <c r="MHZ742" s="124"/>
      <c r="MIA742" s="124"/>
      <c r="MIB742" s="124"/>
      <c r="MIC742" s="124"/>
      <c r="MID742" s="124"/>
      <c r="MIE742" s="124"/>
      <c r="MIF742" s="124"/>
      <c r="MIG742" s="124"/>
      <c r="MIH742" s="124"/>
      <c r="MII742" s="124"/>
      <c r="MIJ742" s="124"/>
      <c r="MIK742" s="124"/>
      <c r="MIL742" s="124"/>
      <c r="MIM742" s="124"/>
      <c r="MIN742" s="124"/>
      <c r="MIO742" s="124"/>
      <c r="MIP742" s="124"/>
      <c r="MIQ742" s="124"/>
      <c r="MIR742" s="124"/>
      <c r="MIS742" s="124"/>
      <c r="MIT742" s="124"/>
      <c r="MIU742" s="124"/>
      <c r="MIV742" s="124"/>
      <c r="MIW742" s="124"/>
      <c r="MIX742" s="124"/>
      <c r="MIY742" s="124"/>
      <c r="MIZ742" s="124"/>
      <c r="MJA742" s="124"/>
      <c r="MJB742" s="124"/>
      <c r="MJC742" s="124"/>
      <c r="MJD742" s="124"/>
      <c r="MJE742" s="124"/>
      <c r="MJF742" s="124"/>
      <c r="MJG742" s="124"/>
      <c r="MJH742" s="124"/>
      <c r="MJI742" s="124"/>
      <c r="MJJ742" s="124"/>
      <c r="MJK742" s="124"/>
      <c r="MJL742" s="124"/>
      <c r="MJM742" s="124"/>
      <c r="MJN742" s="124"/>
      <c r="MJO742" s="124"/>
      <c r="MJP742" s="124"/>
      <c r="MJQ742" s="124"/>
      <c r="MJR742" s="124"/>
      <c r="MJS742" s="124"/>
      <c r="MJT742" s="124"/>
      <c r="MJU742" s="124"/>
      <c r="MJV742" s="124"/>
      <c r="MJW742" s="124"/>
      <c r="MJX742" s="124"/>
      <c r="MJY742" s="124"/>
      <c r="MJZ742" s="124"/>
      <c r="MKA742" s="124"/>
      <c r="MKB742" s="124"/>
      <c r="MKC742" s="124"/>
      <c r="MKD742" s="124"/>
      <c r="MKE742" s="124"/>
      <c r="MKF742" s="124"/>
      <c r="MKG742" s="124"/>
      <c r="MKH742" s="124"/>
      <c r="MKI742" s="124"/>
      <c r="MKJ742" s="124"/>
      <c r="MKK742" s="124"/>
      <c r="MKL742" s="124"/>
      <c r="MKM742" s="124"/>
      <c r="MKN742" s="124"/>
      <c r="MKO742" s="124"/>
      <c r="MKP742" s="124"/>
      <c r="MKQ742" s="124"/>
      <c r="MKR742" s="124"/>
      <c r="MKS742" s="124"/>
      <c r="MKT742" s="124"/>
      <c r="MKU742" s="124"/>
      <c r="MKV742" s="124"/>
      <c r="MKW742" s="124"/>
      <c r="MKX742" s="124"/>
      <c r="MKY742" s="124"/>
      <c r="MKZ742" s="124"/>
      <c r="MLA742" s="124"/>
      <c r="MLB742" s="124"/>
      <c r="MLC742" s="124"/>
      <c r="MLD742" s="124"/>
      <c r="MLE742" s="124"/>
      <c r="MLF742" s="124"/>
      <c r="MLG742" s="124"/>
      <c r="MLH742" s="124"/>
      <c r="MLI742" s="124"/>
      <c r="MLJ742" s="124"/>
      <c r="MLK742" s="124"/>
      <c r="MLL742" s="124"/>
      <c r="MLM742" s="124"/>
      <c r="MLN742" s="124"/>
      <c r="MLO742" s="124"/>
      <c r="MLP742" s="124"/>
      <c r="MLQ742" s="124"/>
      <c r="MLR742" s="124"/>
      <c r="MLS742" s="124"/>
      <c r="MLT742" s="124"/>
      <c r="MLU742" s="124"/>
      <c r="MLV742" s="124"/>
      <c r="MLW742" s="124"/>
      <c r="MLX742" s="124"/>
      <c r="MLY742" s="124"/>
      <c r="MLZ742" s="124"/>
      <c r="MMA742" s="124"/>
      <c r="MMB742" s="124"/>
      <c r="MMC742" s="124"/>
      <c r="MMD742" s="124"/>
      <c r="MME742" s="124"/>
      <c r="MMF742" s="124"/>
      <c r="MMG742" s="124"/>
      <c r="MMH742" s="124"/>
      <c r="MMI742" s="124"/>
      <c r="MMJ742" s="124"/>
      <c r="MMK742" s="124"/>
      <c r="MML742" s="124"/>
      <c r="MMM742" s="124"/>
      <c r="MMN742" s="124"/>
      <c r="MMO742" s="124"/>
      <c r="MMP742" s="124"/>
      <c r="MMQ742" s="124"/>
      <c r="MMR742" s="124"/>
      <c r="MMS742" s="124"/>
      <c r="MMT742" s="124"/>
      <c r="MMU742" s="124"/>
      <c r="MMV742" s="124"/>
      <c r="MMW742" s="124"/>
      <c r="MMX742" s="124"/>
      <c r="MMY742" s="124"/>
      <c r="MMZ742" s="124"/>
      <c r="MNA742" s="124"/>
      <c r="MNB742" s="124"/>
      <c r="MNC742" s="124"/>
      <c r="MND742" s="124"/>
      <c r="MNE742" s="124"/>
      <c r="MNF742" s="124"/>
      <c r="MNG742" s="124"/>
      <c r="MNH742" s="124"/>
      <c r="MNI742" s="124"/>
      <c r="MNJ742" s="124"/>
      <c r="MNK742" s="124"/>
      <c r="MNL742" s="124"/>
      <c r="MNM742" s="124"/>
      <c r="MNN742" s="124"/>
      <c r="MNO742" s="124"/>
      <c r="MNP742" s="124"/>
      <c r="MNQ742" s="124"/>
      <c r="MNR742" s="124"/>
      <c r="MNS742" s="124"/>
      <c r="MNT742" s="124"/>
      <c r="MNU742" s="124"/>
      <c r="MNV742" s="124"/>
      <c r="MNW742" s="124"/>
      <c r="MNX742" s="124"/>
      <c r="MNY742" s="124"/>
      <c r="MNZ742" s="124"/>
      <c r="MOA742" s="124"/>
      <c r="MOB742" s="124"/>
      <c r="MOC742" s="124"/>
      <c r="MOD742" s="124"/>
      <c r="MOE742" s="124"/>
      <c r="MOF742" s="124"/>
      <c r="MOG742" s="124"/>
      <c r="MOH742" s="124"/>
      <c r="MOI742" s="124"/>
      <c r="MOJ742" s="124"/>
      <c r="MOK742" s="124"/>
      <c r="MOL742" s="124"/>
      <c r="MOM742" s="124"/>
      <c r="MON742" s="124"/>
      <c r="MOO742" s="124"/>
      <c r="MOP742" s="124"/>
      <c r="MOQ742" s="124"/>
      <c r="MOR742" s="124"/>
      <c r="MOS742" s="124"/>
      <c r="MOT742" s="124"/>
      <c r="MOU742" s="124"/>
      <c r="MOV742" s="124"/>
      <c r="MOW742" s="124"/>
      <c r="MOX742" s="124"/>
      <c r="MOY742" s="124"/>
      <c r="MOZ742" s="124"/>
      <c r="MPA742" s="124"/>
      <c r="MPB742" s="124"/>
      <c r="MPC742" s="124"/>
      <c r="MPD742" s="124"/>
      <c r="MPE742" s="124"/>
      <c r="MPF742" s="124"/>
      <c r="MPG742" s="124"/>
      <c r="MPH742" s="124"/>
      <c r="MPI742" s="124"/>
      <c r="MPJ742" s="124"/>
      <c r="MPK742" s="124"/>
      <c r="MPL742" s="124"/>
      <c r="MPM742" s="124"/>
      <c r="MPN742" s="124"/>
      <c r="MPO742" s="124"/>
      <c r="MPP742" s="124"/>
      <c r="MPQ742" s="124"/>
      <c r="MPR742" s="124"/>
      <c r="MPS742" s="124"/>
      <c r="MPT742" s="124"/>
      <c r="MPU742" s="124"/>
      <c r="MPV742" s="124"/>
      <c r="MPW742" s="124"/>
      <c r="MPX742" s="124"/>
      <c r="MPY742" s="124"/>
      <c r="MPZ742" s="124"/>
      <c r="MQA742" s="124"/>
      <c r="MQB742" s="124"/>
      <c r="MQC742" s="124"/>
      <c r="MQD742" s="124"/>
      <c r="MQE742" s="124"/>
      <c r="MQF742" s="124"/>
      <c r="MQG742" s="124"/>
      <c r="MQH742" s="124"/>
      <c r="MQI742" s="124"/>
      <c r="MQJ742" s="124"/>
      <c r="MQK742" s="124"/>
      <c r="MQL742" s="124"/>
      <c r="MQM742" s="124"/>
      <c r="MQN742" s="124"/>
      <c r="MQO742" s="124"/>
      <c r="MQP742" s="124"/>
      <c r="MQQ742" s="124"/>
      <c r="MQR742" s="124"/>
      <c r="MQS742" s="124"/>
      <c r="MQT742" s="124"/>
      <c r="MQU742" s="124"/>
      <c r="MQV742" s="124"/>
      <c r="MQW742" s="124"/>
      <c r="MQX742" s="124"/>
      <c r="MQY742" s="124"/>
      <c r="MQZ742" s="124"/>
      <c r="MRA742" s="124"/>
      <c r="MRB742" s="124"/>
      <c r="MRC742" s="124"/>
      <c r="MRD742" s="124"/>
      <c r="MRE742" s="124"/>
      <c r="MRF742" s="124"/>
      <c r="MRG742" s="124"/>
      <c r="MRH742" s="124"/>
      <c r="MRI742" s="124"/>
      <c r="MRJ742" s="124"/>
      <c r="MRK742" s="124"/>
      <c r="MRL742" s="124"/>
      <c r="MRM742" s="124"/>
      <c r="MRN742" s="124"/>
      <c r="MRO742" s="124"/>
      <c r="MRP742" s="124"/>
      <c r="MRQ742" s="124"/>
      <c r="MRR742" s="124"/>
      <c r="MRS742" s="124"/>
      <c r="MRT742" s="124"/>
      <c r="MRU742" s="124"/>
      <c r="MRV742" s="124"/>
      <c r="MRW742" s="124"/>
      <c r="MRX742" s="124"/>
      <c r="MRY742" s="124"/>
      <c r="MRZ742" s="124"/>
      <c r="MSA742" s="124"/>
      <c r="MSB742" s="124"/>
      <c r="MSC742" s="124"/>
      <c r="MSD742" s="124"/>
      <c r="MSE742" s="124"/>
      <c r="MSF742" s="124"/>
      <c r="MSG742" s="124"/>
      <c r="MSH742" s="124"/>
      <c r="MSI742" s="124"/>
      <c r="MSJ742" s="124"/>
      <c r="MSK742" s="124"/>
      <c r="MSL742" s="124"/>
      <c r="MSM742" s="124"/>
      <c r="MSN742" s="124"/>
      <c r="MSO742" s="124"/>
      <c r="MSP742" s="124"/>
      <c r="MSQ742" s="124"/>
      <c r="MSR742" s="124"/>
      <c r="MSS742" s="124"/>
      <c r="MST742" s="124"/>
      <c r="MSU742" s="124"/>
      <c r="MSV742" s="124"/>
      <c r="MSW742" s="124"/>
      <c r="MSX742" s="124"/>
      <c r="MSY742" s="124"/>
      <c r="MSZ742" s="124"/>
      <c r="MTA742" s="124"/>
      <c r="MTB742" s="124"/>
      <c r="MTC742" s="124"/>
      <c r="MTD742" s="124"/>
      <c r="MTE742" s="124"/>
      <c r="MTF742" s="124"/>
      <c r="MTG742" s="124"/>
      <c r="MTH742" s="124"/>
      <c r="MTI742" s="124"/>
      <c r="MTJ742" s="124"/>
      <c r="MTK742" s="124"/>
      <c r="MTL742" s="124"/>
      <c r="MTM742" s="124"/>
      <c r="MTN742" s="124"/>
      <c r="MTO742" s="124"/>
      <c r="MTP742" s="124"/>
      <c r="MTQ742" s="124"/>
      <c r="MTR742" s="124"/>
      <c r="MTS742" s="124"/>
      <c r="MTT742" s="124"/>
      <c r="MTU742" s="124"/>
      <c r="MTV742" s="124"/>
      <c r="MTW742" s="124"/>
      <c r="MTX742" s="124"/>
      <c r="MTY742" s="124"/>
      <c r="MTZ742" s="124"/>
      <c r="MUA742" s="124"/>
      <c r="MUB742" s="124"/>
      <c r="MUC742" s="124"/>
      <c r="MUD742" s="124"/>
      <c r="MUE742" s="124"/>
      <c r="MUF742" s="124"/>
      <c r="MUG742" s="124"/>
      <c r="MUH742" s="124"/>
      <c r="MUI742" s="124"/>
      <c r="MUJ742" s="124"/>
      <c r="MUK742" s="124"/>
      <c r="MUL742" s="124"/>
      <c r="MUM742" s="124"/>
      <c r="MUN742" s="124"/>
      <c r="MUO742" s="124"/>
      <c r="MUP742" s="124"/>
      <c r="MUQ742" s="124"/>
      <c r="MUR742" s="124"/>
      <c r="MUS742" s="124"/>
      <c r="MUT742" s="124"/>
      <c r="MUU742" s="124"/>
      <c r="MUV742" s="124"/>
      <c r="MUW742" s="124"/>
      <c r="MUX742" s="124"/>
      <c r="MUY742" s="124"/>
      <c r="MUZ742" s="124"/>
      <c r="MVA742" s="124"/>
      <c r="MVB742" s="124"/>
      <c r="MVC742" s="124"/>
      <c r="MVD742" s="124"/>
      <c r="MVE742" s="124"/>
      <c r="MVF742" s="124"/>
      <c r="MVG742" s="124"/>
      <c r="MVH742" s="124"/>
      <c r="MVI742" s="124"/>
      <c r="MVJ742" s="124"/>
      <c r="MVK742" s="124"/>
      <c r="MVL742" s="124"/>
      <c r="MVM742" s="124"/>
      <c r="MVN742" s="124"/>
      <c r="MVO742" s="124"/>
      <c r="MVP742" s="124"/>
      <c r="MVQ742" s="124"/>
      <c r="MVR742" s="124"/>
      <c r="MVS742" s="124"/>
      <c r="MVT742" s="124"/>
      <c r="MVU742" s="124"/>
      <c r="MVV742" s="124"/>
      <c r="MVW742" s="124"/>
      <c r="MVX742" s="124"/>
      <c r="MVY742" s="124"/>
      <c r="MVZ742" s="124"/>
      <c r="MWA742" s="124"/>
      <c r="MWB742" s="124"/>
      <c r="MWC742" s="124"/>
      <c r="MWD742" s="124"/>
      <c r="MWE742" s="124"/>
      <c r="MWF742" s="124"/>
      <c r="MWG742" s="124"/>
      <c r="MWH742" s="124"/>
      <c r="MWI742" s="124"/>
      <c r="MWJ742" s="124"/>
      <c r="MWK742" s="124"/>
      <c r="MWL742" s="124"/>
      <c r="MWM742" s="124"/>
      <c r="MWN742" s="124"/>
      <c r="MWO742" s="124"/>
      <c r="MWP742" s="124"/>
      <c r="MWQ742" s="124"/>
      <c r="MWR742" s="124"/>
      <c r="MWS742" s="124"/>
      <c r="MWT742" s="124"/>
      <c r="MWU742" s="124"/>
      <c r="MWV742" s="124"/>
      <c r="MWW742" s="124"/>
      <c r="MWX742" s="124"/>
      <c r="MWY742" s="124"/>
      <c r="MWZ742" s="124"/>
      <c r="MXA742" s="124"/>
      <c r="MXB742" s="124"/>
      <c r="MXC742" s="124"/>
      <c r="MXD742" s="124"/>
      <c r="MXE742" s="124"/>
      <c r="MXF742" s="124"/>
      <c r="MXG742" s="124"/>
      <c r="MXH742" s="124"/>
      <c r="MXI742" s="124"/>
      <c r="MXJ742" s="124"/>
      <c r="MXK742" s="124"/>
      <c r="MXL742" s="124"/>
      <c r="MXM742" s="124"/>
      <c r="MXN742" s="124"/>
      <c r="MXO742" s="124"/>
      <c r="MXP742" s="124"/>
      <c r="MXQ742" s="124"/>
      <c r="MXR742" s="124"/>
      <c r="MXS742" s="124"/>
      <c r="MXT742" s="124"/>
      <c r="MXU742" s="124"/>
      <c r="MXV742" s="124"/>
      <c r="MXW742" s="124"/>
      <c r="MXX742" s="124"/>
      <c r="MXY742" s="124"/>
      <c r="MXZ742" s="124"/>
      <c r="MYA742" s="124"/>
      <c r="MYB742" s="124"/>
      <c r="MYC742" s="124"/>
      <c r="MYD742" s="124"/>
      <c r="MYE742" s="124"/>
      <c r="MYF742" s="124"/>
      <c r="MYG742" s="124"/>
      <c r="MYH742" s="124"/>
      <c r="MYI742" s="124"/>
      <c r="MYJ742" s="124"/>
      <c r="MYK742" s="124"/>
      <c r="MYL742" s="124"/>
      <c r="MYM742" s="124"/>
      <c r="MYN742" s="124"/>
      <c r="MYO742" s="124"/>
      <c r="MYP742" s="124"/>
      <c r="MYQ742" s="124"/>
      <c r="MYR742" s="124"/>
      <c r="MYS742" s="124"/>
      <c r="MYT742" s="124"/>
      <c r="MYU742" s="124"/>
      <c r="MYV742" s="124"/>
      <c r="MYW742" s="124"/>
      <c r="MYX742" s="124"/>
      <c r="MYY742" s="124"/>
      <c r="MYZ742" s="124"/>
      <c r="MZA742" s="124"/>
      <c r="MZB742" s="124"/>
      <c r="MZC742" s="124"/>
      <c r="MZD742" s="124"/>
      <c r="MZE742" s="124"/>
      <c r="MZF742" s="124"/>
      <c r="MZG742" s="124"/>
      <c r="MZH742" s="124"/>
      <c r="MZI742" s="124"/>
      <c r="MZJ742" s="124"/>
      <c r="MZK742" s="124"/>
      <c r="MZL742" s="124"/>
      <c r="MZM742" s="124"/>
      <c r="MZN742" s="124"/>
      <c r="MZO742" s="124"/>
      <c r="MZP742" s="124"/>
      <c r="MZQ742" s="124"/>
      <c r="MZR742" s="124"/>
      <c r="MZS742" s="124"/>
      <c r="MZT742" s="124"/>
      <c r="MZU742" s="124"/>
      <c r="MZV742" s="124"/>
      <c r="MZW742" s="124"/>
      <c r="MZX742" s="124"/>
      <c r="MZY742" s="124"/>
      <c r="MZZ742" s="124"/>
      <c r="NAA742" s="124"/>
      <c r="NAB742" s="124"/>
      <c r="NAC742" s="124"/>
      <c r="NAD742" s="124"/>
      <c r="NAE742" s="124"/>
      <c r="NAF742" s="124"/>
      <c r="NAG742" s="124"/>
      <c r="NAH742" s="124"/>
      <c r="NAI742" s="124"/>
      <c r="NAJ742" s="124"/>
      <c r="NAK742" s="124"/>
      <c r="NAL742" s="124"/>
      <c r="NAM742" s="124"/>
      <c r="NAN742" s="124"/>
      <c r="NAO742" s="124"/>
      <c r="NAP742" s="124"/>
      <c r="NAQ742" s="124"/>
      <c r="NAR742" s="124"/>
      <c r="NAS742" s="124"/>
      <c r="NAT742" s="124"/>
      <c r="NAU742" s="124"/>
      <c r="NAV742" s="124"/>
      <c r="NAW742" s="124"/>
      <c r="NAX742" s="124"/>
      <c r="NAY742" s="124"/>
      <c r="NAZ742" s="124"/>
      <c r="NBA742" s="124"/>
      <c r="NBB742" s="124"/>
      <c r="NBC742" s="124"/>
      <c r="NBD742" s="124"/>
      <c r="NBE742" s="124"/>
      <c r="NBF742" s="124"/>
      <c r="NBG742" s="124"/>
      <c r="NBH742" s="124"/>
      <c r="NBI742" s="124"/>
      <c r="NBJ742" s="124"/>
      <c r="NBK742" s="124"/>
      <c r="NBL742" s="124"/>
      <c r="NBM742" s="124"/>
      <c r="NBN742" s="124"/>
      <c r="NBO742" s="124"/>
      <c r="NBP742" s="124"/>
      <c r="NBQ742" s="124"/>
      <c r="NBR742" s="124"/>
      <c r="NBS742" s="124"/>
      <c r="NBT742" s="124"/>
      <c r="NBU742" s="124"/>
      <c r="NBV742" s="124"/>
      <c r="NBW742" s="124"/>
      <c r="NBX742" s="124"/>
      <c r="NBY742" s="124"/>
      <c r="NBZ742" s="124"/>
      <c r="NCA742" s="124"/>
      <c r="NCB742" s="124"/>
      <c r="NCC742" s="124"/>
      <c r="NCD742" s="124"/>
      <c r="NCE742" s="124"/>
      <c r="NCF742" s="124"/>
      <c r="NCG742" s="124"/>
      <c r="NCH742" s="124"/>
      <c r="NCI742" s="124"/>
      <c r="NCJ742" s="124"/>
      <c r="NCK742" s="124"/>
      <c r="NCL742" s="124"/>
      <c r="NCM742" s="124"/>
      <c r="NCN742" s="124"/>
      <c r="NCO742" s="124"/>
      <c r="NCP742" s="124"/>
      <c r="NCQ742" s="124"/>
      <c r="NCR742" s="124"/>
      <c r="NCS742" s="124"/>
      <c r="NCT742" s="124"/>
      <c r="NCU742" s="124"/>
      <c r="NCV742" s="124"/>
      <c r="NCW742" s="124"/>
      <c r="NCX742" s="124"/>
      <c r="NCY742" s="124"/>
      <c r="NCZ742" s="124"/>
      <c r="NDA742" s="124"/>
      <c r="NDB742" s="124"/>
      <c r="NDC742" s="124"/>
      <c r="NDD742" s="124"/>
      <c r="NDE742" s="124"/>
      <c r="NDF742" s="124"/>
      <c r="NDG742" s="124"/>
      <c r="NDH742" s="124"/>
      <c r="NDI742" s="124"/>
      <c r="NDJ742" s="124"/>
      <c r="NDK742" s="124"/>
      <c r="NDL742" s="124"/>
      <c r="NDM742" s="124"/>
      <c r="NDN742" s="124"/>
      <c r="NDO742" s="124"/>
      <c r="NDP742" s="124"/>
      <c r="NDQ742" s="124"/>
      <c r="NDR742" s="124"/>
      <c r="NDS742" s="124"/>
      <c r="NDT742" s="124"/>
      <c r="NDU742" s="124"/>
      <c r="NDV742" s="124"/>
      <c r="NDW742" s="124"/>
      <c r="NDX742" s="124"/>
      <c r="NDY742" s="124"/>
      <c r="NDZ742" s="124"/>
      <c r="NEA742" s="124"/>
      <c r="NEB742" s="124"/>
      <c r="NEC742" s="124"/>
      <c r="NED742" s="124"/>
      <c r="NEE742" s="124"/>
      <c r="NEF742" s="124"/>
      <c r="NEG742" s="124"/>
      <c r="NEH742" s="124"/>
      <c r="NEI742" s="124"/>
      <c r="NEJ742" s="124"/>
      <c r="NEK742" s="124"/>
      <c r="NEL742" s="124"/>
      <c r="NEM742" s="124"/>
      <c r="NEN742" s="124"/>
      <c r="NEO742" s="124"/>
      <c r="NEP742" s="124"/>
      <c r="NEQ742" s="124"/>
      <c r="NER742" s="124"/>
      <c r="NES742" s="124"/>
      <c r="NET742" s="124"/>
      <c r="NEU742" s="124"/>
      <c r="NEV742" s="124"/>
      <c r="NEW742" s="124"/>
      <c r="NEX742" s="124"/>
      <c r="NEY742" s="124"/>
      <c r="NEZ742" s="124"/>
      <c r="NFA742" s="124"/>
      <c r="NFB742" s="124"/>
      <c r="NFC742" s="124"/>
      <c r="NFD742" s="124"/>
      <c r="NFE742" s="124"/>
      <c r="NFF742" s="124"/>
      <c r="NFG742" s="124"/>
      <c r="NFH742" s="124"/>
      <c r="NFI742" s="124"/>
      <c r="NFJ742" s="124"/>
      <c r="NFK742" s="124"/>
      <c r="NFL742" s="124"/>
      <c r="NFM742" s="124"/>
      <c r="NFN742" s="124"/>
      <c r="NFO742" s="124"/>
      <c r="NFP742" s="124"/>
      <c r="NFQ742" s="124"/>
      <c r="NFR742" s="124"/>
      <c r="NFS742" s="124"/>
      <c r="NFT742" s="124"/>
      <c r="NFU742" s="124"/>
      <c r="NFV742" s="124"/>
      <c r="NFW742" s="124"/>
      <c r="NFX742" s="124"/>
      <c r="NFY742" s="124"/>
      <c r="NFZ742" s="124"/>
      <c r="NGA742" s="124"/>
      <c r="NGB742" s="124"/>
      <c r="NGC742" s="124"/>
      <c r="NGD742" s="124"/>
      <c r="NGE742" s="124"/>
      <c r="NGF742" s="124"/>
      <c r="NGG742" s="124"/>
      <c r="NGH742" s="124"/>
      <c r="NGI742" s="124"/>
      <c r="NGJ742" s="124"/>
      <c r="NGK742" s="124"/>
      <c r="NGL742" s="124"/>
      <c r="NGM742" s="124"/>
      <c r="NGN742" s="124"/>
      <c r="NGO742" s="124"/>
      <c r="NGP742" s="124"/>
      <c r="NGQ742" s="124"/>
      <c r="NGR742" s="124"/>
      <c r="NGS742" s="124"/>
      <c r="NGT742" s="124"/>
      <c r="NGU742" s="124"/>
      <c r="NGV742" s="124"/>
      <c r="NGW742" s="124"/>
      <c r="NGX742" s="124"/>
      <c r="NGY742" s="124"/>
      <c r="NGZ742" s="124"/>
      <c r="NHA742" s="124"/>
      <c r="NHB742" s="124"/>
      <c r="NHC742" s="124"/>
      <c r="NHD742" s="124"/>
      <c r="NHE742" s="124"/>
      <c r="NHF742" s="124"/>
      <c r="NHG742" s="124"/>
      <c r="NHH742" s="124"/>
      <c r="NHI742" s="124"/>
      <c r="NHJ742" s="124"/>
      <c r="NHK742" s="124"/>
      <c r="NHL742" s="124"/>
      <c r="NHM742" s="124"/>
      <c r="NHN742" s="124"/>
      <c r="NHO742" s="124"/>
      <c r="NHP742" s="124"/>
      <c r="NHQ742" s="124"/>
      <c r="NHR742" s="124"/>
      <c r="NHS742" s="124"/>
      <c r="NHT742" s="124"/>
      <c r="NHU742" s="124"/>
      <c r="NHV742" s="124"/>
      <c r="NHW742" s="124"/>
      <c r="NHX742" s="124"/>
      <c r="NHY742" s="124"/>
      <c r="NHZ742" s="124"/>
      <c r="NIA742" s="124"/>
      <c r="NIB742" s="124"/>
      <c r="NIC742" s="124"/>
      <c r="NID742" s="124"/>
      <c r="NIE742" s="124"/>
      <c r="NIF742" s="124"/>
      <c r="NIG742" s="124"/>
      <c r="NIH742" s="124"/>
      <c r="NII742" s="124"/>
      <c r="NIJ742" s="124"/>
      <c r="NIK742" s="124"/>
      <c r="NIL742" s="124"/>
      <c r="NIM742" s="124"/>
      <c r="NIN742" s="124"/>
      <c r="NIO742" s="124"/>
      <c r="NIP742" s="124"/>
      <c r="NIQ742" s="124"/>
      <c r="NIR742" s="124"/>
      <c r="NIS742" s="124"/>
      <c r="NIT742" s="124"/>
      <c r="NIU742" s="124"/>
      <c r="NIV742" s="124"/>
      <c r="NIW742" s="124"/>
      <c r="NIX742" s="124"/>
      <c r="NIY742" s="124"/>
      <c r="NIZ742" s="124"/>
      <c r="NJA742" s="124"/>
      <c r="NJB742" s="124"/>
      <c r="NJC742" s="124"/>
      <c r="NJD742" s="124"/>
      <c r="NJE742" s="124"/>
      <c r="NJF742" s="124"/>
      <c r="NJG742" s="124"/>
      <c r="NJH742" s="124"/>
      <c r="NJI742" s="124"/>
      <c r="NJJ742" s="124"/>
      <c r="NJK742" s="124"/>
      <c r="NJL742" s="124"/>
      <c r="NJM742" s="124"/>
      <c r="NJN742" s="124"/>
      <c r="NJO742" s="124"/>
      <c r="NJP742" s="124"/>
      <c r="NJQ742" s="124"/>
      <c r="NJR742" s="124"/>
      <c r="NJS742" s="124"/>
      <c r="NJT742" s="124"/>
      <c r="NJU742" s="124"/>
      <c r="NJV742" s="124"/>
      <c r="NJW742" s="124"/>
      <c r="NJX742" s="124"/>
      <c r="NJY742" s="124"/>
      <c r="NJZ742" s="124"/>
      <c r="NKA742" s="124"/>
      <c r="NKB742" s="124"/>
      <c r="NKC742" s="124"/>
      <c r="NKD742" s="124"/>
      <c r="NKE742" s="124"/>
      <c r="NKF742" s="124"/>
      <c r="NKG742" s="124"/>
      <c r="NKH742" s="124"/>
      <c r="NKI742" s="124"/>
      <c r="NKJ742" s="124"/>
      <c r="NKK742" s="124"/>
      <c r="NKL742" s="124"/>
      <c r="NKM742" s="124"/>
      <c r="NKN742" s="124"/>
      <c r="NKO742" s="124"/>
      <c r="NKP742" s="124"/>
      <c r="NKQ742" s="124"/>
      <c r="NKR742" s="124"/>
      <c r="NKS742" s="124"/>
      <c r="NKT742" s="124"/>
      <c r="NKU742" s="124"/>
      <c r="NKV742" s="124"/>
      <c r="NKW742" s="124"/>
      <c r="NKX742" s="124"/>
      <c r="NKY742" s="124"/>
      <c r="NKZ742" s="124"/>
      <c r="NLA742" s="124"/>
      <c r="NLB742" s="124"/>
      <c r="NLC742" s="124"/>
      <c r="NLD742" s="124"/>
      <c r="NLE742" s="124"/>
      <c r="NLF742" s="124"/>
      <c r="NLG742" s="124"/>
      <c r="NLH742" s="124"/>
      <c r="NLI742" s="124"/>
      <c r="NLJ742" s="124"/>
      <c r="NLK742" s="124"/>
      <c r="NLL742" s="124"/>
      <c r="NLM742" s="124"/>
      <c r="NLN742" s="124"/>
      <c r="NLO742" s="124"/>
      <c r="NLP742" s="124"/>
      <c r="NLQ742" s="124"/>
      <c r="NLR742" s="124"/>
      <c r="NLS742" s="124"/>
      <c r="NLT742" s="124"/>
      <c r="NLU742" s="124"/>
      <c r="NLV742" s="124"/>
      <c r="NLW742" s="124"/>
      <c r="NLX742" s="124"/>
      <c r="NLY742" s="124"/>
      <c r="NLZ742" s="124"/>
      <c r="NMA742" s="124"/>
      <c r="NMB742" s="124"/>
      <c r="NMC742" s="124"/>
      <c r="NMD742" s="124"/>
      <c r="NME742" s="124"/>
      <c r="NMF742" s="124"/>
      <c r="NMG742" s="124"/>
      <c r="NMH742" s="124"/>
      <c r="NMI742" s="124"/>
      <c r="NMJ742" s="124"/>
      <c r="NMK742" s="124"/>
      <c r="NML742" s="124"/>
      <c r="NMM742" s="124"/>
      <c r="NMN742" s="124"/>
      <c r="NMO742" s="124"/>
      <c r="NMP742" s="124"/>
      <c r="NMQ742" s="124"/>
      <c r="NMR742" s="124"/>
      <c r="NMS742" s="124"/>
      <c r="NMT742" s="124"/>
      <c r="NMU742" s="124"/>
      <c r="NMV742" s="124"/>
      <c r="NMW742" s="124"/>
      <c r="NMX742" s="124"/>
      <c r="NMY742" s="124"/>
      <c r="NMZ742" s="124"/>
      <c r="NNA742" s="124"/>
      <c r="NNB742" s="124"/>
      <c r="NNC742" s="124"/>
      <c r="NND742" s="124"/>
      <c r="NNE742" s="124"/>
      <c r="NNF742" s="124"/>
      <c r="NNG742" s="124"/>
      <c r="NNH742" s="124"/>
      <c r="NNI742" s="124"/>
      <c r="NNJ742" s="124"/>
      <c r="NNK742" s="124"/>
      <c r="NNL742" s="124"/>
      <c r="NNM742" s="124"/>
      <c r="NNN742" s="124"/>
      <c r="NNO742" s="124"/>
      <c r="NNP742" s="124"/>
      <c r="NNQ742" s="124"/>
      <c r="NNR742" s="124"/>
      <c r="NNS742" s="124"/>
      <c r="NNT742" s="124"/>
      <c r="NNU742" s="124"/>
      <c r="NNV742" s="124"/>
      <c r="NNW742" s="124"/>
      <c r="NNX742" s="124"/>
      <c r="NNY742" s="124"/>
      <c r="NNZ742" s="124"/>
      <c r="NOA742" s="124"/>
      <c r="NOB742" s="124"/>
      <c r="NOC742" s="124"/>
      <c r="NOD742" s="124"/>
      <c r="NOE742" s="124"/>
      <c r="NOF742" s="124"/>
      <c r="NOG742" s="124"/>
      <c r="NOH742" s="124"/>
      <c r="NOI742" s="124"/>
      <c r="NOJ742" s="124"/>
      <c r="NOK742" s="124"/>
      <c r="NOL742" s="124"/>
      <c r="NOM742" s="124"/>
      <c r="NON742" s="124"/>
      <c r="NOO742" s="124"/>
      <c r="NOP742" s="124"/>
      <c r="NOQ742" s="124"/>
      <c r="NOR742" s="124"/>
      <c r="NOS742" s="124"/>
      <c r="NOT742" s="124"/>
      <c r="NOU742" s="124"/>
      <c r="NOV742" s="124"/>
      <c r="NOW742" s="124"/>
      <c r="NOX742" s="124"/>
      <c r="NOY742" s="124"/>
      <c r="NOZ742" s="124"/>
      <c r="NPA742" s="124"/>
      <c r="NPB742" s="124"/>
      <c r="NPC742" s="124"/>
      <c r="NPD742" s="124"/>
      <c r="NPE742" s="124"/>
      <c r="NPF742" s="124"/>
      <c r="NPG742" s="124"/>
      <c r="NPH742" s="124"/>
      <c r="NPI742" s="124"/>
      <c r="NPJ742" s="124"/>
      <c r="NPK742" s="124"/>
      <c r="NPL742" s="124"/>
      <c r="NPM742" s="124"/>
      <c r="NPN742" s="124"/>
      <c r="NPO742" s="124"/>
      <c r="NPP742" s="124"/>
      <c r="NPQ742" s="124"/>
      <c r="NPR742" s="124"/>
      <c r="NPS742" s="124"/>
      <c r="NPT742" s="124"/>
      <c r="NPU742" s="124"/>
      <c r="NPV742" s="124"/>
      <c r="NPW742" s="124"/>
      <c r="NPX742" s="124"/>
      <c r="NPY742" s="124"/>
      <c r="NPZ742" s="124"/>
      <c r="NQA742" s="124"/>
      <c r="NQB742" s="124"/>
      <c r="NQC742" s="124"/>
      <c r="NQD742" s="124"/>
      <c r="NQE742" s="124"/>
      <c r="NQF742" s="124"/>
      <c r="NQG742" s="124"/>
      <c r="NQH742" s="124"/>
      <c r="NQI742" s="124"/>
      <c r="NQJ742" s="124"/>
      <c r="NQK742" s="124"/>
      <c r="NQL742" s="124"/>
      <c r="NQM742" s="124"/>
      <c r="NQN742" s="124"/>
      <c r="NQO742" s="124"/>
      <c r="NQP742" s="124"/>
      <c r="NQQ742" s="124"/>
      <c r="NQR742" s="124"/>
      <c r="NQS742" s="124"/>
      <c r="NQT742" s="124"/>
      <c r="NQU742" s="124"/>
      <c r="NQV742" s="124"/>
      <c r="NQW742" s="124"/>
      <c r="NQX742" s="124"/>
      <c r="NQY742" s="124"/>
      <c r="NQZ742" s="124"/>
      <c r="NRA742" s="124"/>
      <c r="NRB742" s="124"/>
      <c r="NRC742" s="124"/>
      <c r="NRD742" s="124"/>
      <c r="NRE742" s="124"/>
      <c r="NRF742" s="124"/>
      <c r="NRG742" s="124"/>
      <c r="NRH742" s="124"/>
      <c r="NRI742" s="124"/>
      <c r="NRJ742" s="124"/>
      <c r="NRK742" s="124"/>
      <c r="NRL742" s="124"/>
      <c r="NRM742" s="124"/>
      <c r="NRN742" s="124"/>
      <c r="NRO742" s="124"/>
      <c r="NRP742" s="124"/>
      <c r="NRQ742" s="124"/>
      <c r="NRR742" s="124"/>
      <c r="NRS742" s="124"/>
      <c r="NRT742" s="124"/>
      <c r="NRU742" s="124"/>
      <c r="NRV742" s="124"/>
      <c r="NRW742" s="124"/>
      <c r="NRX742" s="124"/>
      <c r="NRY742" s="124"/>
      <c r="NRZ742" s="124"/>
      <c r="NSA742" s="124"/>
      <c r="NSB742" s="124"/>
      <c r="NSC742" s="124"/>
      <c r="NSD742" s="124"/>
      <c r="NSE742" s="124"/>
      <c r="NSF742" s="124"/>
      <c r="NSG742" s="124"/>
      <c r="NSH742" s="124"/>
      <c r="NSI742" s="124"/>
      <c r="NSJ742" s="124"/>
      <c r="NSK742" s="124"/>
      <c r="NSL742" s="124"/>
      <c r="NSM742" s="124"/>
      <c r="NSN742" s="124"/>
      <c r="NSO742" s="124"/>
      <c r="NSP742" s="124"/>
      <c r="NSQ742" s="124"/>
      <c r="NSR742" s="124"/>
      <c r="NSS742" s="124"/>
      <c r="NST742" s="124"/>
      <c r="NSU742" s="124"/>
      <c r="NSV742" s="124"/>
      <c r="NSW742" s="124"/>
      <c r="NSX742" s="124"/>
      <c r="NSY742" s="124"/>
      <c r="NSZ742" s="124"/>
      <c r="NTA742" s="124"/>
      <c r="NTB742" s="124"/>
      <c r="NTC742" s="124"/>
      <c r="NTD742" s="124"/>
      <c r="NTE742" s="124"/>
      <c r="NTF742" s="124"/>
      <c r="NTG742" s="124"/>
      <c r="NTH742" s="124"/>
      <c r="NTI742" s="124"/>
      <c r="NTJ742" s="124"/>
      <c r="NTK742" s="124"/>
      <c r="NTL742" s="124"/>
      <c r="NTM742" s="124"/>
      <c r="NTN742" s="124"/>
      <c r="NTO742" s="124"/>
      <c r="NTP742" s="124"/>
      <c r="NTQ742" s="124"/>
      <c r="NTR742" s="124"/>
      <c r="NTS742" s="124"/>
      <c r="NTT742" s="124"/>
      <c r="NTU742" s="124"/>
      <c r="NTV742" s="124"/>
      <c r="NTW742" s="124"/>
      <c r="NTX742" s="124"/>
      <c r="NTY742" s="124"/>
      <c r="NTZ742" s="124"/>
      <c r="NUA742" s="124"/>
      <c r="NUB742" s="124"/>
      <c r="NUC742" s="124"/>
      <c r="NUD742" s="124"/>
      <c r="NUE742" s="124"/>
      <c r="NUF742" s="124"/>
      <c r="NUG742" s="124"/>
      <c r="NUH742" s="124"/>
      <c r="NUI742" s="124"/>
      <c r="NUJ742" s="124"/>
      <c r="NUK742" s="124"/>
      <c r="NUL742" s="124"/>
      <c r="NUM742" s="124"/>
      <c r="NUN742" s="124"/>
      <c r="NUO742" s="124"/>
      <c r="NUP742" s="124"/>
      <c r="NUQ742" s="124"/>
      <c r="NUR742" s="124"/>
      <c r="NUS742" s="124"/>
      <c r="NUT742" s="124"/>
      <c r="NUU742" s="124"/>
      <c r="NUV742" s="124"/>
      <c r="NUW742" s="124"/>
      <c r="NUX742" s="124"/>
      <c r="NUY742" s="124"/>
      <c r="NUZ742" s="124"/>
      <c r="NVA742" s="124"/>
      <c r="NVB742" s="124"/>
      <c r="NVC742" s="124"/>
      <c r="NVD742" s="124"/>
      <c r="NVE742" s="124"/>
      <c r="NVF742" s="124"/>
      <c r="NVG742" s="124"/>
      <c r="NVH742" s="124"/>
      <c r="NVI742" s="124"/>
      <c r="NVJ742" s="124"/>
      <c r="NVK742" s="124"/>
      <c r="NVL742" s="124"/>
      <c r="NVM742" s="124"/>
      <c r="NVN742" s="124"/>
      <c r="NVO742" s="124"/>
      <c r="NVP742" s="124"/>
      <c r="NVQ742" s="124"/>
      <c r="NVR742" s="124"/>
      <c r="NVS742" s="124"/>
      <c r="NVT742" s="124"/>
      <c r="NVU742" s="124"/>
      <c r="NVV742" s="124"/>
      <c r="NVW742" s="124"/>
      <c r="NVX742" s="124"/>
      <c r="NVY742" s="124"/>
      <c r="NVZ742" s="124"/>
      <c r="NWA742" s="124"/>
      <c r="NWB742" s="124"/>
      <c r="NWC742" s="124"/>
      <c r="NWD742" s="124"/>
      <c r="NWE742" s="124"/>
      <c r="NWF742" s="124"/>
      <c r="NWG742" s="124"/>
      <c r="NWH742" s="124"/>
      <c r="NWI742" s="124"/>
      <c r="NWJ742" s="124"/>
      <c r="NWK742" s="124"/>
      <c r="NWL742" s="124"/>
      <c r="NWM742" s="124"/>
      <c r="NWN742" s="124"/>
      <c r="NWO742" s="124"/>
      <c r="NWP742" s="124"/>
      <c r="NWQ742" s="124"/>
      <c r="NWR742" s="124"/>
      <c r="NWS742" s="124"/>
      <c r="NWT742" s="124"/>
      <c r="NWU742" s="124"/>
      <c r="NWV742" s="124"/>
      <c r="NWW742" s="124"/>
      <c r="NWX742" s="124"/>
      <c r="NWY742" s="124"/>
      <c r="NWZ742" s="124"/>
      <c r="NXA742" s="124"/>
      <c r="NXB742" s="124"/>
      <c r="NXC742" s="124"/>
      <c r="NXD742" s="124"/>
      <c r="NXE742" s="124"/>
      <c r="NXF742" s="124"/>
      <c r="NXG742" s="124"/>
      <c r="NXH742" s="124"/>
      <c r="NXI742" s="124"/>
      <c r="NXJ742" s="124"/>
      <c r="NXK742" s="124"/>
      <c r="NXL742" s="124"/>
      <c r="NXM742" s="124"/>
      <c r="NXN742" s="124"/>
      <c r="NXO742" s="124"/>
      <c r="NXP742" s="124"/>
      <c r="NXQ742" s="124"/>
      <c r="NXR742" s="124"/>
      <c r="NXS742" s="124"/>
      <c r="NXT742" s="124"/>
      <c r="NXU742" s="124"/>
      <c r="NXV742" s="124"/>
      <c r="NXW742" s="124"/>
      <c r="NXX742" s="124"/>
      <c r="NXY742" s="124"/>
      <c r="NXZ742" s="124"/>
      <c r="NYA742" s="124"/>
      <c r="NYB742" s="124"/>
      <c r="NYC742" s="124"/>
      <c r="NYD742" s="124"/>
      <c r="NYE742" s="124"/>
      <c r="NYF742" s="124"/>
      <c r="NYG742" s="124"/>
      <c r="NYH742" s="124"/>
      <c r="NYI742" s="124"/>
      <c r="NYJ742" s="124"/>
      <c r="NYK742" s="124"/>
      <c r="NYL742" s="124"/>
      <c r="NYM742" s="124"/>
      <c r="NYN742" s="124"/>
      <c r="NYO742" s="124"/>
      <c r="NYP742" s="124"/>
      <c r="NYQ742" s="124"/>
      <c r="NYR742" s="124"/>
      <c r="NYS742" s="124"/>
      <c r="NYT742" s="124"/>
      <c r="NYU742" s="124"/>
      <c r="NYV742" s="124"/>
      <c r="NYW742" s="124"/>
      <c r="NYX742" s="124"/>
      <c r="NYY742" s="124"/>
      <c r="NYZ742" s="124"/>
      <c r="NZA742" s="124"/>
      <c r="NZB742" s="124"/>
      <c r="NZC742" s="124"/>
      <c r="NZD742" s="124"/>
      <c r="NZE742" s="124"/>
      <c r="NZF742" s="124"/>
      <c r="NZG742" s="124"/>
      <c r="NZH742" s="124"/>
      <c r="NZI742" s="124"/>
      <c r="NZJ742" s="124"/>
      <c r="NZK742" s="124"/>
      <c r="NZL742" s="124"/>
      <c r="NZM742" s="124"/>
      <c r="NZN742" s="124"/>
      <c r="NZO742" s="124"/>
      <c r="NZP742" s="124"/>
      <c r="NZQ742" s="124"/>
      <c r="NZR742" s="124"/>
      <c r="NZS742" s="124"/>
      <c r="NZT742" s="124"/>
      <c r="NZU742" s="124"/>
      <c r="NZV742" s="124"/>
      <c r="NZW742" s="124"/>
      <c r="NZX742" s="124"/>
      <c r="NZY742" s="124"/>
      <c r="NZZ742" s="124"/>
      <c r="OAA742" s="124"/>
      <c r="OAB742" s="124"/>
      <c r="OAC742" s="124"/>
      <c r="OAD742" s="124"/>
      <c r="OAE742" s="124"/>
      <c r="OAF742" s="124"/>
      <c r="OAG742" s="124"/>
      <c r="OAH742" s="124"/>
      <c r="OAI742" s="124"/>
      <c r="OAJ742" s="124"/>
      <c r="OAK742" s="124"/>
      <c r="OAL742" s="124"/>
      <c r="OAM742" s="124"/>
      <c r="OAN742" s="124"/>
      <c r="OAO742" s="124"/>
      <c r="OAP742" s="124"/>
      <c r="OAQ742" s="124"/>
      <c r="OAR742" s="124"/>
      <c r="OAS742" s="124"/>
      <c r="OAT742" s="124"/>
      <c r="OAU742" s="124"/>
      <c r="OAV742" s="124"/>
      <c r="OAW742" s="124"/>
      <c r="OAX742" s="124"/>
      <c r="OAY742" s="124"/>
      <c r="OAZ742" s="124"/>
      <c r="OBA742" s="124"/>
      <c r="OBB742" s="124"/>
      <c r="OBC742" s="124"/>
      <c r="OBD742" s="124"/>
      <c r="OBE742" s="124"/>
      <c r="OBF742" s="124"/>
      <c r="OBG742" s="124"/>
      <c r="OBH742" s="124"/>
      <c r="OBI742" s="124"/>
      <c r="OBJ742" s="124"/>
      <c r="OBK742" s="124"/>
      <c r="OBL742" s="124"/>
      <c r="OBM742" s="124"/>
      <c r="OBN742" s="124"/>
      <c r="OBO742" s="124"/>
      <c r="OBP742" s="124"/>
      <c r="OBQ742" s="124"/>
      <c r="OBR742" s="124"/>
      <c r="OBS742" s="124"/>
      <c r="OBT742" s="124"/>
      <c r="OBU742" s="124"/>
      <c r="OBV742" s="124"/>
      <c r="OBW742" s="124"/>
      <c r="OBX742" s="124"/>
      <c r="OBY742" s="124"/>
      <c r="OBZ742" s="124"/>
      <c r="OCA742" s="124"/>
      <c r="OCB742" s="124"/>
      <c r="OCC742" s="124"/>
      <c r="OCD742" s="124"/>
      <c r="OCE742" s="124"/>
      <c r="OCF742" s="124"/>
      <c r="OCG742" s="124"/>
      <c r="OCH742" s="124"/>
      <c r="OCI742" s="124"/>
      <c r="OCJ742" s="124"/>
      <c r="OCK742" s="124"/>
      <c r="OCL742" s="124"/>
      <c r="OCM742" s="124"/>
      <c r="OCN742" s="124"/>
      <c r="OCO742" s="124"/>
      <c r="OCP742" s="124"/>
      <c r="OCQ742" s="124"/>
      <c r="OCR742" s="124"/>
      <c r="OCS742" s="124"/>
      <c r="OCT742" s="124"/>
      <c r="OCU742" s="124"/>
      <c r="OCV742" s="124"/>
      <c r="OCW742" s="124"/>
      <c r="OCX742" s="124"/>
      <c r="OCY742" s="124"/>
      <c r="OCZ742" s="124"/>
      <c r="ODA742" s="124"/>
      <c r="ODB742" s="124"/>
      <c r="ODC742" s="124"/>
      <c r="ODD742" s="124"/>
      <c r="ODE742" s="124"/>
      <c r="ODF742" s="124"/>
      <c r="ODG742" s="124"/>
      <c r="ODH742" s="124"/>
      <c r="ODI742" s="124"/>
      <c r="ODJ742" s="124"/>
      <c r="ODK742" s="124"/>
      <c r="ODL742" s="124"/>
      <c r="ODM742" s="124"/>
      <c r="ODN742" s="124"/>
      <c r="ODO742" s="124"/>
      <c r="ODP742" s="124"/>
      <c r="ODQ742" s="124"/>
      <c r="ODR742" s="124"/>
      <c r="ODS742" s="124"/>
      <c r="ODT742" s="124"/>
      <c r="ODU742" s="124"/>
      <c r="ODV742" s="124"/>
      <c r="ODW742" s="124"/>
      <c r="ODX742" s="124"/>
      <c r="ODY742" s="124"/>
      <c r="ODZ742" s="124"/>
      <c r="OEA742" s="124"/>
      <c r="OEB742" s="124"/>
      <c r="OEC742" s="124"/>
      <c r="OED742" s="124"/>
      <c r="OEE742" s="124"/>
      <c r="OEF742" s="124"/>
      <c r="OEG742" s="124"/>
      <c r="OEH742" s="124"/>
      <c r="OEI742" s="124"/>
      <c r="OEJ742" s="124"/>
      <c r="OEK742" s="124"/>
      <c r="OEL742" s="124"/>
      <c r="OEM742" s="124"/>
      <c r="OEN742" s="124"/>
      <c r="OEO742" s="124"/>
      <c r="OEP742" s="124"/>
      <c r="OEQ742" s="124"/>
      <c r="OER742" s="124"/>
      <c r="OES742" s="124"/>
      <c r="OET742" s="124"/>
      <c r="OEU742" s="124"/>
      <c r="OEV742" s="124"/>
      <c r="OEW742" s="124"/>
      <c r="OEX742" s="124"/>
      <c r="OEY742" s="124"/>
      <c r="OEZ742" s="124"/>
      <c r="OFA742" s="124"/>
      <c r="OFB742" s="124"/>
      <c r="OFC742" s="124"/>
      <c r="OFD742" s="124"/>
      <c r="OFE742" s="124"/>
      <c r="OFF742" s="124"/>
      <c r="OFG742" s="124"/>
      <c r="OFH742" s="124"/>
      <c r="OFI742" s="124"/>
      <c r="OFJ742" s="124"/>
      <c r="OFK742" s="124"/>
      <c r="OFL742" s="124"/>
      <c r="OFM742" s="124"/>
      <c r="OFN742" s="124"/>
      <c r="OFO742" s="124"/>
      <c r="OFP742" s="124"/>
      <c r="OFQ742" s="124"/>
      <c r="OFR742" s="124"/>
      <c r="OFS742" s="124"/>
      <c r="OFT742" s="124"/>
      <c r="OFU742" s="124"/>
      <c r="OFV742" s="124"/>
      <c r="OFW742" s="124"/>
      <c r="OFX742" s="124"/>
      <c r="OFY742" s="124"/>
      <c r="OFZ742" s="124"/>
      <c r="OGA742" s="124"/>
      <c r="OGB742" s="124"/>
      <c r="OGC742" s="124"/>
      <c r="OGD742" s="124"/>
      <c r="OGE742" s="124"/>
      <c r="OGF742" s="124"/>
      <c r="OGG742" s="124"/>
      <c r="OGH742" s="124"/>
      <c r="OGI742" s="124"/>
      <c r="OGJ742" s="124"/>
      <c r="OGK742" s="124"/>
      <c r="OGL742" s="124"/>
      <c r="OGM742" s="124"/>
      <c r="OGN742" s="124"/>
      <c r="OGO742" s="124"/>
      <c r="OGP742" s="124"/>
      <c r="OGQ742" s="124"/>
      <c r="OGR742" s="124"/>
      <c r="OGS742" s="124"/>
      <c r="OGT742" s="124"/>
      <c r="OGU742" s="124"/>
      <c r="OGV742" s="124"/>
      <c r="OGW742" s="124"/>
      <c r="OGX742" s="124"/>
      <c r="OGY742" s="124"/>
      <c r="OGZ742" s="124"/>
      <c r="OHA742" s="124"/>
      <c r="OHB742" s="124"/>
      <c r="OHC742" s="124"/>
      <c r="OHD742" s="124"/>
      <c r="OHE742" s="124"/>
      <c r="OHF742" s="124"/>
      <c r="OHG742" s="124"/>
      <c r="OHH742" s="124"/>
      <c r="OHI742" s="124"/>
      <c r="OHJ742" s="124"/>
      <c r="OHK742" s="124"/>
      <c r="OHL742" s="124"/>
      <c r="OHM742" s="124"/>
      <c r="OHN742" s="124"/>
      <c r="OHO742" s="124"/>
      <c r="OHP742" s="124"/>
      <c r="OHQ742" s="124"/>
      <c r="OHR742" s="124"/>
      <c r="OHS742" s="124"/>
      <c r="OHT742" s="124"/>
      <c r="OHU742" s="124"/>
      <c r="OHV742" s="124"/>
      <c r="OHW742" s="124"/>
      <c r="OHX742" s="124"/>
      <c r="OHY742" s="124"/>
      <c r="OHZ742" s="124"/>
      <c r="OIA742" s="124"/>
      <c r="OIB742" s="124"/>
      <c r="OIC742" s="124"/>
      <c r="OID742" s="124"/>
      <c r="OIE742" s="124"/>
      <c r="OIF742" s="124"/>
      <c r="OIG742" s="124"/>
      <c r="OIH742" s="124"/>
      <c r="OII742" s="124"/>
      <c r="OIJ742" s="124"/>
      <c r="OIK742" s="124"/>
      <c r="OIL742" s="124"/>
      <c r="OIM742" s="124"/>
      <c r="OIN742" s="124"/>
      <c r="OIO742" s="124"/>
      <c r="OIP742" s="124"/>
      <c r="OIQ742" s="124"/>
      <c r="OIR742" s="124"/>
      <c r="OIS742" s="124"/>
      <c r="OIT742" s="124"/>
      <c r="OIU742" s="124"/>
      <c r="OIV742" s="124"/>
      <c r="OIW742" s="124"/>
      <c r="OIX742" s="124"/>
      <c r="OIY742" s="124"/>
      <c r="OIZ742" s="124"/>
      <c r="OJA742" s="124"/>
      <c r="OJB742" s="124"/>
      <c r="OJC742" s="124"/>
      <c r="OJD742" s="124"/>
      <c r="OJE742" s="124"/>
      <c r="OJF742" s="124"/>
      <c r="OJG742" s="124"/>
      <c r="OJH742" s="124"/>
      <c r="OJI742" s="124"/>
      <c r="OJJ742" s="124"/>
      <c r="OJK742" s="124"/>
      <c r="OJL742" s="124"/>
      <c r="OJM742" s="124"/>
      <c r="OJN742" s="124"/>
      <c r="OJO742" s="124"/>
      <c r="OJP742" s="124"/>
      <c r="OJQ742" s="124"/>
      <c r="OJR742" s="124"/>
      <c r="OJS742" s="124"/>
      <c r="OJT742" s="124"/>
      <c r="OJU742" s="124"/>
      <c r="OJV742" s="124"/>
      <c r="OJW742" s="124"/>
      <c r="OJX742" s="124"/>
      <c r="OJY742" s="124"/>
      <c r="OJZ742" s="124"/>
      <c r="OKA742" s="124"/>
      <c r="OKB742" s="124"/>
      <c r="OKC742" s="124"/>
      <c r="OKD742" s="124"/>
      <c r="OKE742" s="124"/>
      <c r="OKF742" s="124"/>
      <c r="OKG742" s="124"/>
      <c r="OKH742" s="124"/>
      <c r="OKI742" s="124"/>
      <c r="OKJ742" s="124"/>
      <c r="OKK742" s="124"/>
      <c r="OKL742" s="124"/>
      <c r="OKM742" s="124"/>
      <c r="OKN742" s="124"/>
      <c r="OKO742" s="124"/>
      <c r="OKP742" s="124"/>
      <c r="OKQ742" s="124"/>
      <c r="OKR742" s="124"/>
      <c r="OKS742" s="124"/>
      <c r="OKT742" s="124"/>
      <c r="OKU742" s="124"/>
      <c r="OKV742" s="124"/>
      <c r="OKW742" s="124"/>
      <c r="OKX742" s="124"/>
      <c r="OKY742" s="124"/>
      <c r="OKZ742" s="124"/>
      <c r="OLA742" s="124"/>
      <c r="OLB742" s="124"/>
      <c r="OLC742" s="124"/>
      <c r="OLD742" s="124"/>
      <c r="OLE742" s="124"/>
      <c r="OLF742" s="124"/>
      <c r="OLG742" s="124"/>
      <c r="OLH742" s="124"/>
      <c r="OLI742" s="124"/>
      <c r="OLJ742" s="124"/>
      <c r="OLK742" s="124"/>
      <c r="OLL742" s="124"/>
      <c r="OLM742" s="124"/>
      <c r="OLN742" s="124"/>
      <c r="OLO742" s="124"/>
      <c r="OLP742" s="124"/>
      <c r="OLQ742" s="124"/>
      <c r="OLR742" s="124"/>
      <c r="OLS742" s="124"/>
      <c r="OLT742" s="124"/>
      <c r="OLU742" s="124"/>
      <c r="OLV742" s="124"/>
      <c r="OLW742" s="124"/>
      <c r="OLX742" s="124"/>
      <c r="OLY742" s="124"/>
      <c r="OLZ742" s="124"/>
      <c r="OMA742" s="124"/>
      <c r="OMB742" s="124"/>
      <c r="OMC742" s="124"/>
      <c r="OMD742" s="124"/>
      <c r="OME742" s="124"/>
      <c r="OMF742" s="124"/>
      <c r="OMG742" s="124"/>
      <c r="OMH742" s="124"/>
      <c r="OMI742" s="124"/>
      <c r="OMJ742" s="124"/>
      <c r="OMK742" s="124"/>
      <c r="OML742" s="124"/>
      <c r="OMM742" s="124"/>
      <c r="OMN742" s="124"/>
      <c r="OMO742" s="124"/>
      <c r="OMP742" s="124"/>
      <c r="OMQ742" s="124"/>
      <c r="OMR742" s="124"/>
      <c r="OMS742" s="124"/>
      <c r="OMT742" s="124"/>
      <c r="OMU742" s="124"/>
      <c r="OMV742" s="124"/>
      <c r="OMW742" s="124"/>
      <c r="OMX742" s="124"/>
      <c r="OMY742" s="124"/>
      <c r="OMZ742" s="124"/>
      <c r="ONA742" s="124"/>
      <c r="ONB742" s="124"/>
      <c r="ONC742" s="124"/>
      <c r="OND742" s="124"/>
      <c r="ONE742" s="124"/>
      <c r="ONF742" s="124"/>
      <c r="ONG742" s="124"/>
      <c r="ONH742" s="124"/>
      <c r="ONI742" s="124"/>
      <c r="ONJ742" s="124"/>
      <c r="ONK742" s="124"/>
      <c r="ONL742" s="124"/>
      <c r="ONM742" s="124"/>
      <c r="ONN742" s="124"/>
      <c r="ONO742" s="124"/>
      <c r="ONP742" s="124"/>
      <c r="ONQ742" s="124"/>
      <c r="ONR742" s="124"/>
      <c r="ONS742" s="124"/>
      <c r="ONT742" s="124"/>
      <c r="ONU742" s="124"/>
      <c r="ONV742" s="124"/>
      <c r="ONW742" s="124"/>
      <c r="ONX742" s="124"/>
      <c r="ONY742" s="124"/>
      <c r="ONZ742" s="124"/>
      <c r="OOA742" s="124"/>
      <c r="OOB742" s="124"/>
      <c r="OOC742" s="124"/>
      <c r="OOD742" s="124"/>
      <c r="OOE742" s="124"/>
      <c r="OOF742" s="124"/>
      <c r="OOG742" s="124"/>
      <c r="OOH742" s="124"/>
      <c r="OOI742" s="124"/>
      <c r="OOJ742" s="124"/>
      <c r="OOK742" s="124"/>
      <c r="OOL742" s="124"/>
      <c r="OOM742" s="124"/>
      <c r="OON742" s="124"/>
      <c r="OOO742" s="124"/>
      <c r="OOP742" s="124"/>
      <c r="OOQ742" s="124"/>
      <c r="OOR742" s="124"/>
      <c r="OOS742" s="124"/>
      <c r="OOT742" s="124"/>
      <c r="OOU742" s="124"/>
      <c r="OOV742" s="124"/>
      <c r="OOW742" s="124"/>
      <c r="OOX742" s="124"/>
      <c r="OOY742" s="124"/>
      <c r="OOZ742" s="124"/>
      <c r="OPA742" s="124"/>
      <c r="OPB742" s="124"/>
      <c r="OPC742" s="124"/>
      <c r="OPD742" s="124"/>
      <c r="OPE742" s="124"/>
      <c r="OPF742" s="124"/>
      <c r="OPG742" s="124"/>
      <c r="OPH742" s="124"/>
      <c r="OPI742" s="124"/>
      <c r="OPJ742" s="124"/>
      <c r="OPK742" s="124"/>
      <c r="OPL742" s="124"/>
      <c r="OPM742" s="124"/>
      <c r="OPN742" s="124"/>
      <c r="OPO742" s="124"/>
      <c r="OPP742" s="124"/>
      <c r="OPQ742" s="124"/>
      <c r="OPR742" s="124"/>
      <c r="OPS742" s="124"/>
      <c r="OPT742" s="124"/>
      <c r="OPU742" s="124"/>
      <c r="OPV742" s="124"/>
      <c r="OPW742" s="124"/>
      <c r="OPX742" s="124"/>
      <c r="OPY742" s="124"/>
      <c r="OPZ742" s="124"/>
      <c r="OQA742" s="124"/>
      <c r="OQB742" s="124"/>
      <c r="OQC742" s="124"/>
      <c r="OQD742" s="124"/>
      <c r="OQE742" s="124"/>
      <c r="OQF742" s="124"/>
      <c r="OQG742" s="124"/>
      <c r="OQH742" s="124"/>
      <c r="OQI742" s="124"/>
      <c r="OQJ742" s="124"/>
      <c r="OQK742" s="124"/>
      <c r="OQL742" s="124"/>
      <c r="OQM742" s="124"/>
      <c r="OQN742" s="124"/>
      <c r="OQO742" s="124"/>
      <c r="OQP742" s="124"/>
      <c r="OQQ742" s="124"/>
      <c r="OQR742" s="124"/>
      <c r="OQS742" s="124"/>
      <c r="OQT742" s="124"/>
      <c r="OQU742" s="124"/>
      <c r="OQV742" s="124"/>
      <c r="OQW742" s="124"/>
      <c r="OQX742" s="124"/>
      <c r="OQY742" s="124"/>
      <c r="OQZ742" s="124"/>
      <c r="ORA742" s="124"/>
      <c r="ORB742" s="124"/>
      <c r="ORC742" s="124"/>
      <c r="ORD742" s="124"/>
      <c r="ORE742" s="124"/>
      <c r="ORF742" s="124"/>
      <c r="ORG742" s="124"/>
      <c r="ORH742" s="124"/>
      <c r="ORI742" s="124"/>
      <c r="ORJ742" s="124"/>
      <c r="ORK742" s="124"/>
      <c r="ORL742" s="124"/>
      <c r="ORM742" s="124"/>
      <c r="ORN742" s="124"/>
      <c r="ORO742" s="124"/>
      <c r="ORP742" s="124"/>
      <c r="ORQ742" s="124"/>
      <c r="ORR742" s="124"/>
      <c r="ORS742" s="124"/>
      <c r="ORT742" s="124"/>
      <c r="ORU742" s="124"/>
      <c r="ORV742" s="124"/>
      <c r="ORW742" s="124"/>
      <c r="ORX742" s="124"/>
      <c r="ORY742" s="124"/>
      <c r="ORZ742" s="124"/>
      <c r="OSA742" s="124"/>
      <c r="OSB742" s="124"/>
      <c r="OSC742" s="124"/>
      <c r="OSD742" s="124"/>
      <c r="OSE742" s="124"/>
      <c r="OSF742" s="124"/>
      <c r="OSG742" s="124"/>
      <c r="OSH742" s="124"/>
      <c r="OSI742" s="124"/>
      <c r="OSJ742" s="124"/>
      <c r="OSK742" s="124"/>
      <c r="OSL742" s="124"/>
      <c r="OSM742" s="124"/>
      <c r="OSN742" s="124"/>
      <c r="OSO742" s="124"/>
      <c r="OSP742" s="124"/>
      <c r="OSQ742" s="124"/>
      <c r="OSR742" s="124"/>
      <c r="OSS742" s="124"/>
      <c r="OST742" s="124"/>
      <c r="OSU742" s="124"/>
      <c r="OSV742" s="124"/>
      <c r="OSW742" s="124"/>
      <c r="OSX742" s="124"/>
      <c r="OSY742" s="124"/>
      <c r="OSZ742" s="124"/>
      <c r="OTA742" s="124"/>
      <c r="OTB742" s="124"/>
      <c r="OTC742" s="124"/>
      <c r="OTD742" s="124"/>
      <c r="OTE742" s="124"/>
      <c r="OTF742" s="124"/>
      <c r="OTG742" s="124"/>
      <c r="OTH742" s="124"/>
      <c r="OTI742" s="124"/>
      <c r="OTJ742" s="124"/>
      <c r="OTK742" s="124"/>
      <c r="OTL742" s="124"/>
      <c r="OTM742" s="124"/>
      <c r="OTN742" s="124"/>
      <c r="OTO742" s="124"/>
      <c r="OTP742" s="124"/>
      <c r="OTQ742" s="124"/>
      <c r="OTR742" s="124"/>
      <c r="OTS742" s="124"/>
      <c r="OTT742" s="124"/>
      <c r="OTU742" s="124"/>
      <c r="OTV742" s="124"/>
      <c r="OTW742" s="124"/>
      <c r="OTX742" s="124"/>
      <c r="OTY742" s="124"/>
      <c r="OTZ742" s="124"/>
      <c r="OUA742" s="124"/>
      <c r="OUB742" s="124"/>
      <c r="OUC742" s="124"/>
      <c r="OUD742" s="124"/>
      <c r="OUE742" s="124"/>
      <c r="OUF742" s="124"/>
      <c r="OUG742" s="124"/>
      <c r="OUH742" s="124"/>
      <c r="OUI742" s="124"/>
      <c r="OUJ742" s="124"/>
      <c r="OUK742" s="124"/>
      <c r="OUL742" s="124"/>
      <c r="OUM742" s="124"/>
      <c r="OUN742" s="124"/>
      <c r="OUO742" s="124"/>
      <c r="OUP742" s="124"/>
      <c r="OUQ742" s="124"/>
      <c r="OUR742" s="124"/>
      <c r="OUS742" s="124"/>
      <c r="OUT742" s="124"/>
      <c r="OUU742" s="124"/>
      <c r="OUV742" s="124"/>
      <c r="OUW742" s="124"/>
      <c r="OUX742" s="124"/>
      <c r="OUY742" s="124"/>
      <c r="OUZ742" s="124"/>
      <c r="OVA742" s="124"/>
      <c r="OVB742" s="124"/>
      <c r="OVC742" s="124"/>
      <c r="OVD742" s="124"/>
      <c r="OVE742" s="124"/>
      <c r="OVF742" s="124"/>
      <c r="OVG742" s="124"/>
      <c r="OVH742" s="124"/>
      <c r="OVI742" s="124"/>
      <c r="OVJ742" s="124"/>
      <c r="OVK742" s="124"/>
      <c r="OVL742" s="124"/>
      <c r="OVM742" s="124"/>
      <c r="OVN742" s="124"/>
      <c r="OVO742" s="124"/>
      <c r="OVP742" s="124"/>
      <c r="OVQ742" s="124"/>
      <c r="OVR742" s="124"/>
      <c r="OVS742" s="124"/>
      <c r="OVT742" s="124"/>
      <c r="OVU742" s="124"/>
      <c r="OVV742" s="124"/>
      <c r="OVW742" s="124"/>
      <c r="OVX742" s="124"/>
      <c r="OVY742" s="124"/>
      <c r="OVZ742" s="124"/>
      <c r="OWA742" s="124"/>
      <c r="OWB742" s="124"/>
      <c r="OWC742" s="124"/>
      <c r="OWD742" s="124"/>
      <c r="OWE742" s="124"/>
      <c r="OWF742" s="124"/>
      <c r="OWG742" s="124"/>
      <c r="OWH742" s="124"/>
      <c r="OWI742" s="124"/>
      <c r="OWJ742" s="124"/>
      <c r="OWK742" s="124"/>
      <c r="OWL742" s="124"/>
      <c r="OWM742" s="124"/>
      <c r="OWN742" s="124"/>
      <c r="OWO742" s="124"/>
      <c r="OWP742" s="124"/>
      <c r="OWQ742" s="124"/>
      <c r="OWR742" s="124"/>
      <c r="OWS742" s="124"/>
      <c r="OWT742" s="124"/>
      <c r="OWU742" s="124"/>
      <c r="OWV742" s="124"/>
      <c r="OWW742" s="124"/>
      <c r="OWX742" s="124"/>
      <c r="OWY742" s="124"/>
      <c r="OWZ742" s="124"/>
      <c r="OXA742" s="124"/>
      <c r="OXB742" s="124"/>
      <c r="OXC742" s="124"/>
      <c r="OXD742" s="124"/>
      <c r="OXE742" s="124"/>
      <c r="OXF742" s="124"/>
      <c r="OXG742" s="124"/>
      <c r="OXH742" s="124"/>
      <c r="OXI742" s="124"/>
      <c r="OXJ742" s="124"/>
      <c r="OXK742" s="124"/>
      <c r="OXL742" s="124"/>
      <c r="OXM742" s="124"/>
      <c r="OXN742" s="124"/>
      <c r="OXO742" s="124"/>
      <c r="OXP742" s="124"/>
      <c r="OXQ742" s="124"/>
      <c r="OXR742" s="124"/>
      <c r="OXS742" s="124"/>
      <c r="OXT742" s="124"/>
      <c r="OXU742" s="124"/>
      <c r="OXV742" s="124"/>
      <c r="OXW742" s="124"/>
      <c r="OXX742" s="124"/>
      <c r="OXY742" s="124"/>
      <c r="OXZ742" s="124"/>
      <c r="OYA742" s="124"/>
      <c r="OYB742" s="124"/>
      <c r="OYC742" s="124"/>
      <c r="OYD742" s="124"/>
      <c r="OYE742" s="124"/>
      <c r="OYF742" s="124"/>
      <c r="OYG742" s="124"/>
      <c r="OYH742" s="124"/>
      <c r="OYI742" s="124"/>
      <c r="OYJ742" s="124"/>
      <c r="OYK742" s="124"/>
      <c r="OYL742" s="124"/>
      <c r="OYM742" s="124"/>
      <c r="OYN742" s="124"/>
      <c r="OYO742" s="124"/>
      <c r="OYP742" s="124"/>
      <c r="OYQ742" s="124"/>
      <c r="OYR742" s="124"/>
      <c r="OYS742" s="124"/>
      <c r="OYT742" s="124"/>
      <c r="OYU742" s="124"/>
      <c r="OYV742" s="124"/>
      <c r="OYW742" s="124"/>
      <c r="OYX742" s="124"/>
      <c r="OYY742" s="124"/>
      <c r="OYZ742" s="124"/>
      <c r="OZA742" s="124"/>
      <c r="OZB742" s="124"/>
      <c r="OZC742" s="124"/>
      <c r="OZD742" s="124"/>
      <c r="OZE742" s="124"/>
      <c r="OZF742" s="124"/>
      <c r="OZG742" s="124"/>
      <c r="OZH742" s="124"/>
      <c r="OZI742" s="124"/>
      <c r="OZJ742" s="124"/>
      <c r="OZK742" s="124"/>
      <c r="OZL742" s="124"/>
      <c r="OZM742" s="124"/>
      <c r="OZN742" s="124"/>
      <c r="OZO742" s="124"/>
      <c r="OZP742" s="124"/>
      <c r="OZQ742" s="124"/>
      <c r="OZR742" s="124"/>
      <c r="OZS742" s="124"/>
      <c r="OZT742" s="124"/>
      <c r="OZU742" s="124"/>
      <c r="OZV742" s="124"/>
      <c r="OZW742" s="124"/>
      <c r="OZX742" s="124"/>
      <c r="OZY742" s="124"/>
      <c r="OZZ742" s="124"/>
      <c r="PAA742" s="124"/>
      <c r="PAB742" s="124"/>
      <c r="PAC742" s="124"/>
      <c r="PAD742" s="124"/>
      <c r="PAE742" s="124"/>
      <c r="PAF742" s="124"/>
      <c r="PAG742" s="124"/>
      <c r="PAH742" s="124"/>
      <c r="PAI742" s="124"/>
      <c r="PAJ742" s="124"/>
      <c r="PAK742" s="124"/>
      <c r="PAL742" s="124"/>
      <c r="PAM742" s="124"/>
      <c r="PAN742" s="124"/>
      <c r="PAO742" s="124"/>
      <c r="PAP742" s="124"/>
      <c r="PAQ742" s="124"/>
      <c r="PAR742" s="124"/>
      <c r="PAS742" s="124"/>
      <c r="PAT742" s="124"/>
      <c r="PAU742" s="124"/>
      <c r="PAV742" s="124"/>
      <c r="PAW742" s="124"/>
      <c r="PAX742" s="124"/>
      <c r="PAY742" s="124"/>
      <c r="PAZ742" s="124"/>
      <c r="PBA742" s="124"/>
      <c r="PBB742" s="124"/>
      <c r="PBC742" s="124"/>
      <c r="PBD742" s="124"/>
      <c r="PBE742" s="124"/>
      <c r="PBF742" s="124"/>
      <c r="PBG742" s="124"/>
      <c r="PBH742" s="124"/>
      <c r="PBI742" s="124"/>
      <c r="PBJ742" s="124"/>
      <c r="PBK742" s="124"/>
      <c r="PBL742" s="124"/>
      <c r="PBM742" s="124"/>
      <c r="PBN742" s="124"/>
      <c r="PBO742" s="124"/>
      <c r="PBP742" s="124"/>
      <c r="PBQ742" s="124"/>
      <c r="PBR742" s="124"/>
      <c r="PBS742" s="124"/>
      <c r="PBT742" s="124"/>
      <c r="PBU742" s="124"/>
      <c r="PBV742" s="124"/>
      <c r="PBW742" s="124"/>
      <c r="PBX742" s="124"/>
      <c r="PBY742" s="124"/>
      <c r="PBZ742" s="124"/>
      <c r="PCA742" s="124"/>
      <c r="PCB742" s="124"/>
      <c r="PCC742" s="124"/>
      <c r="PCD742" s="124"/>
      <c r="PCE742" s="124"/>
      <c r="PCF742" s="124"/>
      <c r="PCG742" s="124"/>
      <c r="PCH742" s="124"/>
      <c r="PCI742" s="124"/>
      <c r="PCJ742" s="124"/>
      <c r="PCK742" s="124"/>
      <c r="PCL742" s="124"/>
      <c r="PCM742" s="124"/>
      <c r="PCN742" s="124"/>
      <c r="PCO742" s="124"/>
      <c r="PCP742" s="124"/>
      <c r="PCQ742" s="124"/>
      <c r="PCR742" s="124"/>
      <c r="PCS742" s="124"/>
      <c r="PCT742" s="124"/>
      <c r="PCU742" s="124"/>
      <c r="PCV742" s="124"/>
      <c r="PCW742" s="124"/>
      <c r="PCX742" s="124"/>
      <c r="PCY742" s="124"/>
      <c r="PCZ742" s="124"/>
      <c r="PDA742" s="124"/>
      <c r="PDB742" s="124"/>
      <c r="PDC742" s="124"/>
      <c r="PDD742" s="124"/>
      <c r="PDE742" s="124"/>
      <c r="PDF742" s="124"/>
      <c r="PDG742" s="124"/>
      <c r="PDH742" s="124"/>
      <c r="PDI742" s="124"/>
      <c r="PDJ742" s="124"/>
      <c r="PDK742" s="124"/>
      <c r="PDL742" s="124"/>
      <c r="PDM742" s="124"/>
      <c r="PDN742" s="124"/>
      <c r="PDO742" s="124"/>
      <c r="PDP742" s="124"/>
      <c r="PDQ742" s="124"/>
      <c r="PDR742" s="124"/>
      <c r="PDS742" s="124"/>
      <c r="PDT742" s="124"/>
      <c r="PDU742" s="124"/>
      <c r="PDV742" s="124"/>
      <c r="PDW742" s="124"/>
      <c r="PDX742" s="124"/>
      <c r="PDY742" s="124"/>
      <c r="PDZ742" s="124"/>
      <c r="PEA742" s="124"/>
      <c r="PEB742" s="124"/>
      <c r="PEC742" s="124"/>
      <c r="PED742" s="124"/>
      <c r="PEE742" s="124"/>
      <c r="PEF742" s="124"/>
      <c r="PEG742" s="124"/>
      <c r="PEH742" s="124"/>
      <c r="PEI742" s="124"/>
      <c r="PEJ742" s="124"/>
      <c r="PEK742" s="124"/>
      <c r="PEL742" s="124"/>
      <c r="PEM742" s="124"/>
      <c r="PEN742" s="124"/>
      <c r="PEO742" s="124"/>
      <c r="PEP742" s="124"/>
      <c r="PEQ742" s="124"/>
      <c r="PER742" s="124"/>
      <c r="PES742" s="124"/>
      <c r="PET742" s="124"/>
      <c r="PEU742" s="124"/>
      <c r="PEV742" s="124"/>
      <c r="PEW742" s="124"/>
      <c r="PEX742" s="124"/>
      <c r="PEY742" s="124"/>
      <c r="PEZ742" s="124"/>
      <c r="PFA742" s="124"/>
      <c r="PFB742" s="124"/>
      <c r="PFC742" s="124"/>
      <c r="PFD742" s="124"/>
      <c r="PFE742" s="124"/>
      <c r="PFF742" s="124"/>
      <c r="PFG742" s="124"/>
      <c r="PFH742" s="124"/>
      <c r="PFI742" s="124"/>
      <c r="PFJ742" s="124"/>
      <c r="PFK742" s="124"/>
      <c r="PFL742" s="124"/>
      <c r="PFM742" s="124"/>
      <c r="PFN742" s="124"/>
      <c r="PFO742" s="124"/>
      <c r="PFP742" s="124"/>
      <c r="PFQ742" s="124"/>
      <c r="PFR742" s="124"/>
      <c r="PFS742" s="124"/>
      <c r="PFT742" s="124"/>
      <c r="PFU742" s="124"/>
      <c r="PFV742" s="124"/>
      <c r="PFW742" s="124"/>
      <c r="PFX742" s="124"/>
      <c r="PFY742" s="124"/>
      <c r="PFZ742" s="124"/>
      <c r="PGA742" s="124"/>
      <c r="PGB742" s="124"/>
      <c r="PGC742" s="124"/>
      <c r="PGD742" s="124"/>
      <c r="PGE742" s="124"/>
      <c r="PGF742" s="124"/>
      <c r="PGG742" s="124"/>
      <c r="PGH742" s="124"/>
      <c r="PGI742" s="124"/>
      <c r="PGJ742" s="124"/>
      <c r="PGK742" s="124"/>
      <c r="PGL742" s="124"/>
      <c r="PGM742" s="124"/>
      <c r="PGN742" s="124"/>
      <c r="PGO742" s="124"/>
      <c r="PGP742" s="124"/>
      <c r="PGQ742" s="124"/>
      <c r="PGR742" s="124"/>
      <c r="PGS742" s="124"/>
      <c r="PGT742" s="124"/>
      <c r="PGU742" s="124"/>
      <c r="PGV742" s="124"/>
      <c r="PGW742" s="124"/>
      <c r="PGX742" s="124"/>
      <c r="PGY742" s="124"/>
      <c r="PGZ742" s="124"/>
      <c r="PHA742" s="124"/>
      <c r="PHB742" s="124"/>
      <c r="PHC742" s="124"/>
      <c r="PHD742" s="124"/>
      <c r="PHE742" s="124"/>
      <c r="PHF742" s="124"/>
      <c r="PHG742" s="124"/>
      <c r="PHH742" s="124"/>
      <c r="PHI742" s="124"/>
      <c r="PHJ742" s="124"/>
      <c r="PHK742" s="124"/>
      <c r="PHL742" s="124"/>
      <c r="PHM742" s="124"/>
      <c r="PHN742" s="124"/>
      <c r="PHO742" s="124"/>
      <c r="PHP742" s="124"/>
      <c r="PHQ742" s="124"/>
      <c r="PHR742" s="124"/>
      <c r="PHS742" s="124"/>
      <c r="PHT742" s="124"/>
      <c r="PHU742" s="124"/>
      <c r="PHV742" s="124"/>
      <c r="PHW742" s="124"/>
      <c r="PHX742" s="124"/>
      <c r="PHY742" s="124"/>
      <c r="PHZ742" s="124"/>
      <c r="PIA742" s="124"/>
      <c r="PIB742" s="124"/>
      <c r="PIC742" s="124"/>
      <c r="PID742" s="124"/>
      <c r="PIE742" s="124"/>
      <c r="PIF742" s="124"/>
      <c r="PIG742" s="124"/>
      <c r="PIH742" s="124"/>
      <c r="PII742" s="124"/>
      <c r="PIJ742" s="124"/>
      <c r="PIK742" s="124"/>
      <c r="PIL742" s="124"/>
      <c r="PIM742" s="124"/>
      <c r="PIN742" s="124"/>
      <c r="PIO742" s="124"/>
      <c r="PIP742" s="124"/>
      <c r="PIQ742" s="124"/>
      <c r="PIR742" s="124"/>
      <c r="PIS742" s="124"/>
      <c r="PIT742" s="124"/>
      <c r="PIU742" s="124"/>
      <c r="PIV742" s="124"/>
      <c r="PIW742" s="124"/>
      <c r="PIX742" s="124"/>
      <c r="PIY742" s="124"/>
      <c r="PIZ742" s="124"/>
      <c r="PJA742" s="124"/>
      <c r="PJB742" s="124"/>
      <c r="PJC742" s="124"/>
      <c r="PJD742" s="124"/>
      <c r="PJE742" s="124"/>
      <c r="PJF742" s="124"/>
      <c r="PJG742" s="124"/>
      <c r="PJH742" s="124"/>
      <c r="PJI742" s="124"/>
      <c r="PJJ742" s="124"/>
      <c r="PJK742" s="124"/>
      <c r="PJL742" s="124"/>
      <c r="PJM742" s="124"/>
      <c r="PJN742" s="124"/>
      <c r="PJO742" s="124"/>
      <c r="PJP742" s="124"/>
      <c r="PJQ742" s="124"/>
      <c r="PJR742" s="124"/>
      <c r="PJS742" s="124"/>
      <c r="PJT742" s="124"/>
      <c r="PJU742" s="124"/>
      <c r="PJV742" s="124"/>
      <c r="PJW742" s="124"/>
      <c r="PJX742" s="124"/>
      <c r="PJY742" s="124"/>
      <c r="PJZ742" s="124"/>
      <c r="PKA742" s="124"/>
      <c r="PKB742" s="124"/>
      <c r="PKC742" s="124"/>
      <c r="PKD742" s="124"/>
      <c r="PKE742" s="124"/>
      <c r="PKF742" s="124"/>
      <c r="PKG742" s="124"/>
      <c r="PKH742" s="124"/>
      <c r="PKI742" s="124"/>
      <c r="PKJ742" s="124"/>
      <c r="PKK742" s="124"/>
      <c r="PKL742" s="124"/>
      <c r="PKM742" s="124"/>
      <c r="PKN742" s="124"/>
      <c r="PKO742" s="124"/>
      <c r="PKP742" s="124"/>
      <c r="PKQ742" s="124"/>
      <c r="PKR742" s="124"/>
      <c r="PKS742" s="124"/>
      <c r="PKT742" s="124"/>
      <c r="PKU742" s="124"/>
      <c r="PKV742" s="124"/>
      <c r="PKW742" s="124"/>
      <c r="PKX742" s="124"/>
      <c r="PKY742" s="124"/>
      <c r="PKZ742" s="124"/>
      <c r="PLA742" s="124"/>
      <c r="PLB742" s="124"/>
      <c r="PLC742" s="124"/>
      <c r="PLD742" s="124"/>
      <c r="PLE742" s="124"/>
      <c r="PLF742" s="124"/>
      <c r="PLG742" s="124"/>
      <c r="PLH742" s="124"/>
      <c r="PLI742" s="124"/>
      <c r="PLJ742" s="124"/>
      <c r="PLK742" s="124"/>
      <c r="PLL742" s="124"/>
      <c r="PLM742" s="124"/>
      <c r="PLN742" s="124"/>
      <c r="PLO742" s="124"/>
      <c r="PLP742" s="124"/>
      <c r="PLQ742" s="124"/>
      <c r="PLR742" s="124"/>
      <c r="PLS742" s="124"/>
      <c r="PLT742" s="124"/>
      <c r="PLU742" s="124"/>
      <c r="PLV742" s="124"/>
      <c r="PLW742" s="124"/>
      <c r="PLX742" s="124"/>
      <c r="PLY742" s="124"/>
      <c r="PLZ742" s="124"/>
      <c r="PMA742" s="124"/>
      <c r="PMB742" s="124"/>
      <c r="PMC742" s="124"/>
      <c r="PMD742" s="124"/>
      <c r="PME742" s="124"/>
      <c r="PMF742" s="124"/>
      <c r="PMG742" s="124"/>
      <c r="PMH742" s="124"/>
      <c r="PMI742" s="124"/>
      <c r="PMJ742" s="124"/>
      <c r="PMK742" s="124"/>
      <c r="PML742" s="124"/>
      <c r="PMM742" s="124"/>
      <c r="PMN742" s="124"/>
      <c r="PMO742" s="124"/>
      <c r="PMP742" s="124"/>
      <c r="PMQ742" s="124"/>
      <c r="PMR742" s="124"/>
      <c r="PMS742" s="124"/>
      <c r="PMT742" s="124"/>
      <c r="PMU742" s="124"/>
      <c r="PMV742" s="124"/>
      <c r="PMW742" s="124"/>
      <c r="PMX742" s="124"/>
      <c r="PMY742" s="124"/>
      <c r="PMZ742" s="124"/>
      <c r="PNA742" s="124"/>
      <c r="PNB742" s="124"/>
      <c r="PNC742" s="124"/>
      <c r="PND742" s="124"/>
      <c r="PNE742" s="124"/>
      <c r="PNF742" s="124"/>
      <c r="PNG742" s="124"/>
      <c r="PNH742" s="124"/>
      <c r="PNI742" s="124"/>
      <c r="PNJ742" s="124"/>
      <c r="PNK742" s="124"/>
      <c r="PNL742" s="124"/>
      <c r="PNM742" s="124"/>
      <c r="PNN742" s="124"/>
      <c r="PNO742" s="124"/>
      <c r="PNP742" s="124"/>
      <c r="PNQ742" s="124"/>
      <c r="PNR742" s="124"/>
      <c r="PNS742" s="124"/>
      <c r="PNT742" s="124"/>
      <c r="PNU742" s="124"/>
      <c r="PNV742" s="124"/>
      <c r="PNW742" s="124"/>
      <c r="PNX742" s="124"/>
      <c r="PNY742" s="124"/>
      <c r="PNZ742" s="124"/>
      <c r="POA742" s="124"/>
      <c r="POB742" s="124"/>
      <c r="POC742" s="124"/>
      <c r="POD742" s="124"/>
      <c r="POE742" s="124"/>
      <c r="POF742" s="124"/>
      <c r="POG742" s="124"/>
      <c r="POH742" s="124"/>
      <c r="POI742" s="124"/>
      <c r="POJ742" s="124"/>
      <c r="POK742" s="124"/>
      <c r="POL742" s="124"/>
      <c r="POM742" s="124"/>
      <c r="PON742" s="124"/>
      <c r="POO742" s="124"/>
      <c r="POP742" s="124"/>
      <c r="POQ742" s="124"/>
      <c r="POR742" s="124"/>
      <c r="POS742" s="124"/>
      <c r="POT742" s="124"/>
      <c r="POU742" s="124"/>
      <c r="POV742" s="124"/>
      <c r="POW742" s="124"/>
      <c r="POX742" s="124"/>
      <c r="POY742" s="124"/>
      <c r="POZ742" s="124"/>
      <c r="PPA742" s="124"/>
      <c r="PPB742" s="124"/>
      <c r="PPC742" s="124"/>
      <c r="PPD742" s="124"/>
      <c r="PPE742" s="124"/>
      <c r="PPF742" s="124"/>
      <c r="PPG742" s="124"/>
      <c r="PPH742" s="124"/>
      <c r="PPI742" s="124"/>
      <c r="PPJ742" s="124"/>
      <c r="PPK742" s="124"/>
      <c r="PPL742" s="124"/>
      <c r="PPM742" s="124"/>
      <c r="PPN742" s="124"/>
      <c r="PPO742" s="124"/>
      <c r="PPP742" s="124"/>
      <c r="PPQ742" s="124"/>
      <c r="PPR742" s="124"/>
      <c r="PPS742" s="124"/>
      <c r="PPT742" s="124"/>
      <c r="PPU742" s="124"/>
      <c r="PPV742" s="124"/>
      <c r="PPW742" s="124"/>
      <c r="PPX742" s="124"/>
      <c r="PPY742" s="124"/>
      <c r="PPZ742" s="124"/>
      <c r="PQA742" s="124"/>
      <c r="PQB742" s="124"/>
      <c r="PQC742" s="124"/>
      <c r="PQD742" s="124"/>
      <c r="PQE742" s="124"/>
      <c r="PQF742" s="124"/>
      <c r="PQG742" s="124"/>
      <c r="PQH742" s="124"/>
      <c r="PQI742" s="124"/>
      <c r="PQJ742" s="124"/>
      <c r="PQK742" s="124"/>
      <c r="PQL742" s="124"/>
      <c r="PQM742" s="124"/>
      <c r="PQN742" s="124"/>
      <c r="PQO742" s="124"/>
      <c r="PQP742" s="124"/>
      <c r="PQQ742" s="124"/>
      <c r="PQR742" s="124"/>
      <c r="PQS742" s="124"/>
      <c r="PQT742" s="124"/>
      <c r="PQU742" s="124"/>
      <c r="PQV742" s="124"/>
      <c r="PQW742" s="124"/>
      <c r="PQX742" s="124"/>
      <c r="PQY742" s="124"/>
      <c r="PQZ742" s="124"/>
      <c r="PRA742" s="124"/>
      <c r="PRB742" s="124"/>
      <c r="PRC742" s="124"/>
      <c r="PRD742" s="124"/>
      <c r="PRE742" s="124"/>
      <c r="PRF742" s="124"/>
      <c r="PRG742" s="124"/>
      <c r="PRH742" s="124"/>
      <c r="PRI742" s="124"/>
      <c r="PRJ742" s="124"/>
      <c r="PRK742" s="124"/>
      <c r="PRL742" s="124"/>
      <c r="PRM742" s="124"/>
      <c r="PRN742" s="124"/>
      <c r="PRO742" s="124"/>
      <c r="PRP742" s="124"/>
      <c r="PRQ742" s="124"/>
      <c r="PRR742" s="124"/>
      <c r="PRS742" s="124"/>
      <c r="PRT742" s="124"/>
      <c r="PRU742" s="124"/>
      <c r="PRV742" s="124"/>
      <c r="PRW742" s="124"/>
      <c r="PRX742" s="124"/>
      <c r="PRY742" s="124"/>
      <c r="PRZ742" s="124"/>
      <c r="PSA742" s="124"/>
      <c r="PSB742" s="124"/>
      <c r="PSC742" s="124"/>
      <c r="PSD742" s="124"/>
      <c r="PSE742" s="124"/>
      <c r="PSF742" s="124"/>
      <c r="PSG742" s="124"/>
      <c r="PSH742" s="124"/>
      <c r="PSI742" s="124"/>
      <c r="PSJ742" s="124"/>
      <c r="PSK742" s="124"/>
      <c r="PSL742" s="124"/>
      <c r="PSM742" s="124"/>
      <c r="PSN742" s="124"/>
      <c r="PSO742" s="124"/>
      <c r="PSP742" s="124"/>
      <c r="PSQ742" s="124"/>
      <c r="PSR742" s="124"/>
      <c r="PSS742" s="124"/>
      <c r="PST742" s="124"/>
      <c r="PSU742" s="124"/>
      <c r="PSV742" s="124"/>
      <c r="PSW742" s="124"/>
      <c r="PSX742" s="124"/>
      <c r="PSY742" s="124"/>
      <c r="PSZ742" s="124"/>
      <c r="PTA742" s="124"/>
      <c r="PTB742" s="124"/>
      <c r="PTC742" s="124"/>
      <c r="PTD742" s="124"/>
      <c r="PTE742" s="124"/>
      <c r="PTF742" s="124"/>
      <c r="PTG742" s="124"/>
      <c r="PTH742" s="124"/>
      <c r="PTI742" s="124"/>
      <c r="PTJ742" s="124"/>
      <c r="PTK742" s="124"/>
      <c r="PTL742" s="124"/>
      <c r="PTM742" s="124"/>
      <c r="PTN742" s="124"/>
      <c r="PTO742" s="124"/>
      <c r="PTP742" s="124"/>
      <c r="PTQ742" s="124"/>
      <c r="PTR742" s="124"/>
      <c r="PTS742" s="124"/>
      <c r="PTT742" s="124"/>
      <c r="PTU742" s="124"/>
      <c r="PTV742" s="124"/>
      <c r="PTW742" s="124"/>
      <c r="PTX742" s="124"/>
      <c r="PTY742" s="124"/>
      <c r="PTZ742" s="124"/>
      <c r="PUA742" s="124"/>
      <c r="PUB742" s="124"/>
      <c r="PUC742" s="124"/>
      <c r="PUD742" s="124"/>
      <c r="PUE742" s="124"/>
      <c r="PUF742" s="124"/>
      <c r="PUG742" s="124"/>
      <c r="PUH742" s="124"/>
      <c r="PUI742" s="124"/>
      <c r="PUJ742" s="124"/>
      <c r="PUK742" s="124"/>
      <c r="PUL742" s="124"/>
      <c r="PUM742" s="124"/>
      <c r="PUN742" s="124"/>
      <c r="PUO742" s="124"/>
      <c r="PUP742" s="124"/>
      <c r="PUQ742" s="124"/>
      <c r="PUR742" s="124"/>
      <c r="PUS742" s="124"/>
      <c r="PUT742" s="124"/>
      <c r="PUU742" s="124"/>
      <c r="PUV742" s="124"/>
      <c r="PUW742" s="124"/>
      <c r="PUX742" s="124"/>
      <c r="PUY742" s="124"/>
      <c r="PUZ742" s="124"/>
      <c r="PVA742" s="124"/>
      <c r="PVB742" s="124"/>
      <c r="PVC742" s="124"/>
      <c r="PVD742" s="124"/>
      <c r="PVE742" s="124"/>
      <c r="PVF742" s="124"/>
      <c r="PVG742" s="124"/>
      <c r="PVH742" s="124"/>
      <c r="PVI742" s="124"/>
      <c r="PVJ742" s="124"/>
      <c r="PVK742" s="124"/>
      <c r="PVL742" s="124"/>
      <c r="PVM742" s="124"/>
      <c r="PVN742" s="124"/>
      <c r="PVO742" s="124"/>
      <c r="PVP742" s="124"/>
      <c r="PVQ742" s="124"/>
      <c r="PVR742" s="124"/>
      <c r="PVS742" s="124"/>
      <c r="PVT742" s="124"/>
      <c r="PVU742" s="124"/>
      <c r="PVV742" s="124"/>
      <c r="PVW742" s="124"/>
      <c r="PVX742" s="124"/>
      <c r="PVY742" s="124"/>
      <c r="PVZ742" s="124"/>
      <c r="PWA742" s="124"/>
      <c r="PWB742" s="124"/>
      <c r="PWC742" s="124"/>
      <c r="PWD742" s="124"/>
      <c r="PWE742" s="124"/>
      <c r="PWF742" s="124"/>
      <c r="PWG742" s="124"/>
      <c r="PWH742" s="124"/>
      <c r="PWI742" s="124"/>
      <c r="PWJ742" s="124"/>
      <c r="PWK742" s="124"/>
      <c r="PWL742" s="124"/>
      <c r="PWM742" s="124"/>
      <c r="PWN742" s="124"/>
      <c r="PWO742" s="124"/>
      <c r="PWP742" s="124"/>
      <c r="PWQ742" s="124"/>
      <c r="PWR742" s="124"/>
      <c r="PWS742" s="124"/>
      <c r="PWT742" s="124"/>
      <c r="PWU742" s="124"/>
      <c r="PWV742" s="124"/>
      <c r="PWW742" s="124"/>
      <c r="PWX742" s="124"/>
      <c r="PWY742" s="124"/>
      <c r="PWZ742" s="124"/>
      <c r="PXA742" s="124"/>
      <c r="PXB742" s="124"/>
      <c r="PXC742" s="124"/>
      <c r="PXD742" s="124"/>
      <c r="PXE742" s="124"/>
      <c r="PXF742" s="124"/>
      <c r="PXG742" s="124"/>
      <c r="PXH742" s="124"/>
      <c r="PXI742" s="124"/>
      <c r="PXJ742" s="124"/>
      <c r="PXK742" s="124"/>
      <c r="PXL742" s="124"/>
      <c r="PXM742" s="124"/>
      <c r="PXN742" s="124"/>
      <c r="PXO742" s="124"/>
      <c r="PXP742" s="124"/>
      <c r="PXQ742" s="124"/>
      <c r="PXR742" s="124"/>
      <c r="PXS742" s="124"/>
      <c r="PXT742" s="124"/>
      <c r="PXU742" s="124"/>
      <c r="PXV742" s="124"/>
      <c r="PXW742" s="124"/>
      <c r="PXX742" s="124"/>
      <c r="PXY742" s="124"/>
      <c r="PXZ742" s="124"/>
      <c r="PYA742" s="124"/>
      <c r="PYB742" s="124"/>
      <c r="PYC742" s="124"/>
      <c r="PYD742" s="124"/>
      <c r="PYE742" s="124"/>
      <c r="PYF742" s="124"/>
      <c r="PYG742" s="124"/>
      <c r="PYH742" s="124"/>
      <c r="PYI742" s="124"/>
      <c r="PYJ742" s="124"/>
      <c r="PYK742" s="124"/>
      <c r="PYL742" s="124"/>
      <c r="PYM742" s="124"/>
      <c r="PYN742" s="124"/>
      <c r="PYO742" s="124"/>
      <c r="PYP742" s="124"/>
      <c r="PYQ742" s="124"/>
      <c r="PYR742" s="124"/>
      <c r="PYS742" s="124"/>
      <c r="PYT742" s="124"/>
      <c r="PYU742" s="124"/>
      <c r="PYV742" s="124"/>
      <c r="PYW742" s="124"/>
      <c r="PYX742" s="124"/>
      <c r="PYY742" s="124"/>
      <c r="PYZ742" s="124"/>
      <c r="PZA742" s="124"/>
      <c r="PZB742" s="124"/>
      <c r="PZC742" s="124"/>
      <c r="PZD742" s="124"/>
      <c r="PZE742" s="124"/>
      <c r="PZF742" s="124"/>
      <c r="PZG742" s="124"/>
      <c r="PZH742" s="124"/>
      <c r="PZI742" s="124"/>
      <c r="PZJ742" s="124"/>
      <c r="PZK742" s="124"/>
      <c r="PZL742" s="124"/>
      <c r="PZM742" s="124"/>
      <c r="PZN742" s="124"/>
      <c r="PZO742" s="124"/>
      <c r="PZP742" s="124"/>
      <c r="PZQ742" s="124"/>
      <c r="PZR742" s="124"/>
      <c r="PZS742" s="124"/>
      <c r="PZT742" s="124"/>
      <c r="PZU742" s="124"/>
      <c r="PZV742" s="124"/>
      <c r="PZW742" s="124"/>
      <c r="PZX742" s="124"/>
      <c r="PZY742" s="124"/>
      <c r="PZZ742" s="124"/>
      <c r="QAA742" s="124"/>
      <c r="QAB742" s="124"/>
      <c r="QAC742" s="124"/>
      <c r="QAD742" s="124"/>
      <c r="QAE742" s="124"/>
      <c r="QAF742" s="124"/>
      <c r="QAG742" s="124"/>
      <c r="QAH742" s="124"/>
      <c r="QAI742" s="124"/>
      <c r="QAJ742" s="124"/>
      <c r="QAK742" s="124"/>
      <c r="QAL742" s="124"/>
      <c r="QAM742" s="124"/>
      <c r="QAN742" s="124"/>
      <c r="QAO742" s="124"/>
      <c r="QAP742" s="124"/>
      <c r="QAQ742" s="124"/>
      <c r="QAR742" s="124"/>
      <c r="QAS742" s="124"/>
      <c r="QAT742" s="124"/>
      <c r="QAU742" s="124"/>
      <c r="QAV742" s="124"/>
      <c r="QAW742" s="124"/>
      <c r="QAX742" s="124"/>
      <c r="QAY742" s="124"/>
      <c r="QAZ742" s="124"/>
      <c r="QBA742" s="124"/>
      <c r="QBB742" s="124"/>
      <c r="QBC742" s="124"/>
      <c r="QBD742" s="124"/>
      <c r="QBE742" s="124"/>
      <c r="QBF742" s="124"/>
      <c r="QBG742" s="124"/>
      <c r="QBH742" s="124"/>
      <c r="QBI742" s="124"/>
      <c r="QBJ742" s="124"/>
      <c r="QBK742" s="124"/>
      <c r="QBL742" s="124"/>
      <c r="QBM742" s="124"/>
      <c r="QBN742" s="124"/>
      <c r="QBO742" s="124"/>
      <c r="QBP742" s="124"/>
      <c r="QBQ742" s="124"/>
      <c r="QBR742" s="124"/>
      <c r="QBS742" s="124"/>
      <c r="QBT742" s="124"/>
      <c r="QBU742" s="124"/>
      <c r="QBV742" s="124"/>
      <c r="QBW742" s="124"/>
      <c r="QBX742" s="124"/>
      <c r="QBY742" s="124"/>
      <c r="QBZ742" s="124"/>
      <c r="QCA742" s="124"/>
      <c r="QCB742" s="124"/>
      <c r="QCC742" s="124"/>
      <c r="QCD742" s="124"/>
      <c r="QCE742" s="124"/>
      <c r="QCF742" s="124"/>
      <c r="QCG742" s="124"/>
      <c r="QCH742" s="124"/>
      <c r="QCI742" s="124"/>
      <c r="QCJ742" s="124"/>
      <c r="QCK742" s="124"/>
      <c r="QCL742" s="124"/>
      <c r="QCM742" s="124"/>
      <c r="QCN742" s="124"/>
      <c r="QCO742" s="124"/>
      <c r="QCP742" s="124"/>
      <c r="QCQ742" s="124"/>
      <c r="QCR742" s="124"/>
      <c r="QCS742" s="124"/>
      <c r="QCT742" s="124"/>
      <c r="QCU742" s="124"/>
      <c r="QCV742" s="124"/>
      <c r="QCW742" s="124"/>
      <c r="QCX742" s="124"/>
      <c r="QCY742" s="124"/>
      <c r="QCZ742" s="124"/>
      <c r="QDA742" s="124"/>
      <c r="QDB742" s="124"/>
      <c r="QDC742" s="124"/>
      <c r="QDD742" s="124"/>
      <c r="QDE742" s="124"/>
      <c r="QDF742" s="124"/>
      <c r="QDG742" s="124"/>
      <c r="QDH742" s="124"/>
      <c r="QDI742" s="124"/>
      <c r="QDJ742" s="124"/>
      <c r="QDK742" s="124"/>
      <c r="QDL742" s="124"/>
      <c r="QDM742" s="124"/>
      <c r="QDN742" s="124"/>
      <c r="QDO742" s="124"/>
      <c r="QDP742" s="124"/>
      <c r="QDQ742" s="124"/>
      <c r="QDR742" s="124"/>
      <c r="QDS742" s="124"/>
      <c r="QDT742" s="124"/>
      <c r="QDU742" s="124"/>
      <c r="QDV742" s="124"/>
      <c r="QDW742" s="124"/>
      <c r="QDX742" s="124"/>
      <c r="QDY742" s="124"/>
      <c r="QDZ742" s="124"/>
      <c r="QEA742" s="124"/>
      <c r="QEB742" s="124"/>
      <c r="QEC742" s="124"/>
      <c r="QED742" s="124"/>
      <c r="QEE742" s="124"/>
      <c r="QEF742" s="124"/>
      <c r="QEG742" s="124"/>
      <c r="QEH742" s="124"/>
      <c r="QEI742" s="124"/>
      <c r="QEJ742" s="124"/>
      <c r="QEK742" s="124"/>
      <c r="QEL742" s="124"/>
      <c r="QEM742" s="124"/>
      <c r="QEN742" s="124"/>
      <c r="QEO742" s="124"/>
      <c r="QEP742" s="124"/>
      <c r="QEQ742" s="124"/>
      <c r="QER742" s="124"/>
      <c r="QES742" s="124"/>
      <c r="QET742" s="124"/>
      <c r="QEU742" s="124"/>
      <c r="QEV742" s="124"/>
      <c r="QEW742" s="124"/>
      <c r="QEX742" s="124"/>
      <c r="QEY742" s="124"/>
      <c r="QEZ742" s="124"/>
      <c r="QFA742" s="124"/>
      <c r="QFB742" s="124"/>
      <c r="QFC742" s="124"/>
      <c r="QFD742" s="124"/>
      <c r="QFE742" s="124"/>
      <c r="QFF742" s="124"/>
      <c r="QFG742" s="124"/>
      <c r="QFH742" s="124"/>
      <c r="QFI742" s="124"/>
      <c r="QFJ742" s="124"/>
      <c r="QFK742" s="124"/>
      <c r="QFL742" s="124"/>
      <c r="QFM742" s="124"/>
      <c r="QFN742" s="124"/>
      <c r="QFO742" s="124"/>
      <c r="QFP742" s="124"/>
      <c r="QFQ742" s="124"/>
      <c r="QFR742" s="124"/>
      <c r="QFS742" s="124"/>
      <c r="QFT742" s="124"/>
      <c r="QFU742" s="124"/>
      <c r="QFV742" s="124"/>
      <c r="QFW742" s="124"/>
      <c r="QFX742" s="124"/>
      <c r="QFY742" s="124"/>
      <c r="QFZ742" s="124"/>
      <c r="QGA742" s="124"/>
      <c r="QGB742" s="124"/>
      <c r="QGC742" s="124"/>
      <c r="QGD742" s="124"/>
      <c r="QGE742" s="124"/>
      <c r="QGF742" s="124"/>
      <c r="QGG742" s="124"/>
      <c r="QGH742" s="124"/>
      <c r="QGI742" s="124"/>
      <c r="QGJ742" s="124"/>
      <c r="QGK742" s="124"/>
      <c r="QGL742" s="124"/>
      <c r="QGM742" s="124"/>
      <c r="QGN742" s="124"/>
      <c r="QGO742" s="124"/>
      <c r="QGP742" s="124"/>
      <c r="QGQ742" s="124"/>
      <c r="QGR742" s="124"/>
      <c r="QGS742" s="124"/>
      <c r="QGT742" s="124"/>
      <c r="QGU742" s="124"/>
      <c r="QGV742" s="124"/>
      <c r="QGW742" s="124"/>
      <c r="QGX742" s="124"/>
      <c r="QGY742" s="124"/>
      <c r="QGZ742" s="124"/>
      <c r="QHA742" s="124"/>
      <c r="QHB742" s="124"/>
      <c r="QHC742" s="124"/>
      <c r="QHD742" s="124"/>
      <c r="QHE742" s="124"/>
      <c r="QHF742" s="124"/>
      <c r="QHG742" s="124"/>
      <c r="QHH742" s="124"/>
      <c r="QHI742" s="124"/>
      <c r="QHJ742" s="124"/>
      <c r="QHK742" s="124"/>
      <c r="QHL742" s="124"/>
      <c r="QHM742" s="124"/>
      <c r="QHN742" s="124"/>
      <c r="QHO742" s="124"/>
      <c r="QHP742" s="124"/>
      <c r="QHQ742" s="124"/>
      <c r="QHR742" s="124"/>
      <c r="QHS742" s="124"/>
      <c r="QHT742" s="124"/>
      <c r="QHU742" s="124"/>
      <c r="QHV742" s="124"/>
      <c r="QHW742" s="124"/>
      <c r="QHX742" s="124"/>
      <c r="QHY742" s="124"/>
      <c r="QHZ742" s="124"/>
      <c r="QIA742" s="124"/>
      <c r="QIB742" s="124"/>
      <c r="QIC742" s="124"/>
      <c r="QID742" s="124"/>
      <c r="QIE742" s="124"/>
      <c r="QIF742" s="124"/>
      <c r="QIG742" s="124"/>
      <c r="QIH742" s="124"/>
      <c r="QII742" s="124"/>
      <c r="QIJ742" s="124"/>
      <c r="QIK742" s="124"/>
      <c r="QIL742" s="124"/>
      <c r="QIM742" s="124"/>
      <c r="QIN742" s="124"/>
      <c r="QIO742" s="124"/>
      <c r="QIP742" s="124"/>
      <c r="QIQ742" s="124"/>
      <c r="QIR742" s="124"/>
      <c r="QIS742" s="124"/>
      <c r="QIT742" s="124"/>
      <c r="QIU742" s="124"/>
      <c r="QIV742" s="124"/>
      <c r="QIW742" s="124"/>
      <c r="QIX742" s="124"/>
      <c r="QIY742" s="124"/>
      <c r="QIZ742" s="124"/>
      <c r="QJA742" s="124"/>
      <c r="QJB742" s="124"/>
      <c r="QJC742" s="124"/>
      <c r="QJD742" s="124"/>
      <c r="QJE742" s="124"/>
      <c r="QJF742" s="124"/>
      <c r="QJG742" s="124"/>
      <c r="QJH742" s="124"/>
      <c r="QJI742" s="124"/>
      <c r="QJJ742" s="124"/>
      <c r="QJK742" s="124"/>
      <c r="QJL742" s="124"/>
      <c r="QJM742" s="124"/>
      <c r="QJN742" s="124"/>
      <c r="QJO742" s="124"/>
      <c r="QJP742" s="124"/>
      <c r="QJQ742" s="124"/>
      <c r="QJR742" s="124"/>
      <c r="QJS742" s="124"/>
      <c r="QJT742" s="124"/>
      <c r="QJU742" s="124"/>
      <c r="QJV742" s="124"/>
      <c r="QJW742" s="124"/>
      <c r="QJX742" s="124"/>
      <c r="QJY742" s="124"/>
      <c r="QJZ742" s="124"/>
      <c r="QKA742" s="124"/>
      <c r="QKB742" s="124"/>
      <c r="QKC742" s="124"/>
      <c r="QKD742" s="124"/>
      <c r="QKE742" s="124"/>
      <c r="QKF742" s="124"/>
      <c r="QKG742" s="124"/>
      <c r="QKH742" s="124"/>
      <c r="QKI742" s="124"/>
      <c r="QKJ742" s="124"/>
      <c r="QKK742" s="124"/>
      <c r="QKL742" s="124"/>
      <c r="QKM742" s="124"/>
      <c r="QKN742" s="124"/>
      <c r="QKO742" s="124"/>
      <c r="QKP742" s="124"/>
      <c r="QKQ742" s="124"/>
      <c r="QKR742" s="124"/>
      <c r="QKS742" s="124"/>
      <c r="QKT742" s="124"/>
      <c r="QKU742" s="124"/>
      <c r="QKV742" s="124"/>
      <c r="QKW742" s="124"/>
      <c r="QKX742" s="124"/>
      <c r="QKY742" s="124"/>
      <c r="QKZ742" s="124"/>
      <c r="QLA742" s="124"/>
      <c r="QLB742" s="124"/>
      <c r="QLC742" s="124"/>
      <c r="QLD742" s="124"/>
      <c r="QLE742" s="124"/>
      <c r="QLF742" s="124"/>
      <c r="QLG742" s="124"/>
      <c r="QLH742" s="124"/>
      <c r="QLI742" s="124"/>
      <c r="QLJ742" s="124"/>
      <c r="QLK742" s="124"/>
      <c r="QLL742" s="124"/>
      <c r="QLM742" s="124"/>
      <c r="QLN742" s="124"/>
      <c r="QLO742" s="124"/>
      <c r="QLP742" s="124"/>
      <c r="QLQ742" s="124"/>
      <c r="QLR742" s="124"/>
      <c r="QLS742" s="124"/>
      <c r="QLT742" s="124"/>
      <c r="QLU742" s="124"/>
      <c r="QLV742" s="124"/>
      <c r="QLW742" s="124"/>
      <c r="QLX742" s="124"/>
      <c r="QLY742" s="124"/>
      <c r="QLZ742" s="124"/>
      <c r="QMA742" s="124"/>
      <c r="QMB742" s="124"/>
      <c r="QMC742" s="124"/>
      <c r="QMD742" s="124"/>
      <c r="QME742" s="124"/>
      <c r="QMF742" s="124"/>
      <c r="QMG742" s="124"/>
      <c r="QMH742" s="124"/>
      <c r="QMI742" s="124"/>
      <c r="QMJ742" s="124"/>
      <c r="QMK742" s="124"/>
      <c r="QML742" s="124"/>
      <c r="QMM742" s="124"/>
      <c r="QMN742" s="124"/>
      <c r="QMO742" s="124"/>
      <c r="QMP742" s="124"/>
      <c r="QMQ742" s="124"/>
      <c r="QMR742" s="124"/>
      <c r="QMS742" s="124"/>
      <c r="QMT742" s="124"/>
      <c r="QMU742" s="124"/>
      <c r="QMV742" s="124"/>
      <c r="QMW742" s="124"/>
      <c r="QMX742" s="124"/>
      <c r="QMY742" s="124"/>
      <c r="QMZ742" s="124"/>
      <c r="QNA742" s="124"/>
      <c r="QNB742" s="124"/>
      <c r="QNC742" s="124"/>
      <c r="QND742" s="124"/>
      <c r="QNE742" s="124"/>
      <c r="QNF742" s="124"/>
      <c r="QNG742" s="124"/>
      <c r="QNH742" s="124"/>
      <c r="QNI742" s="124"/>
      <c r="QNJ742" s="124"/>
      <c r="QNK742" s="124"/>
      <c r="QNL742" s="124"/>
      <c r="QNM742" s="124"/>
      <c r="QNN742" s="124"/>
      <c r="QNO742" s="124"/>
      <c r="QNP742" s="124"/>
      <c r="QNQ742" s="124"/>
      <c r="QNR742" s="124"/>
      <c r="QNS742" s="124"/>
      <c r="QNT742" s="124"/>
      <c r="QNU742" s="124"/>
      <c r="QNV742" s="124"/>
      <c r="QNW742" s="124"/>
      <c r="QNX742" s="124"/>
      <c r="QNY742" s="124"/>
      <c r="QNZ742" s="124"/>
      <c r="QOA742" s="124"/>
      <c r="QOB742" s="124"/>
      <c r="QOC742" s="124"/>
      <c r="QOD742" s="124"/>
      <c r="QOE742" s="124"/>
      <c r="QOF742" s="124"/>
      <c r="QOG742" s="124"/>
      <c r="QOH742" s="124"/>
      <c r="QOI742" s="124"/>
      <c r="QOJ742" s="124"/>
      <c r="QOK742" s="124"/>
      <c r="QOL742" s="124"/>
      <c r="QOM742" s="124"/>
      <c r="QON742" s="124"/>
      <c r="QOO742" s="124"/>
      <c r="QOP742" s="124"/>
      <c r="QOQ742" s="124"/>
      <c r="QOR742" s="124"/>
      <c r="QOS742" s="124"/>
      <c r="QOT742" s="124"/>
      <c r="QOU742" s="124"/>
      <c r="QOV742" s="124"/>
      <c r="QOW742" s="124"/>
      <c r="QOX742" s="124"/>
      <c r="QOY742" s="124"/>
      <c r="QOZ742" s="124"/>
      <c r="QPA742" s="124"/>
      <c r="QPB742" s="124"/>
      <c r="QPC742" s="124"/>
      <c r="QPD742" s="124"/>
      <c r="QPE742" s="124"/>
      <c r="QPF742" s="124"/>
      <c r="QPG742" s="124"/>
      <c r="QPH742" s="124"/>
      <c r="QPI742" s="124"/>
      <c r="QPJ742" s="124"/>
      <c r="QPK742" s="124"/>
      <c r="QPL742" s="124"/>
      <c r="QPM742" s="124"/>
      <c r="QPN742" s="124"/>
      <c r="QPO742" s="124"/>
      <c r="QPP742" s="124"/>
      <c r="QPQ742" s="124"/>
      <c r="QPR742" s="124"/>
      <c r="QPS742" s="124"/>
      <c r="QPT742" s="124"/>
      <c r="QPU742" s="124"/>
      <c r="QPV742" s="124"/>
      <c r="QPW742" s="124"/>
      <c r="QPX742" s="124"/>
      <c r="QPY742" s="124"/>
      <c r="QPZ742" s="124"/>
      <c r="QQA742" s="124"/>
      <c r="QQB742" s="124"/>
      <c r="QQC742" s="124"/>
      <c r="QQD742" s="124"/>
      <c r="QQE742" s="124"/>
      <c r="QQF742" s="124"/>
      <c r="QQG742" s="124"/>
      <c r="QQH742" s="124"/>
      <c r="QQI742" s="124"/>
      <c r="QQJ742" s="124"/>
      <c r="QQK742" s="124"/>
      <c r="QQL742" s="124"/>
      <c r="QQM742" s="124"/>
      <c r="QQN742" s="124"/>
      <c r="QQO742" s="124"/>
      <c r="QQP742" s="124"/>
      <c r="QQQ742" s="124"/>
      <c r="QQR742" s="124"/>
      <c r="QQS742" s="124"/>
      <c r="QQT742" s="124"/>
      <c r="QQU742" s="124"/>
      <c r="QQV742" s="124"/>
      <c r="QQW742" s="124"/>
      <c r="QQX742" s="124"/>
      <c r="QQY742" s="124"/>
      <c r="QQZ742" s="124"/>
      <c r="QRA742" s="124"/>
      <c r="QRB742" s="124"/>
      <c r="QRC742" s="124"/>
      <c r="QRD742" s="124"/>
      <c r="QRE742" s="124"/>
      <c r="QRF742" s="124"/>
      <c r="QRG742" s="124"/>
      <c r="QRH742" s="124"/>
      <c r="QRI742" s="124"/>
      <c r="QRJ742" s="124"/>
      <c r="QRK742" s="124"/>
      <c r="QRL742" s="124"/>
      <c r="QRM742" s="124"/>
      <c r="QRN742" s="124"/>
      <c r="QRO742" s="124"/>
      <c r="QRP742" s="124"/>
      <c r="QRQ742" s="124"/>
      <c r="QRR742" s="124"/>
      <c r="QRS742" s="124"/>
      <c r="QRT742" s="124"/>
      <c r="QRU742" s="124"/>
      <c r="QRV742" s="124"/>
      <c r="QRW742" s="124"/>
      <c r="QRX742" s="124"/>
      <c r="QRY742" s="124"/>
      <c r="QRZ742" s="124"/>
      <c r="QSA742" s="124"/>
      <c r="QSB742" s="124"/>
      <c r="QSC742" s="124"/>
      <c r="QSD742" s="124"/>
      <c r="QSE742" s="124"/>
      <c r="QSF742" s="124"/>
      <c r="QSG742" s="124"/>
      <c r="QSH742" s="124"/>
      <c r="QSI742" s="124"/>
      <c r="QSJ742" s="124"/>
      <c r="QSK742" s="124"/>
      <c r="QSL742" s="124"/>
      <c r="QSM742" s="124"/>
      <c r="QSN742" s="124"/>
      <c r="QSO742" s="124"/>
      <c r="QSP742" s="124"/>
      <c r="QSQ742" s="124"/>
      <c r="QSR742" s="124"/>
      <c r="QSS742" s="124"/>
      <c r="QST742" s="124"/>
      <c r="QSU742" s="124"/>
      <c r="QSV742" s="124"/>
      <c r="QSW742" s="124"/>
      <c r="QSX742" s="124"/>
      <c r="QSY742" s="124"/>
      <c r="QSZ742" s="124"/>
      <c r="QTA742" s="124"/>
      <c r="QTB742" s="124"/>
      <c r="QTC742" s="124"/>
      <c r="QTD742" s="124"/>
      <c r="QTE742" s="124"/>
      <c r="QTF742" s="124"/>
      <c r="QTG742" s="124"/>
      <c r="QTH742" s="124"/>
      <c r="QTI742" s="124"/>
      <c r="QTJ742" s="124"/>
      <c r="QTK742" s="124"/>
      <c r="QTL742" s="124"/>
      <c r="QTM742" s="124"/>
      <c r="QTN742" s="124"/>
      <c r="QTO742" s="124"/>
      <c r="QTP742" s="124"/>
      <c r="QTQ742" s="124"/>
      <c r="QTR742" s="124"/>
      <c r="QTS742" s="124"/>
      <c r="QTT742" s="124"/>
      <c r="QTU742" s="124"/>
      <c r="QTV742" s="124"/>
      <c r="QTW742" s="124"/>
      <c r="QTX742" s="124"/>
      <c r="QTY742" s="124"/>
      <c r="QTZ742" s="124"/>
      <c r="QUA742" s="124"/>
      <c r="QUB742" s="124"/>
      <c r="QUC742" s="124"/>
      <c r="QUD742" s="124"/>
      <c r="QUE742" s="124"/>
      <c r="QUF742" s="124"/>
      <c r="QUG742" s="124"/>
      <c r="QUH742" s="124"/>
      <c r="QUI742" s="124"/>
      <c r="QUJ742" s="124"/>
      <c r="QUK742" s="124"/>
      <c r="QUL742" s="124"/>
      <c r="QUM742" s="124"/>
      <c r="QUN742" s="124"/>
      <c r="QUO742" s="124"/>
      <c r="QUP742" s="124"/>
      <c r="QUQ742" s="124"/>
      <c r="QUR742" s="124"/>
      <c r="QUS742" s="124"/>
      <c r="QUT742" s="124"/>
      <c r="QUU742" s="124"/>
      <c r="QUV742" s="124"/>
      <c r="QUW742" s="124"/>
      <c r="QUX742" s="124"/>
      <c r="QUY742" s="124"/>
      <c r="QUZ742" s="124"/>
      <c r="QVA742" s="124"/>
      <c r="QVB742" s="124"/>
      <c r="QVC742" s="124"/>
      <c r="QVD742" s="124"/>
      <c r="QVE742" s="124"/>
      <c r="QVF742" s="124"/>
      <c r="QVG742" s="124"/>
      <c r="QVH742" s="124"/>
      <c r="QVI742" s="124"/>
      <c r="QVJ742" s="124"/>
      <c r="QVK742" s="124"/>
      <c r="QVL742" s="124"/>
      <c r="QVM742" s="124"/>
      <c r="QVN742" s="124"/>
      <c r="QVO742" s="124"/>
      <c r="QVP742" s="124"/>
      <c r="QVQ742" s="124"/>
      <c r="QVR742" s="124"/>
      <c r="QVS742" s="124"/>
      <c r="QVT742" s="124"/>
      <c r="QVU742" s="124"/>
      <c r="QVV742" s="124"/>
      <c r="QVW742" s="124"/>
      <c r="QVX742" s="124"/>
      <c r="QVY742" s="124"/>
      <c r="QVZ742" s="124"/>
      <c r="QWA742" s="124"/>
      <c r="QWB742" s="124"/>
      <c r="QWC742" s="124"/>
      <c r="QWD742" s="124"/>
      <c r="QWE742" s="124"/>
      <c r="QWF742" s="124"/>
      <c r="QWG742" s="124"/>
      <c r="QWH742" s="124"/>
      <c r="QWI742" s="124"/>
      <c r="QWJ742" s="124"/>
      <c r="QWK742" s="124"/>
      <c r="QWL742" s="124"/>
      <c r="QWM742" s="124"/>
      <c r="QWN742" s="124"/>
      <c r="QWO742" s="124"/>
      <c r="QWP742" s="124"/>
      <c r="QWQ742" s="124"/>
      <c r="QWR742" s="124"/>
      <c r="QWS742" s="124"/>
      <c r="QWT742" s="124"/>
      <c r="QWU742" s="124"/>
      <c r="QWV742" s="124"/>
      <c r="QWW742" s="124"/>
      <c r="QWX742" s="124"/>
      <c r="QWY742" s="124"/>
      <c r="QWZ742" s="124"/>
      <c r="QXA742" s="124"/>
      <c r="QXB742" s="124"/>
      <c r="QXC742" s="124"/>
      <c r="QXD742" s="124"/>
      <c r="QXE742" s="124"/>
      <c r="QXF742" s="124"/>
      <c r="QXG742" s="124"/>
      <c r="QXH742" s="124"/>
      <c r="QXI742" s="124"/>
      <c r="QXJ742" s="124"/>
      <c r="QXK742" s="124"/>
      <c r="QXL742" s="124"/>
      <c r="QXM742" s="124"/>
      <c r="QXN742" s="124"/>
      <c r="QXO742" s="124"/>
      <c r="QXP742" s="124"/>
      <c r="QXQ742" s="124"/>
      <c r="QXR742" s="124"/>
      <c r="QXS742" s="124"/>
      <c r="QXT742" s="124"/>
      <c r="QXU742" s="124"/>
      <c r="QXV742" s="124"/>
      <c r="QXW742" s="124"/>
      <c r="QXX742" s="124"/>
      <c r="QXY742" s="124"/>
      <c r="QXZ742" s="124"/>
      <c r="QYA742" s="124"/>
      <c r="QYB742" s="124"/>
      <c r="QYC742" s="124"/>
      <c r="QYD742" s="124"/>
      <c r="QYE742" s="124"/>
      <c r="QYF742" s="124"/>
      <c r="QYG742" s="124"/>
      <c r="QYH742" s="124"/>
      <c r="QYI742" s="124"/>
      <c r="QYJ742" s="124"/>
      <c r="QYK742" s="124"/>
      <c r="QYL742" s="124"/>
      <c r="QYM742" s="124"/>
      <c r="QYN742" s="124"/>
      <c r="QYO742" s="124"/>
      <c r="QYP742" s="124"/>
      <c r="QYQ742" s="124"/>
      <c r="QYR742" s="124"/>
      <c r="QYS742" s="124"/>
      <c r="QYT742" s="124"/>
      <c r="QYU742" s="124"/>
      <c r="QYV742" s="124"/>
      <c r="QYW742" s="124"/>
      <c r="QYX742" s="124"/>
      <c r="QYY742" s="124"/>
      <c r="QYZ742" s="124"/>
      <c r="QZA742" s="124"/>
      <c r="QZB742" s="124"/>
      <c r="QZC742" s="124"/>
      <c r="QZD742" s="124"/>
      <c r="QZE742" s="124"/>
      <c r="QZF742" s="124"/>
      <c r="QZG742" s="124"/>
      <c r="QZH742" s="124"/>
      <c r="QZI742" s="124"/>
      <c r="QZJ742" s="124"/>
      <c r="QZK742" s="124"/>
      <c r="QZL742" s="124"/>
      <c r="QZM742" s="124"/>
      <c r="QZN742" s="124"/>
      <c r="QZO742" s="124"/>
      <c r="QZP742" s="124"/>
      <c r="QZQ742" s="124"/>
      <c r="QZR742" s="124"/>
      <c r="QZS742" s="124"/>
      <c r="QZT742" s="124"/>
      <c r="QZU742" s="124"/>
      <c r="QZV742" s="124"/>
      <c r="QZW742" s="124"/>
      <c r="QZX742" s="124"/>
      <c r="QZY742" s="124"/>
      <c r="QZZ742" s="124"/>
      <c r="RAA742" s="124"/>
      <c r="RAB742" s="124"/>
      <c r="RAC742" s="124"/>
      <c r="RAD742" s="124"/>
      <c r="RAE742" s="124"/>
      <c r="RAF742" s="124"/>
      <c r="RAG742" s="124"/>
      <c r="RAH742" s="124"/>
      <c r="RAI742" s="124"/>
      <c r="RAJ742" s="124"/>
      <c r="RAK742" s="124"/>
      <c r="RAL742" s="124"/>
      <c r="RAM742" s="124"/>
      <c r="RAN742" s="124"/>
      <c r="RAO742" s="124"/>
      <c r="RAP742" s="124"/>
      <c r="RAQ742" s="124"/>
      <c r="RAR742" s="124"/>
      <c r="RAS742" s="124"/>
      <c r="RAT742" s="124"/>
      <c r="RAU742" s="124"/>
      <c r="RAV742" s="124"/>
      <c r="RAW742" s="124"/>
      <c r="RAX742" s="124"/>
      <c r="RAY742" s="124"/>
      <c r="RAZ742" s="124"/>
      <c r="RBA742" s="124"/>
      <c r="RBB742" s="124"/>
      <c r="RBC742" s="124"/>
      <c r="RBD742" s="124"/>
      <c r="RBE742" s="124"/>
      <c r="RBF742" s="124"/>
      <c r="RBG742" s="124"/>
      <c r="RBH742" s="124"/>
      <c r="RBI742" s="124"/>
      <c r="RBJ742" s="124"/>
      <c r="RBK742" s="124"/>
      <c r="RBL742" s="124"/>
      <c r="RBM742" s="124"/>
      <c r="RBN742" s="124"/>
      <c r="RBO742" s="124"/>
      <c r="RBP742" s="124"/>
      <c r="RBQ742" s="124"/>
      <c r="RBR742" s="124"/>
      <c r="RBS742" s="124"/>
      <c r="RBT742" s="124"/>
      <c r="RBU742" s="124"/>
      <c r="RBV742" s="124"/>
      <c r="RBW742" s="124"/>
      <c r="RBX742" s="124"/>
      <c r="RBY742" s="124"/>
      <c r="RBZ742" s="124"/>
      <c r="RCA742" s="124"/>
      <c r="RCB742" s="124"/>
      <c r="RCC742" s="124"/>
      <c r="RCD742" s="124"/>
      <c r="RCE742" s="124"/>
      <c r="RCF742" s="124"/>
      <c r="RCG742" s="124"/>
      <c r="RCH742" s="124"/>
      <c r="RCI742" s="124"/>
      <c r="RCJ742" s="124"/>
      <c r="RCK742" s="124"/>
      <c r="RCL742" s="124"/>
      <c r="RCM742" s="124"/>
      <c r="RCN742" s="124"/>
      <c r="RCO742" s="124"/>
      <c r="RCP742" s="124"/>
      <c r="RCQ742" s="124"/>
      <c r="RCR742" s="124"/>
      <c r="RCS742" s="124"/>
      <c r="RCT742" s="124"/>
      <c r="RCU742" s="124"/>
      <c r="RCV742" s="124"/>
      <c r="RCW742" s="124"/>
      <c r="RCX742" s="124"/>
      <c r="RCY742" s="124"/>
      <c r="RCZ742" s="124"/>
      <c r="RDA742" s="124"/>
      <c r="RDB742" s="124"/>
      <c r="RDC742" s="124"/>
      <c r="RDD742" s="124"/>
      <c r="RDE742" s="124"/>
      <c r="RDF742" s="124"/>
      <c r="RDG742" s="124"/>
      <c r="RDH742" s="124"/>
      <c r="RDI742" s="124"/>
      <c r="RDJ742" s="124"/>
      <c r="RDK742" s="124"/>
      <c r="RDL742" s="124"/>
      <c r="RDM742" s="124"/>
      <c r="RDN742" s="124"/>
      <c r="RDO742" s="124"/>
      <c r="RDP742" s="124"/>
      <c r="RDQ742" s="124"/>
      <c r="RDR742" s="124"/>
      <c r="RDS742" s="124"/>
      <c r="RDT742" s="124"/>
      <c r="RDU742" s="124"/>
      <c r="RDV742" s="124"/>
      <c r="RDW742" s="124"/>
      <c r="RDX742" s="124"/>
      <c r="RDY742" s="124"/>
      <c r="RDZ742" s="124"/>
      <c r="REA742" s="124"/>
      <c r="REB742" s="124"/>
      <c r="REC742" s="124"/>
      <c r="RED742" s="124"/>
      <c r="REE742" s="124"/>
      <c r="REF742" s="124"/>
      <c r="REG742" s="124"/>
      <c r="REH742" s="124"/>
      <c r="REI742" s="124"/>
      <c r="REJ742" s="124"/>
      <c r="REK742" s="124"/>
      <c r="REL742" s="124"/>
      <c r="REM742" s="124"/>
      <c r="REN742" s="124"/>
      <c r="REO742" s="124"/>
      <c r="REP742" s="124"/>
      <c r="REQ742" s="124"/>
      <c r="RER742" s="124"/>
      <c r="RES742" s="124"/>
      <c r="RET742" s="124"/>
      <c r="REU742" s="124"/>
      <c r="REV742" s="124"/>
      <c r="REW742" s="124"/>
      <c r="REX742" s="124"/>
      <c r="REY742" s="124"/>
      <c r="REZ742" s="124"/>
      <c r="RFA742" s="124"/>
      <c r="RFB742" s="124"/>
      <c r="RFC742" s="124"/>
      <c r="RFD742" s="124"/>
      <c r="RFE742" s="124"/>
      <c r="RFF742" s="124"/>
      <c r="RFG742" s="124"/>
      <c r="RFH742" s="124"/>
      <c r="RFI742" s="124"/>
      <c r="RFJ742" s="124"/>
      <c r="RFK742" s="124"/>
      <c r="RFL742" s="124"/>
      <c r="RFM742" s="124"/>
      <c r="RFN742" s="124"/>
      <c r="RFO742" s="124"/>
      <c r="RFP742" s="124"/>
      <c r="RFQ742" s="124"/>
      <c r="RFR742" s="124"/>
      <c r="RFS742" s="124"/>
      <c r="RFT742" s="124"/>
      <c r="RFU742" s="124"/>
      <c r="RFV742" s="124"/>
      <c r="RFW742" s="124"/>
      <c r="RFX742" s="124"/>
      <c r="RFY742" s="124"/>
      <c r="RFZ742" s="124"/>
      <c r="RGA742" s="124"/>
      <c r="RGB742" s="124"/>
      <c r="RGC742" s="124"/>
      <c r="RGD742" s="124"/>
      <c r="RGE742" s="124"/>
      <c r="RGF742" s="124"/>
      <c r="RGG742" s="124"/>
      <c r="RGH742" s="124"/>
      <c r="RGI742" s="124"/>
      <c r="RGJ742" s="124"/>
      <c r="RGK742" s="124"/>
      <c r="RGL742" s="124"/>
      <c r="RGM742" s="124"/>
      <c r="RGN742" s="124"/>
      <c r="RGO742" s="124"/>
      <c r="RGP742" s="124"/>
      <c r="RGQ742" s="124"/>
      <c r="RGR742" s="124"/>
      <c r="RGS742" s="124"/>
      <c r="RGT742" s="124"/>
      <c r="RGU742" s="124"/>
      <c r="RGV742" s="124"/>
      <c r="RGW742" s="124"/>
      <c r="RGX742" s="124"/>
      <c r="RGY742" s="124"/>
      <c r="RGZ742" s="124"/>
      <c r="RHA742" s="124"/>
      <c r="RHB742" s="124"/>
      <c r="RHC742" s="124"/>
      <c r="RHD742" s="124"/>
      <c r="RHE742" s="124"/>
      <c r="RHF742" s="124"/>
      <c r="RHG742" s="124"/>
      <c r="RHH742" s="124"/>
      <c r="RHI742" s="124"/>
      <c r="RHJ742" s="124"/>
      <c r="RHK742" s="124"/>
      <c r="RHL742" s="124"/>
      <c r="RHM742" s="124"/>
      <c r="RHN742" s="124"/>
      <c r="RHO742" s="124"/>
      <c r="RHP742" s="124"/>
      <c r="RHQ742" s="124"/>
      <c r="RHR742" s="124"/>
      <c r="RHS742" s="124"/>
      <c r="RHT742" s="124"/>
      <c r="RHU742" s="124"/>
      <c r="RHV742" s="124"/>
      <c r="RHW742" s="124"/>
      <c r="RHX742" s="124"/>
      <c r="RHY742" s="124"/>
      <c r="RHZ742" s="124"/>
      <c r="RIA742" s="124"/>
      <c r="RIB742" s="124"/>
      <c r="RIC742" s="124"/>
      <c r="RID742" s="124"/>
      <c r="RIE742" s="124"/>
      <c r="RIF742" s="124"/>
      <c r="RIG742" s="124"/>
      <c r="RIH742" s="124"/>
      <c r="RII742" s="124"/>
      <c r="RIJ742" s="124"/>
      <c r="RIK742" s="124"/>
      <c r="RIL742" s="124"/>
      <c r="RIM742" s="124"/>
      <c r="RIN742" s="124"/>
      <c r="RIO742" s="124"/>
      <c r="RIP742" s="124"/>
      <c r="RIQ742" s="124"/>
      <c r="RIR742" s="124"/>
      <c r="RIS742" s="124"/>
      <c r="RIT742" s="124"/>
      <c r="RIU742" s="124"/>
      <c r="RIV742" s="124"/>
      <c r="RIW742" s="124"/>
      <c r="RIX742" s="124"/>
      <c r="RIY742" s="124"/>
      <c r="RIZ742" s="124"/>
      <c r="RJA742" s="124"/>
      <c r="RJB742" s="124"/>
      <c r="RJC742" s="124"/>
      <c r="RJD742" s="124"/>
      <c r="RJE742" s="124"/>
      <c r="RJF742" s="124"/>
      <c r="RJG742" s="124"/>
      <c r="RJH742" s="124"/>
      <c r="RJI742" s="124"/>
      <c r="RJJ742" s="124"/>
      <c r="RJK742" s="124"/>
      <c r="RJL742" s="124"/>
      <c r="RJM742" s="124"/>
      <c r="RJN742" s="124"/>
      <c r="RJO742" s="124"/>
      <c r="RJP742" s="124"/>
      <c r="RJQ742" s="124"/>
      <c r="RJR742" s="124"/>
      <c r="RJS742" s="124"/>
      <c r="RJT742" s="124"/>
      <c r="RJU742" s="124"/>
      <c r="RJV742" s="124"/>
      <c r="RJW742" s="124"/>
      <c r="RJX742" s="124"/>
      <c r="RJY742" s="124"/>
      <c r="RJZ742" s="124"/>
      <c r="RKA742" s="124"/>
      <c r="RKB742" s="124"/>
      <c r="RKC742" s="124"/>
      <c r="RKD742" s="124"/>
      <c r="RKE742" s="124"/>
      <c r="RKF742" s="124"/>
      <c r="RKG742" s="124"/>
      <c r="RKH742" s="124"/>
      <c r="RKI742" s="124"/>
      <c r="RKJ742" s="124"/>
      <c r="RKK742" s="124"/>
      <c r="RKL742" s="124"/>
      <c r="RKM742" s="124"/>
      <c r="RKN742" s="124"/>
      <c r="RKO742" s="124"/>
      <c r="RKP742" s="124"/>
      <c r="RKQ742" s="124"/>
      <c r="RKR742" s="124"/>
      <c r="RKS742" s="124"/>
      <c r="RKT742" s="124"/>
      <c r="RKU742" s="124"/>
      <c r="RKV742" s="124"/>
      <c r="RKW742" s="124"/>
      <c r="RKX742" s="124"/>
      <c r="RKY742" s="124"/>
      <c r="RKZ742" s="124"/>
      <c r="RLA742" s="124"/>
      <c r="RLB742" s="124"/>
      <c r="RLC742" s="124"/>
      <c r="RLD742" s="124"/>
      <c r="RLE742" s="124"/>
      <c r="RLF742" s="124"/>
      <c r="RLG742" s="124"/>
      <c r="RLH742" s="124"/>
      <c r="RLI742" s="124"/>
      <c r="RLJ742" s="124"/>
      <c r="RLK742" s="124"/>
      <c r="RLL742" s="124"/>
      <c r="RLM742" s="124"/>
      <c r="RLN742" s="124"/>
      <c r="RLO742" s="124"/>
      <c r="RLP742" s="124"/>
      <c r="RLQ742" s="124"/>
      <c r="RLR742" s="124"/>
      <c r="RLS742" s="124"/>
      <c r="RLT742" s="124"/>
      <c r="RLU742" s="124"/>
      <c r="RLV742" s="124"/>
      <c r="RLW742" s="124"/>
      <c r="RLX742" s="124"/>
      <c r="RLY742" s="124"/>
      <c r="RLZ742" s="124"/>
      <c r="RMA742" s="124"/>
      <c r="RMB742" s="124"/>
      <c r="RMC742" s="124"/>
      <c r="RMD742" s="124"/>
      <c r="RME742" s="124"/>
      <c r="RMF742" s="124"/>
      <c r="RMG742" s="124"/>
      <c r="RMH742" s="124"/>
      <c r="RMI742" s="124"/>
      <c r="RMJ742" s="124"/>
      <c r="RMK742" s="124"/>
      <c r="RML742" s="124"/>
      <c r="RMM742" s="124"/>
      <c r="RMN742" s="124"/>
      <c r="RMO742" s="124"/>
      <c r="RMP742" s="124"/>
      <c r="RMQ742" s="124"/>
      <c r="RMR742" s="124"/>
      <c r="RMS742" s="124"/>
      <c r="RMT742" s="124"/>
      <c r="RMU742" s="124"/>
      <c r="RMV742" s="124"/>
      <c r="RMW742" s="124"/>
      <c r="RMX742" s="124"/>
      <c r="RMY742" s="124"/>
      <c r="RMZ742" s="124"/>
      <c r="RNA742" s="124"/>
      <c r="RNB742" s="124"/>
      <c r="RNC742" s="124"/>
      <c r="RND742" s="124"/>
      <c r="RNE742" s="124"/>
      <c r="RNF742" s="124"/>
      <c r="RNG742" s="124"/>
      <c r="RNH742" s="124"/>
      <c r="RNI742" s="124"/>
      <c r="RNJ742" s="124"/>
      <c r="RNK742" s="124"/>
      <c r="RNL742" s="124"/>
      <c r="RNM742" s="124"/>
      <c r="RNN742" s="124"/>
      <c r="RNO742" s="124"/>
      <c r="RNP742" s="124"/>
      <c r="RNQ742" s="124"/>
      <c r="RNR742" s="124"/>
      <c r="RNS742" s="124"/>
      <c r="RNT742" s="124"/>
      <c r="RNU742" s="124"/>
      <c r="RNV742" s="124"/>
      <c r="RNW742" s="124"/>
      <c r="RNX742" s="124"/>
      <c r="RNY742" s="124"/>
      <c r="RNZ742" s="124"/>
      <c r="ROA742" s="124"/>
      <c r="ROB742" s="124"/>
      <c r="ROC742" s="124"/>
      <c r="ROD742" s="124"/>
      <c r="ROE742" s="124"/>
      <c r="ROF742" s="124"/>
      <c r="ROG742" s="124"/>
      <c r="ROH742" s="124"/>
      <c r="ROI742" s="124"/>
      <c r="ROJ742" s="124"/>
      <c r="ROK742" s="124"/>
      <c r="ROL742" s="124"/>
      <c r="ROM742" s="124"/>
      <c r="RON742" s="124"/>
      <c r="ROO742" s="124"/>
      <c r="ROP742" s="124"/>
      <c r="ROQ742" s="124"/>
      <c r="ROR742" s="124"/>
      <c r="ROS742" s="124"/>
      <c r="ROT742" s="124"/>
      <c r="ROU742" s="124"/>
      <c r="ROV742" s="124"/>
      <c r="ROW742" s="124"/>
      <c r="ROX742" s="124"/>
      <c r="ROY742" s="124"/>
      <c r="ROZ742" s="124"/>
      <c r="RPA742" s="124"/>
      <c r="RPB742" s="124"/>
      <c r="RPC742" s="124"/>
      <c r="RPD742" s="124"/>
      <c r="RPE742" s="124"/>
      <c r="RPF742" s="124"/>
      <c r="RPG742" s="124"/>
      <c r="RPH742" s="124"/>
      <c r="RPI742" s="124"/>
      <c r="RPJ742" s="124"/>
      <c r="RPK742" s="124"/>
      <c r="RPL742" s="124"/>
      <c r="RPM742" s="124"/>
      <c r="RPN742" s="124"/>
      <c r="RPO742" s="124"/>
      <c r="RPP742" s="124"/>
      <c r="RPQ742" s="124"/>
      <c r="RPR742" s="124"/>
      <c r="RPS742" s="124"/>
      <c r="RPT742" s="124"/>
      <c r="RPU742" s="124"/>
      <c r="RPV742" s="124"/>
      <c r="RPW742" s="124"/>
      <c r="RPX742" s="124"/>
      <c r="RPY742" s="124"/>
      <c r="RPZ742" s="124"/>
      <c r="RQA742" s="124"/>
      <c r="RQB742" s="124"/>
      <c r="RQC742" s="124"/>
      <c r="RQD742" s="124"/>
      <c r="RQE742" s="124"/>
      <c r="RQF742" s="124"/>
      <c r="RQG742" s="124"/>
      <c r="RQH742" s="124"/>
      <c r="RQI742" s="124"/>
      <c r="RQJ742" s="124"/>
      <c r="RQK742" s="124"/>
      <c r="RQL742" s="124"/>
      <c r="RQM742" s="124"/>
      <c r="RQN742" s="124"/>
      <c r="RQO742" s="124"/>
      <c r="RQP742" s="124"/>
      <c r="RQQ742" s="124"/>
      <c r="RQR742" s="124"/>
      <c r="RQS742" s="124"/>
      <c r="RQT742" s="124"/>
      <c r="RQU742" s="124"/>
      <c r="RQV742" s="124"/>
      <c r="RQW742" s="124"/>
      <c r="RQX742" s="124"/>
      <c r="RQY742" s="124"/>
      <c r="RQZ742" s="124"/>
      <c r="RRA742" s="124"/>
      <c r="RRB742" s="124"/>
      <c r="RRC742" s="124"/>
      <c r="RRD742" s="124"/>
      <c r="RRE742" s="124"/>
      <c r="RRF742" s="124"/>
      <c r="RRG742" s="124"/>
      <c r="RRH742" s="124"/>
      <c r="RRI742" s="124"/>
      <c r="RRJ742" s="124"/>
      <c r="RRK742" s="124"/>
      <c r="RRL742" s="124"/>
      <c r="RRM742" s="124"/>
      <c r="RRN742" s="124"/>
      <c r="RRO742" s="124"/>
      <c r="RRP742" s="124"/>
      <c r="RRQ742" s="124"/>
      <c r="RRR742" s="124"/>
      <c r="RRS742" s="124"/>
      <c r="RRT742" s="124"/>
      <c r="RRU742" s="124"/>
      <c r="RRV742" s="124"/>
      <c r="RRW742" s="124"/>
      <c r="RRX742" s="124"/>
      <c r="RRY742" s="124"/>
      <c r="RRZ742" s="124"/>
      <c r="RSA742" s="124"/>
      <c r="RSB742" s="124"/>
      <c r="RSC742" s="124"/>
      <c r="RSD742" s="124"/>
      <c r="RSE742" s="124"/>
      <c r="RSF742" s="124"/>
      <c r="RSG742" s="124"/>
      <c r="RSH742" s="124"/>
      <c r="RSI742" s="124"/>
      <c r="RSJ742" s="124"/>
      <c r="RSK742" s="124"/>
      <c r="RSL742" s="124"/>
      <c r="RSM742" s="124"/>
      <c r="RSN742" s="124"/>
      <c r="RSO742" s="124"/>
      <c r="RSP742" s="124"/>
      <c r="RSQ742" s="124"/>
      <c r="RSR742" s="124"/>
      <c r="RSS742" s="124"/>
      <c r="RST742" s="124"/>
      <c r="RSU742" s="124"/>
      <c r="RSV742" s="124"/>
      <c r="RSW742" s="124"/>
      <c r="RSX742" s="124"/>
      <c r="RSY742" s="124"/>
      <c r="RSZ742" s="124"/>
      <c r="RTA742" s="124"/>
      <c r="RTB742" s="124"/>
      <c r="RTC742" s="124"/>
      <c r="RTD742" s="124"/>
      <c r="RTE742" s="124"/>
      <c r="RTF742" s="124"/>
      <c r="RTG742" s="124"/>
      <c r="RTH742" s="124"/>
      <c r="RTI742" s="124"/>
      <c r="RTJ742" s="124"/>
      <c r="RTK742" s="124"/>
      <c r="RTL742" s="124"/>
      <c r="RTM742" s="124"/>
      <c r="RTN742" s="124"/>
      <c r="RTO742" s="124"/>
      <c r="RTP742" s="124"/>
      <c r="RTQ742" s="124"/>
      <c r="RTR742" s="124"/>
      <c r="RTS742" s="124"/>
      <c r="RTT742" s="124"/>
      <c r="RTU742" s="124"/>
      <c r="RTV742" s="124"/>
      <c r="RTW742" s="124"/>
      <c r="RTX742" s="124"/>
      <c r="RTY742" s="124"/>
      <c r="RTZ742" s="124"/>
      <c r="RUA742" s="124"/>
      <c r="RUB742" s="124"/>
      <c r="RUC742" s="124"/>
      <c r="RUD742" s="124"/>
      <c r="RUE742" s="124"/>
      <c r="RUF742" s="124"/>
      <c r="RUG742" s="124"/>
      <c r="RUH742" s="124"/>
      <c r="RUI742" s="124"/>
      <c r="RUJ742" s="124"/>
      <c r="RUK742" s="124"/>
      <c r="RUL742" s="124"/>
      <c r="RUM742" s="124"/>
      <c r="RUN742" s="124"/>
      <c r="RUO742" s="124"/>
      <c r="RUP742" s="124"/>
      <c r="RUQ742" s="124"/>
      <c r="RUR742" s="124"/>
      <c r="RUS742" s="124"/>
      <c r="RUT742" s="124"/>
      <c r="RUU742" s="124"/>
      <c r="RUV742" s="124"/>
      <c r="RUW742" s="124"/>
      <c r="RUX742" s="124"/>
      <c r="RUY742" s="124"/>
      <c r="RUZ742" s="124"/>
      <c r="RVA742" s="124"/>
      <c r="RVB742" s="124"/>
      <c r="RVC742" s="124"/>
      <c r="RVD742" s="124"/>
      <c r="RVE742" s="124"/>
      <c r="RVF742" s="124"/>
      <c r="RVG742" s="124"/>
      <c r="RVH742" s="124"/>
      <c r="RVI742" s="124"/>
      <c r="RVJ742" s="124"/>
      <c r="RVK742" s="124"/>
      <c r="RVL742" s="124"/>
      <c r="RVM742" s="124"/>
      <c r="RVN742" s="124"/>
      <c r="RVO742" s="124"/>
      <c r="RVP742" s="124"/>
      <c r="RVQ742" s="124"/>
      <c r="RVR742" s="124"/>
      <c r="RVS742" s="124"/>
      <c r="RVT742" s="124"/>
      <c r="RVU742" s="124"/>
      <c r="RVV742" s="124"/>
      <c r="RVW742" s="124"/>
      <c r="RVX742" s="124"/>
      <c r="RVY742" s="124"/>
      <c r="RVZ742" s="124"/>
      <c r="RWA742" s="124"/>
      <c r="RWB742" s="124"/>
      <c r="RWC742" s="124"/>
      <c r="RWD742" s="124"/>
      <c r="RWE742" s="124"/>
      <c r="RWF742" s="124"/>
      <c r="RWG742" s="124"/>
      <c r="RWH742" s="124"/>
      <c r="RWI742" s="124"/>
      <c r="RWJ742" s="124"/>
      <c r="RWK742" s="124"/>
      <c r="RWL742" s="124"/>
      <c r="RWM742" s="124"/>
      <c r="RWN742" s="124"/>
      <c r="RWO742" s="124"/>
      <c r="RWP742" s="124"/>
      <c r="RWQ742" s="124"/>
      <c r="RWR742" s="124"/>
      <c r="RWS742" s="124"/>
      <c r="RWT742" s="124"/>
      <c r="RWU742" s="124"/>
      <c r="RWV742" s="124"/>
      <c r="RWW742" s="124"/>
      <c r="RWX742" s="124"/>
      <c r="RWY742" s="124"/>
      <c r="RWZ742" s="124"/>
      <c r="RXA742" s="124"/>
      <c r="RXB742" s="124"/>
      <c r="RXC742" s="124"/>
      <c r="RXD742" s="124"/>
      <c r="RXE742" s="124"/>
      <c r="RXF742" s="124"/>
      <c r="RXG742" s="124"/>
      <c r="RXH742" s="124"/>
      <c r="RXI742" s="124"/>
      <c r="RXJ742" s="124"/>
      <c r="RXK742" s="124"/>
      <c r="RXL742" s="124"/>
      <c r="RXM742" s="124"/>
      <c r="RXN742" s="124"/>
      <c r="RXO742" s="124"/>
      <c r="RXP742" s="124"/>
      <c r="RXQ742" s="124"/>
      <c r="RXR742" s="124"/>
      <c r="RXS742" s="124"/>
      <c r="RXT742" s="124"/>
      <c r="RXU742" s="124"/>
      <c r="RXV742" s="124"/>
      <c r="RXW742" s="124"/>
      <c r="RXX742" s="124"/>
      <c r="RXY742" s="124"/>
      <c r="RXZ742" s="124"/>
      <c r="RYA742" s="124"/>
      <c r="RYB742" s="124"/>
      <c r="RYC742" s="124"/>
      <c r="RYD742" s="124"/>
      <c r="RYE742" s="124"/>
      <c r="RYF742" s="124"/>
      <c r="RYG742" s="124"/>
      <c r="RYH742" s="124"/>
      <c r="RYI742" s="124"/>
      <c r="RYJ742" s="124"/>
      <c r="RYK742" s="124"/>
      <c r="RYL742" s="124"/>
      <c r="RYM742" s="124"/>
      <c r="RYN742" s="124"/>
      <c r="RYO742" s="124"/>
      <c r="RYP742" s="124"/>
      <c r="RYQ742" s="124"/>
      <c r="RYR742" s="124"/>
      <c r="RYS742" s="124"/>
      <c r="RYT742" s="124"/>
      <c r="RYU742" s="124"/>
      <c r="RYV742" s="124"/>
      <c r="RYW742" s="124"/>
      <c r="RYX742" s="124"/>
      <c r="RYY742" s="124"/>
      <c r="RYZ742" s="124"/>
      <c r="RZA742" s="124"/>
      <c r="RZB742" s="124"/>
      <c r="RZC742" s="124"/>
      <c r="RZD742" s="124"/>
      <c r="RZE742" s="124"/>
      <c r="RZF742" s="124"/>
      <c r="RZG742" s="124"/>
      <c r="RZH742" s="124"/>
      <c r="RZI742" s="124"/>
      <c r="RZJ742" s="124"/>
      <c r="RZK742" s="124"/>
      <c r="RZL742" s="124"/>
      <c r="RZM742" s="124"/>
      <c r="RZN742" s="124"/>
      <c r="RZO742" s="124"/>
      <c r="RZP742" s="124"/>
      <c r="RZQ742" s="124"/>
      <c r="RZR742" s="124"/>
      <c r="RZS742" s="124"/>
      <c r="RZT742" s="124"/>
      <c r="RZU742" s="124"/>
      <c r="RZV742" s="124"/>
      <c r="RZW742" s="124"/>
      <c r="RZX742" s="124"/>
      <c r="RZY742" s="124"/>
      <c r="RZZ742" s="124"/>
      <c r="SAA742" s="124"/>
      <c r="SAB742" s="124"/>
      <c r="SAC742" s="124"/>
      <c r="SAD742" s="124"/>
      <c r="SAE742" s="124"/>
      <c r="SAF742" s="124"/>
      <c r="SAG742" s="124"/>
      <c r="SAH742" s="124"/>
      <c r="SAI742" s="124"/>
      <c r="SAJ742" s="124"/>
      <c r="SAK742" s="124"/>
      <c r="SAL742" s="124"/>
      <c r="SAM742" s="124"/>
      <c r="SAN742" s="124"/>
      <c r="SAO742" s="124"/>
      <c r="SAP742" s="124"/>
      <c r="SAQ742" s="124"/>
      <c r="SAR742" s="124"/>
      <c r="SAS742" s="124"/>
      <c r="SAT742" s="124"/>
      <c r="SAU742" s="124"/>
      <c r="SAV742" s="124"/>
      <c r="SAW742" s="124"/>
      <c r="SAX742" s="124"/>
      <c r="SAY742" s="124"/>
      <c r="SAZ742" s="124"/>
      <c r="SBA742" s="124"/>
      <c r="SBB742" s="124"/>
      <c r="SBC742" s="124"/>
      <c r="SBD742" s="124"/>
      <c r="SBE742" s="124"/>
      <c r="SBF742" s="124"/>
      <c r="SBG742" s="124"/>
      <c r="SBH742" s="124"/>
      <c r="SBI742" s="124"/>
      <c r="SBJ742" s="124"/>
      <c r="SBK742" s="124"/>
      <c r="SBL742" s="124"/>
      <c r="SBM742" s="124"/>
      <c r="SBN742" s="124"/>
      <c r="SBO742" s="124"/>
      <c r="SBP742" s="124"/>
      <c r="SBQ742" s="124"/>
      <c r="SBR742" s="124"/>
      <c r="SBS742" s="124"/>
      <c r="SBT742" s="124"/>
      <c r="SBU742" s="124"/>
      <c r="SBV742" s="124"/>
      <c r="SBW742" s="124"/>
      <c r="SBX742" s="124"/>
      <c r="SBY742" s="124"/>
      <c r="SBZ742" s="124"/>
      <c r="SCA742" s="124"/>
      <c r="SCB742" s="124"/>
      <c r="SCC742" s="124"/>
      <c r="SCD742" s="124"/>
      <c r="SCE742" s="124"/>
      <c r="SCF742" s="124"/>
      <c r="SCG742" s="124"/>
      <c r="SCH742" s="124"/>
      <c r="SCI742" s="124"/>
      <c r="SCJ742" s="124"/>
      <c r="SCK742" s="124"/>
      <c r="SCL742" s="124"/>
      <c r="SCM742" s="124"/>
      <c r="SCN742" s="124"/>
      <c r="SCO742" s="124"/>
      <c r="SCP742" s="124"/>
      <c r="SCQ742" s="124"/>
      <c r="SCR742" s="124"/>
      <c r="SCS742" s="124"/>
      <c r="SCT742" s="124"/>
      <c r="SCU742" s="124"/>
      <c r="SCV742" s="124"/>
      <c r="SCW742" s="124"/>
      <c r="SCX742" s="124"/>
      <c r="SCY742" s="124"/>
      <c r="SCZ742" s="124"/>
      <c r="SDA742" s="124"/>
      <c r="SDB742" s="124"/>
      <c r="SDC742" s="124"/>
      <c r="SDD742" s="124"/>
      <c r="SDE742" s="124"/>
      <c r="SDF742" s="124"/>
      <c r="SDG742" s="124"/>
      <c r="SDH742" s="124"/>
      <c r="SDI742" s="124"/>
      <c r="SDJ742" s="124"/>
      <c r="SDK742" s="124"/>
      <c r="SDL742" s="124"/>
      <c r="SDM742" s="124"/>
      <c r="SDN742" s="124"/>
      <c r="SDO742" s="124"/>
      <c r="SDP742" s="124"/>
      <c r="SDQ742" s="124"/>
      <c r="SDR742" s="124"/>
      <c r="SDS742" s="124"/>
      <c r="SDT742" s="124"/>
      <c r="SDU742" s="124"/>
      <c r="SDV742" s="124"/>
      <c r="SDW742" s="124"/>
      <c r="SDX742" s="124"/>
      <c r="SDY742" s="124"/>
      <c r="SDZ742" s="124"/>
      <c r="SEA742" s="124"/>
      <c r="SEB742" s="124"/>
      <c r="SEC742" s="124"/>
      <c r="SED742" s="124"/>
      <c r="SEE742" s="124"/>
      <c r="SEF742" s="124"/>
      <c r="SEG742" s="124"/>
      <c r="SEH742" s="124"/>
      <c r="SEI742" s="124"/>
      <c r="SEJ742" s="124"/>
      <c r="SEK742" s="124"/>
      <c r="SEL742" s="124"/>
      <c r="SEM742" s="124"/>
      <c r="SEN742" s="124"/>
      <c r="SEO742" s="124"/>
      <c r="SEP742" s="124"/>
      <c r="SEQ742" s="124"/>
      <c r="SER742" s="124"/>
      <c r="SES742" s="124"/>
      <c r="SET742" s="124"/>
      <c r="SEU742" s="124"/>
      <c r="SEV742" s="124"/>
      <c r="SEW742" s="124"/>
      <c r="SEX742" s="124"/>
      <c r="SEY742" s="124"/>
      <c r="SEZ742" s="124"/>
      <c r="SFA742" s="124"/>
      <c r="SFB742" s="124"/>
      <c r="SFC742" s="124"/>
      <c r="SFD742" s="124"/>
      <c r="SFE742" s="124"/>
      <c r="SFF742" s="124"/>
      <c r="SFG742" s="124"/>
      <c r="SFH742" s="124"/>
      <c r="SFI742" s="124"/>
      <c r="SFJ742" s="124"/>
      <c r="SFK742" s="124"/>
      <c r="SFL742" s="124"/>
      <c r="SFM742" s="124"/>
      <c r="SFN742" s="124"/>
      <c r="SFO742" s="124"/>
      <c r="SFP742" s="124"/>
      <c r="SFQ742" s="124"/>
      <c r="SFR742" s="124"/>
      <c r="SFS742" s="124"/>
      <c r="SFT742" s="124"/>
      <c r="SFU742" s="124"/>
      <c r="SFV742" s="124"/>
      <c r="SFW742" s="124"/>
      <c r="SFX742" s="124"/>
      <c r="SFY742" s="124"/>
      <c r="SFZ742" s="124"/>
      <c r="SGA742" s="124"/>
      <c r="SGB742" s="124"/>
      <c r="SGC742" s="124"/>
      <c r="SGD742" s="124"/>
      <c r="SGE742" s="124"/>
      <c r="SGF742" s="124"/>
      <c r="SGG742" s="124"/>
      <c r="SGH742" s="124"/>
      <c r="SGI742" s="124"/>
      <c r="SGJ742" s="124"/>
      <c r="SGK742" s="124"/>
      <c r="SGL742" s="124"/>
      <c r="SGM742" s="124"/>
      <c r="SGN742" s="124"/>
      <c r="SGO742" s="124"/>
      <c r="SGP742" s="124"/>
      <c r="SGQ742" s="124"/>
      <c r="SGR742" s="124"/>
      <c r="SGS742" s="124"/>
      <c r="SGT742" s="124"/>
      <c r="SGU742" s="124"/>
      <c r="SGV742" s="124"/>
      <c r="SGW742" s="124"/>
      <c r="SGX742" s="124"/>
      <c r="SGY742" s="124"/>
      <c r="SGZ742" s="124"/>
      <c r="SHA742" s="124"/>
      <c r="SHB742" s="124"/>
      <c r="SHC742" s="124"/>
      <c r="SHD742" s="124"/>
      <c r="SHE742" s="124"/>
      <c r="SHF742" s="124"/>
      <c r="SHG742" s="124"/>
      <c r="SHH742" s="124"/>
      <c r="SHI742" s="124"/>
      <c r="SHJ742" s="124"/>
      <c r="SHK742" s="124"/>
      <c r="SHL742" s="124"/>
      <c r="SHM742" s="124"/>
      <c r="SHN742" s="124"/>
      <c r="SHO742" s="124"/>
      <c r="SHP742" s="124"/>
      <c r="SHQ742" s="124"/>
      <c r="SHR742" s="124"/>
      <c r="SHS742" s="124"/>
      <c r="SHT742" s="124"/>
      <c r="SHU742" s="124"/>
      <c r="SHV742" s="124"/>
      <c r="SHW742" s="124"/>
      <c r="SHX742" s="124"/>
      <c r="SHY742" s="124"/>
      <c r="SHZ742" s="124"/>
      <c r="SIA742" s="124"/>
      <c r="SIB742" s="124"/>
      <c r="SIC742" s="124"/>
      <c r="SID742" s="124"/>
      <c r="SIE742" s="124"/>
      <c r="SIF742" s="124"/>
      <c r="SIG742" s="124"/>
      <c r="SIH742" s="124"/>
      <c r="SII742" s="124"/>
      <c r="SIJ742" s="124"/>
      <c r="SIK742" s="124"/>
      <c r="SIL742" s="124"/>
      <c r="SIM742" s="124"/>
      <c r="SIN742" s="124"/>
      <c r="SIO742" s="124"/>
      <c r="SIP742" s="124"/>
      <c r="SIQ742" s="124"/>
      <c r="SIR742" s="124"/>
      <c r="SIS742" s="124"/>
      <c r="SIT742" s="124"/>
      <c r="SIU742" s="124"/>
      <c r="SIV742" s="124"/>
      <c r="SIW742" s="124"/>
      <c r="SIX742" s="124"/>
      <c r="SIY742" s="124"/>
      <c r="SIZ742" s="124"/>
      <c r="SJA742" s="124"/>
      <c r="SJB742" s="124"/>
      <c r="SJC742" s="124"/>
      <c r="SJD742" s="124"/>
      <c r="SJE742" s="124"/>
      <c r="SJF742" s="124"/>
      <c r="SJG742" s="124"/>
      <c r="SJH742" s="124"/>
      <c r="SJI742" s="124"/>
      <c r="SJJ742" s="124"/>
      <c r="SJK742" s="124"/>
      <c r="SJL742" s="124"/>
      <c r="SJM742" s="124"/>
      <c r="SJN742" s="124"/>
      <c r="SJO742" s="124"/>
      <c r="SJP742" s="124"/>
      <c r="SJQ742" s="124"/>
      <c r="SJR742" s="124"/>
      <c r="SJS742" s="124"/>
      <c r="SJT742" s="124"/>
      <c r="SJU742" s="124"/>
      <c r="SJV742" s="124"/>
      <c r="SJW742" s="124"/>
      <c r="SJX742" s="124"/>
      <c r="SJY742" s="124"/>
      <c r="SJZ742" s="124"/>
      <c r="SKA742" s="124"/>
      <c r="SKB742" s="124"/>
      <c r="SKC742" s="124"/>
      <c r="SKD742" s="124"/>
      <c r="SKE742" s="124"/>
      <c r="SKF742" s="124"/>
      <c r="SKG742" s="124"/>
      <c r="SKH742" s="124"/>
      <c r="SKI742" s="124"/>
      <c r="SKJ742" s="124"/>
      <c r="SKK742" s="124"/>
      <c r="SKL742" s="124"/>
      <c r="SKM742" s="124"/>
      <c r="SKN742" s="124"/>
      <c r="SKO742" s="124"/>
      <c r="SKP742" s="124"/>
      <c r="SKQ742" s="124"/>
      <c r="SKR742" s="124"/>
      <c r="SKS742" s="124"/>
      <c r="SKT742" s="124"/>
      <c r="SKU742" s="124"/>
      <c r="SKV742" s="124"/>
      <c r="SKW742" s="124"/>
      <c r="SKX742" s="124"/>
      <c r="SKY742" s="124"/>
      <c r="SKZ742" s="124"/>
      <c r="SLA742" s="124"/>
      <c r="SLB742" s="124"/>
      <c r="SLC742" s="124"/>
      <c r="SLD742" s="124"/>
      <c r="SLE742" s="124"/>
      <c r="SLF742" s="124"/>
      <c r="SLG742" s="124"/>
      <c r="SLH742" s="124"/>
      <c r="SLI742" s="124"/>
      <c r="SLJ742" s="124"/>
      <c r="SLK742" s="124"/>
      <c r="SLL742" s="124"/>
      <c r="SLM742" s="124"/>
      <c r="SLN742" s="124"/>
      <c r="SLO742" s="124"/>
      <c r="SLP742" s="124"/>
      <c r="SLQ742" s="124"/>
      <c r="SLR742" s="124"/>
      <c r="SLS742" s="124"/>
      <c r="SLT742" s="124"/>
      <c r="SLU742" s="124"/>
      <c r="SLV742" s="124"/>
      <c r="SLW742" s="124"/>
      <c r="SLX742" s="124"/>
      <c r="SLY742" s="124"/>
      <c r="SLZ742" s="124"/>
      <c r="SMA742" s="124"/>
      <c r="SMB742" s="124"/>
      <c r="SMC742" s="124"/>
      <c r="SMD742" s="124"/>
      <c r="SME742" s="124"/>
      <c r="SMF742" s="124"/>
      <c r="SMG742" s="124"/>
      <c r="SMH742" s="124"/>
      <c r="SMI742" s="124"/>
      <c r="SMJ742" s="124"/>
      <c r="SMK742" s="124"/>
      <c r="SML742" s="124"/>
      <c r="SMM742" s="124"/>
      <c r="SMN742" s="124"/>
      <c r="SMO742" s="124"/>
      <c r="SMP742" s="124"/>
      <c r="SMQ742" s="124"/>
      <c r="SMR742" s="124"/>
      <c r="SMS742" s="124"/>
      <c r="SMT742" s="124"/>
      <c r="SMU742" s="124"/>
      <c r="SMV742" s="124"/>
      <c r="SMW742" s="124"/>
      <c r="SMX742" s="124"/>
      <c r="SMY742" s="124"/>
      <c r="SMZ742" s="124"/>
      <c r="SNA742" s="124"/>
      <c r="SNB742" s="124"/>
      <c r="SNC742" s="124"/>
      <c r="SND742" s="124"/>
      <c r="SNE742" s="124"/>
      <c r="SNF742" s="124"/>
      <c r="SNG742" s="124"/>
      <c r="SNH742" s="124"/>
      <c r="SNI742" s="124"/>
      <c r="SNJ742" s="124"/>
      <c r="SNK742" s="124"/>
      <c r="SNL742" s="124"/>
      <c r="SNM742" s="124"/>
      <c r="SNN742" s="124"/>
      <c r="SNO742" s="124"/>
      <c r="SNP742" s="124"/>
      <c r="SNQ742" s="124"/>
      <c r="SNR742" s="124"/>
      <c r="SNS742" s="124"/>
      <c r="SNT742" s="124"/>
      <c r="SNU742" s="124"/>
      <c r="SNV742" s="124"/>
      <c r="SNW742" s="124"/>
      <c r="SNX742" s="124"/>
      <c r="SNY742" s="124"/>
      <c r="SNZ742" s="124"/>
      <c r="SOA742" s="124"/>
      <c r="SOB742" s="124"/>
      <c r="SOC742" s="124"/>
      <c r="SOD742" s="124"/>
      <c r="SOE742" s="124"/>
      <c r="SOF742" s="124"/>
      <c r="SOG742" s="124"/>
      <c r="SOH742" s="124"/>
      <c r="SOI742" s="124"/>
      <c r="SOJ742" s="124"/>
      <c r="SOK742" s="124"/>
      <c r="SOL742" s="124"/>
      <c r="SOM742" s="124"/>
      <c r="SON742" s="124"/>
      <c r="SOO742" s="124"/>
      <c r="SOP742" s="124"/>
      <c r="SOQ742" s="124"/>
      <c r="SOR742" s="124"/>
      <c r="SOS742" s="124"/>
      <c r="SOT742" s="124"/>
      <c r="SOU742" s="124"/>
      <c r="SOV742" s="124"/>
      <c r="SOW742" s="124"/>
      <c r="SOX742" s="124"/>
      <c r="SOY742" s="124"/>
      <c r="SOZ742" s="124"/>
      <c r="SPA742" s="124"/>
      <c r="SPB742" s="124"/>
      <c r="SPC742" s="124"/>
      <c r="SPD742" s="124"/>
      <c r="SPE742" s="124"/>
      <c r="SPF742" s="124"/>
      <c r="SPG742" s="124"/>
      <c r="SPH742" s="124"/>
      <c r="SPI742" s="124"/>
      <c r="SPJ742" s="124"/>
      <c r="SPK742" s="124"/>
      <c r="SPL742" s="124"/>
      <c r="SPM742" s="124"/>
      <c r="SPN742" s="124"/>
      <c r="SPO742" s="124"/>
      <c r="SPP742" s="124"/>
      <c r="SPQ742" s="124"/>
      <c r="SPR742" s="124"/>
      <c r="SPS742" s="124"/>
      <c r="SPT742" s="124"/>
      <c r="SPU742" s="124"/>
      <c r="SPV742" s="124"/>
      <c r="SPW742" s="124"/>
      <c r="SPX742" s="124"/>
      <c r="SPY742" s="124"/>
      <c r="SPZ742" s="124"/>
      <c r="SQA742" s="124"/>
      <c r="SQB742" s="124"/>
      <c r="SQC742" s="124"/>
      <c r="SQD742" s="124"/>
      <c r="SQE742" s="124"/>
      <c r="SQF742" s="124"/>
      <c r="SQG742" s="124"/>
      <c r="SQH742" s="124"/>
      <c r="SQI742" s="124"/>
      <c r="SQJ742" s="124"/>
      <c r="SQK742" s="124"/>
      <c r="SQL742" s="124"/>
      <c r="SQM742" s="124"/>
      <c r="SQN742" s="124"/>
      <c r="SQO742" s="124"/>
      <c r="SQP742" s="124"/>
      <c r="SQQ742" s="124"/>
      <c r="SQR742" s="124"/>
      <c r="SQS742" s="124"/>
      <c r="SQT742" s="124"/>
      <c r="SQU742" s="124"/>
      <c r="SQV742" s="124"/>
      <c r="SQW742" s="124"/>
      <c r="SQX742" s="124"/>
      <c r="SQY742" s="124"/>
      <c r="SQZ742" s="124"/>
      <c r="SRA742" s="124"/>
      <c r="SRB742" s="124"/>
      <c r="SRC742" s="124"/>
      <c r="SRD742" s="124"/>
      <c r="SRE742" s="124"/>
      <c r="SRF742" s="124"/>
      <c r="SRG742" s="124"/>
      <c r="SRH742" s="124"/>
      <c r="SRI742" s="124"/>
      <c r="SRJ742" s="124"/>
      <c r="SRK742" s="124"/>
      <c r="SRL742" s="124"/>
      <c r="SRM742" s="124"/>
      <c r="SRN742" s="124"/>
      <c r="SRO742" s="124"/>
      <c r="SRP742" s="124"/>
      <c r="SRQ742" s="124"/>
      <c r="SRR742" s="124"/>
      <c r="SRS742" s="124"/>
      <c r="SRT742" s="124"/>
      <c r="SRU742" s="124"/>
      <c r="SRV742" s="124"/>
      <c r="SRW742" s="124"/>
      <c r="SRX742" s="124"/>
      <c r="SRY742" s="124"/>
      <c r="SRZ742" s="124"/>
      <c r="SSA742" s="124"/>
      <c r="SSB742" s="124"/>
      <c r="SSC742" s="124"/>
      <c r="SSD742" s="124"/>
      <c r="SSE742" s="124"/>
      <c r="SSF742" s="124"/>
      <c r="SSG742" s="124"/>
      <c r="SSH742" s="124"/>
      <c r="SSI742" s="124"/>
      <c r="SSJ742" s="124"/>
      <c r="SSK742" s="124"/>
      <c r="SSL742" s="124"/>
      <c r="SSM742" s="124"/>
      <c r="SSN742" s="124"/>
      <c r="SSO742" s="124"/>
      <c r="SSP742" s="124"/>
      <c r="SSQ742" s="124"/>
      <c r="SSR742" s="124"/>
      <c r="SSS742" s="124"/>
      <c r="SST742" s="124"/>
      <c r="SSU742" s="124"/>
      <c r="SSV742" s="124"/>
      <c r="SSW742" s="124"/>
      <c r="SSX742" s="124"/>
      <c r="SSY742" s="124"/>
      <c r="SSZ742" s="124"/>
      <c r="STA742" s="124"/>
      <c r="STB742" s="124"/>
      <c r="STC742" s="124"/>
      <c r="STD742" s="124"/>
      <c r="STE742" s="124"/>
      <c r="STF742" s="124"/>
      <c r="STG742" s="124"/>
      <c r="STH742" s="124"/>
      <c r="STI742" s="124"/>
      <c r="STJ742" s="124"/>
      <c r="STK742" s="124"/>
      <c r="STL742" s="124"/>
      <c r="STM742" s="124"/>
      <c r="STN742" s="124"/>
      <c r="STO742" s="124"/>
      <c r="STP742" s="124"/>
      <c r="STQ742" s="124"/>
      <c r="STR742" s="124"/>
      <c r="STS742" s="124"/>
      <c r="STT742" s="124"/>
      <c r="STU742" s="124"/>
      <c r="STV742" s="124"/>
      <c r="STW742" s="124"/>
      <c r="STX742" s="124"/>
      <c r="STY742" s="124"/>
      <c r="STZ742" s="124"/>
      <c r="SUA742" s="124"/>
      <c r="SUB742" s="124"/>
      <c r="SUC742" s="124"/>
      <c r="SUD742" s="124"/>
      <c r="SUE742" s="124"/>
      <c r="SUF742" s="124"/>
      <c r="SUG742" s="124"/>
      <c r="SUH742" s="124"/>
      <c r="SUI742" s="124"/>
      <c r="SUJ742" s="124"/>
      <c r="SUK742" s="124"/>
      <c r="SUL742" s="124"/>
      <c r="SUM742" s="124"/>
      <c r="SUN742" s="124"/>
      <c r="SUO742" s="124"/>
      <c r="SUP742" s="124"/>
      <c r="SUQ742" s="124"/>
      <c r="SUR742" s="124"/>
      <c r="SUS742" s="124"/>
      <c r="SUT742" s="124"/>
      <c r="SUU742" s="124"/>
      <c r="SUV742" s="124"/>
      <c r="SUW742" s="124"/>
      <c r="SUX742" s="124"/>
      <c r="SUY742" s="124"/>
      <c r="SUZ742" s="124"/>
      <c r="SVA742" s="124"/>
      <c r="SVB742" s="124"/>
      <c r="SVC742" s="124"/>
      <c r="SVD742" s="124"/>
      <c r="SVE742" s="124"/>
      <c r="SVF742" s="124"/>
      <c r="SVG742" s="124"/>
      <c r="SVH742" s="124"/>
      <c r="SVI742" s="124"/>
      <c r="SVJ742" s="124"/>
      <c r="SVK742" s="124"/>
      <c r="SVL742" s="124"/>
      <c r="SVM742" s="124"/>
      <c r="SVN742" s="124"/>
      <c r="SVO742" s="124"/>
      <c r="SVP742" s="124"/>
      <c r="SVQ742" s="124"/>
      <c r="SVR742" s="124"/>
      <c r="SVS742" s="124"/>
      <c r="SVT742" s="124"/>
      <c r="SVU742" s="124"/>
      <c r="SVV742" s="124"/>
      <c r="SVW742" s="124"/>
      <c r="SVX742" s="124"/>
      <c r="SVY742" s="124"/>
      <c r="SVZ742" s="124"/>
      <c r="SWA742" s="124"/>
      <c r="SWB742" s="124"/>
      <c r="SWC742" s="124"/>
      <c r="SWD742" s="124"/>
      <c r="SWE742" s="124"/>
      <c r="SWF742" s="124"/>
      <c r="SWG742" s="124"/>
      <c r="SWH742" s="124"/>
      <c r="SWI742" s="124"/>
      <c r="SWJ742" s="124"/>
      <c r="SWK742" s="124"/>
      <c r="SWL742" s="124"/>
      <c r="SWM742" s="124"/>
      <c r="SWN742" s="124"/>
      <c r="SWO742" s="124"/>
      <c r="SWP742" s="124"/>
      <c r="SWQ742" s="124"/>
      <c r="SWR742" s="124"/>
      <c r="SWS742" s="124"/>
      <c r="SWT742" s="124"/>
      <c r="SWU742" s="124"/>
      <c r="SWV742" s="124"/>
      <c r="SWW742" s="124"/>
      <c r="SWX742" s="124"/>
      <c r="SWY742" s="124"/>
      <c r="SWZ742" s="124"/>
      <c r="SXA742" s="124"/>
      <c r="SXB742" s="124"/>
      <c r="SXC742" s="124"/>
      <c r="SXD742" s="124"/>
      <c r="SXE742" s="124"/>
      <c r="SXF742" s="124"/>
      <c r="SXG742" s="124"/>
      <c r="SXH742" s="124"/>
      <c r="SXI742" s="124"/>
      <c r="SXJ742" s="124"/>
      <c r="SXK742" s="124"/>
      <c r="SXL742" s="124"/>
      <c r="SXM742" s="124"/>
      <c r="SXN742" s="124"/>
      <c r="SXO742" s="124"/>
      <c r="SXP742" s="124"/>
      <c r="SXQ742" s="124"/>
      <c r="SXR742" s="124"/>
      <c r="SXS742" s="124"/>
      <c r="SXT742" s="124"/>
      <c r="SXU742" s="124"/>
      <c r="SXV742" s="124"/>
      <c r="SXW742" s="124"/>
      <c r="SXX742" s="124"/>
      <c r="SXY742" s="124"/>
      <c r="SXZ742" s="124"/>
      <c r="SYA742" s="124"/>
      <c r="SYB742" s="124"/>
      <c r="SYC742" s="124"/>
      <c r="SYD742" s="124"/>
      <c r="SYE742" s="124"/>
      <c r="SYF742" s="124"/>
      <c r="SYG742" s="124"/>
      <c r="SYH742" s="124"/>
      <c r="SYI742" s="124"/>
      <c r="SYJ742" s="124"/>
      <c r="SYK742" s="124"/>
      <c r="SYL742" s="124"/>
      <c r="SYM742" s="124"/>
      <c r="SYN742" s="124"/>
      <c r="SYO742" s="124"/>
      <c r="SYP742" s="124"/>
      <c r="SYQ742" s="124"/>
      <c r="SYR742" s="124"/>
      <c r="SYS742" s="124"/>
      <c r="SYT742" s="124"/>
      <c r="SYU742" s="124"/>
      <c r="SYV742" s="124"/>
      <c r="SYW742" s="124"/>
      <c r="SYX742" s="124"/>
      <c r="SYY742" s="124"/>
      <c r="SYZ742" s="124"/>
      <c r="SZA742" s="124"/>
      <c r="SZB742" s="124"/>
      <c r="SZC742" s="124"/>
      <c r="SZD742" s="124"/>
      <c r="SZE742" s="124"/>
      <c r="SZF742" s="124"/>
      <c r="SZG742" s="124"/>
      <c r="SZH742" s="124"/>
      <c r="SZI742" s="124"/>
      <c r="SZJ742" s="124"/>
      <c r="SZK742" s="124"/>
      <c r="SZL742" s="124"/>
      <c r="SZM742" s="124"/>
      <c r="SZN742" s="124"/>
      <c r="SZO742" s="124"/>
      <c r="SZP742" s="124"/>
      <c r="SZQ742" s="124"/>
      <c r="SZR742" s="124"/>
      <c r="SZS742" s="124"/>
      <c r="SZT742" s="124"/>
      <c r="SZU742" s="124"/>
      <c r="SZV742" s="124"/>
      <c r="SZW742" s="124"/>
      <c r="SZX742" s="124"/>
      <c r="SZY742" s="124"/>
      <c r="SZZ742" s="124"/>
      <c r="TAA742" s="124"/>
      <c r="TAB742" s="124"/>
      <c r="TAC742" s="124"/>
      <c r="TAD742" s="124"/>
      <c r="TAE742" s="124"/>
      <c r="TAF742" s="124"/>
      <c r="TAG742" s="124"/>
      <c r="TAH742" s="124"/>
      <c r="TAI742" s="124"/>
      <c r="TAJ742" s="124"/>
      <c r="TAK742" s="124"/>
      <c r="TAL742" s="124"/>
      <c r="TAM742" s="124"/>
      <c r="TAN742" s="124"/>
      <c r="TAO742" s="124"/>
      <c r="TAP742" s="124"/>
      <c r="TAQ742" s="124"/>
      <c r="TAR742" s="124"/>
      <c r="TAS742" s="124"/>
      <c r="TAT742" s="124"/>
      <c r="TAU742" s="124"/>
      <c r="TAV742" s="124"/>
      <c r="TAW742" s="124"/>
      <c r="TAX742" s="124"/>
      <c r="TAY742" s="124"/>
      <c r="TAZ742" s="124"/>
      <c r="TBA742" s="124"/>
      <c r="TBB742" s="124"/>
      <c r="TBC742" s="124"/>
      <c r="TBD742" s="124"/>
      <c r="TBE742" s="124"/>
      <c r="TBF742" s="124"/>
      <c r="TBG742" s="124"/>
      <c r="TBH742" s="124"/>
      <c r="TBI742" s="124"/>
      <c r="TBJ742" s="124"/>
      <c r="TBK742" s="124"/>
      <c r="TBL742" s="124"/>
      <c r="TBM742" s="124"/>
      <c r="TBN742" s="124"/>
      <c r="TBO742" s="124"/>
      <c r="TBP742" s="124"/>
      <c r="TBQ742" s="124"/>
      <c r="TBR742" s="124"/>
      <c r="TBS742" s="124"/>
      <c r="TBT742" s="124"/>
      <c r="TBU742" s="124"/>
      <c r="TBV742" s="124"/>
      <c r="TBW742" s="124"/>
      <c r="TBX742" s="124"/>
      <c r="TBY742" s="124"/>
      <c r="TBZ742" s="124"/>
      <c r="TCA742" s="124"/>
      <c r="TCB742" s="124"/>
      <c r="TCC742" s="124"/>
      <c r="TCD742" s="124"/>
      <c r="TCE742" s="124"/>
      <c r="TCF742" s="124"/>
      <c r="TCG742" s="124"/>
      <c r="TCH742" s="124"/>
      <c r="TCI742" s="124"/>
      <c r="TCJ742" s="124"/>
      <c r="TCK742" s="124"/>
      <c r="TCL742" s="124"/>
      <c r="TCM742" s="124"/>
      <c r="TCN742" s="124"/>
      <c r="TCO742" s="124"/>
      <c r="TCP742" s="124"/>
      <c r="TCQ742" s="124"/>
      <c r="TCR742" s="124"/>
      <c r="TCS742" s="124"/>
      <c r="TCT742" s="124"/>
      <c r="TCU742" s="124"/>
      <c r="TCV742" s="124"/>
      <c r="TCW742" s="124"/>
      <c r="TCX742" s="124"/>
      <c r="TCY742" s="124"/>
      <c r="TCZ742" s="124"/>
      <c r="TDA742" s="124"/>
      <c r="TDB742" s="124"/>
      <c r="TDC742" s="124"/>
      <c r="TDD742" s="124"/>
      <c r="TDE742" s="124"/>
      <c r="TDF742" s="124"/>
      <c r="TDG742" s="124"/>
      <c r="TDH742" s="124"/>
      <c r="TDI742" s="124"/>
      <c r="TDJ742" s="124"/>
      <c r="TDK742" s="124"/>
      <c r="TDL742" s="124"/>
      <c r="TDM742" s="124"/>
      <c r="TDN742" s="124"/>
      <c r="TDO742" s="124"/>
      <c r="TDP742" s="124"/>
      <c r="TDQ742" s="124"/>
      <c r="TDR742" s="124"/>
      <c r="TDS742" s="124"/>
      <c r="TDT742" s="124"/>
      <c r="TDU742" s="124"/>
      <c r="TDV742" s="124"/>
      <c r="TDW742" s="124"/>
      <c r="TDX742" s="124"/>
      <c r="TDY742" s="124"/>
      <c r="TDZ742" s="124"/>
      <c r="TEA742" s="124"/>
      <c r="TEB742" s="124"/>
      <c r="TEC742" s="124"/>
      <c r="TED742" s="124"/>
      <c r="TEE742" s="124"/>
      <c r="TEF742" s="124"/>
      <c r="TEG742" s="124"/>
      <c r="TEH742" s="124"/>
      <c r="TEI742" s="124"/>
      <c r="TEJ742" s="124"/>
      <c r="TEK742" s="124"/>
      <c r="TEL742" s="124"/>
      <c r="TEM742" s="124"/>
      <c r="TEN742" s="124"/>
      <c r="TEO742" s="124"/>
      <c r="TEP742" s="124"/>
      <c r="TEQ742" s="124"/>
      <c r="TER742" s="124"/>
      <c r="TES742" s="124"/>
      <c r="TET742" s="124"/>
      <c r="TEU742" s="124"/>
      <c r="TEV742" s="124"/>
      <c r="TEW742" s="124"/>
      <c r="TEX742" s="124"/>
      <c r="TEY742" s="124"/>
      <c r="TEZ742" s="124"/>
      <c r="TFA742" s="124"/>
      <c r="TFB742" s="124"/>
      <c r="TFC742" s="124"/>
      <c r="TFD742" s="124"/>
      <c r="TFE742" s="124"/>
      <c r="TFF742" s="124"/>
      <c r="TFG742" s="124"/>
      <c r="TFH742" s="124"/>
      <c r="TFI742" s="124"/>
      <c r="TFJ742" s="124"/>
      <c r="TFK742" s="124"/>
      <c r="TFL742" s="124"/>
      <c r="TFM742" s="124"/>
      <c r="TFN742" s="124"/>
      <c r="TFO742" s="124"/>
      <c r="TFP742" s="124"/>
      <c r="TFQ742" s="124"/>
      <c r="TFR742" s="124"/>
      <c r="TFS742" s="124"/>
      <c r="TFT742" s="124"/>
      <c r="TFU742" s="124"/>
      <c r="TFV742" s="124"/>
      <c r="TFW742" s="124"/>
      <c r="TFX742" s="124"/>
      <c r="TFY742" s="124"/>
      <c r="TFZ742" s="124"/>
      <c r="TGA742" s="124"/>
      <c r="TGB742" s="124"/>
      <c r="TGC742" s="124"/>
      <c r="TGD742" s="124"/>
      <c r="TGE742" s="124"/>
      <c r="TGF742" s="124"/>
      <c r="TGG742" s="124"/>
      <c r="TGH742" s="124"/>
      <c r="TGI742" s="124"/>
      <c r="TGJ742" s="124"/>
      <c r="TGK742" s="124"/>
      <c r="TGL742" s="124"/>
      <c r="TGM742" s="124"/>
      <c r="TGN742" s="124"/>
      <c r="TGO742" s="124"/>
      <c r="TGP742" s="124"/>
      <c r="TGQ742" s="124"/>
      <c r="TGR742" s="124"/>
      <c r="TGS742" s="124"/>
      <c r="TGT742" s="124"/>
      <c r="TGU742" s="124"/>
      <c r="TGV742" s="124"/>
      <c r="TGW742" s="124"/>
      <c r="TGX742" s="124"/>
      <c r="TGY742" s="124"/>
      <c r="TGZ742" s="124"/>
      <c r="THA742" s="124"/>
      <c r="THB742" s="124"/>
      <c r="THC742" s="124"/>
      <c r="THD742" s="124"/>
      <c r="THE742" s="124"/>
      <c r="THF742" s="124"/>
      <c r="THG742" s="124"/>
      <c r="THH742" s="124"/>
      <c r="THI742" s="124"/>
      <c r="THJ742" s="124"/>
      <c r="THK742" s="124"/>
      <c r="THL742" s="124"/>
      <c r="THM742" s="124"/>
      <c r="THN742" s="124"/>
      <c r="THO742" s="124"/>
      <c r="THP742" s="124"/>
      <c r="THQ742" s="124"/>
      <c r="THR742" s="124"/>
      <c r="THS742" s="124"/>
      <c r="THT742" s="124"/>
      <c r="THU742" s="124"/>
      <c r="THV742" s="124"/>
      <c r="THW742" s="124"/>
      <c r="THX742" s="124"/>
      <c r="THY742" s="124"/>
      <c r="THZ742" s="124"/>
      <c r="TIA742" s="124"/>
      <c r="TIB742" s="124"/>
      <c r="TIC742" s="124"/>
      <c r="TID742" s="124"/>
      <c r="TIE742" s="124"/>
      <c r="TIF742" s="124"/>
      <c r="TIG742" s="124"/>
      <c r="TIH742" s="124"/>
      <c r="TII742" s="124"/>
      <c r="TIJ742" s="124"/>
      <c r="TIK742" s="124"/>
      <c r="TIL742" s="124"/>
      <c r="TIM742" s="124"/>
      <c r="TIN742" s="124"/>
      <c r="TIO742" s="124"/>
      <c r="TIP742" s="124"/>
      <c r="TIQ742" s="124"/>
      <c r="TIR742" s="124"/>
      <c r="TIS742" s="124"/>
      <c r="TIT742" s="124"/>
      <c r="TIU742" s="124"/>
      <c r="TIV742" s="124"/>
      <c r="TIW742" s="124"/>
      <c r="TIX742" s="124"/>
      <c r="TIY742" s="124"/>
      <c r="TIZ742" s="124"/>
      <c r="TJA742" s="124"/>
      <c r="TJB742" s="124"/>
      <c r="TJC742" s="124"/>
      <c r="TJD742" s="124"/>
      <c r="TJE742" s="124"/>
      <c r="TJF742" s="124"/>
      <c r="TJG742" s="124"/>
      <c r="TJH742" s="124"/>
      <c r="TJI742" s="124"/>
      <c r="TJJ742" s="124"/>
      <c r="TJK742" s="124"/>
      <c r="TJL742" s="124"/>
      <c r="TJM742" s="124"/>
      <c r="TJN742" s="124"/>
      <c r="TJO742" s="124"/>
      <c r="TJP742" s="124"/>
      <c r="TJQ742" s="124"/>
      <c r="TJR742" s="124"/>
      <c r="TJS742" s="124"/>
      <c r="TJT742" s="124"/>
      <c r="TJU742" s="124"/>
      <c r="TJV742" s="124"/>
      <c r="TJW742" s="124"/>
      <c r="TJX742" s="124"/>
      <c r="TJY742" s="124"/>
      <c r="TJZ742" s="124"/>
      <c r="TKA742" s="124"/>
      <c r="TKB742" s="124"/>
      <c r="TKC742" s="124"/>
      <c r="TKD742" s="124"/>
      <c r="TKE742" s="124"/>
      <c r="TKF742" s="124"/>
      <c r="TKG742" s="124"/>
      <c r="TKH742" s="124"/>
      <c r="TKI742" s="124"/>
      <c r="TKJ742" s="124"/>
      <c r="TKK742" s="124"/>
      <c r="TKL742" s="124"/>
      <c r="TKM742" s="124"/>
      <c r="TKN742" s="124"/>
      <c r="TKO742" s="124"/>
      <c r="TKP742" s="124"/>
      <c r="TKQ742" s="124"/>
      <c r="TKR742" s="124"/>
      <c r="TKS742" s="124"/>
      <c r="TKT742" s="124"/>
      <c r="TKU742" s="124"/>
      <c r="TKV742" s="124"/>
      <c r="TKW742" s="124"/>
      <c r="TKX742" s="124"/>
      <c r="TKY742" s="124"/>
      <c r="TKZ742" s="124"/>
      <c r="TLA742" s="124"/>
      <c r="TLB742" s="124"/>
      <c r="TLC742" s="124"/>
      <c r="TLD742" s="124"/>
      <c r="TLE742" s="124"/>
      <c r="TLF742" s="124"/>
      <c r="TLG742" s="124"/>
      <c r="TLH742" s="124"/>
      <c r="TLI742" s="124"/>
      <c r="TLJ742" s="124"/>
      <c r="TLK742" s="124"/>
      <c r="TLL742" s="124"/>
      <c r="TLM742" s="124"/>
      <c r="TLN742" s="124"/>
      <c r="TLO742" s="124"/>
      <c r="TLP742" s="124"/>
      <c r="TLQ742" s="124"/>
      <c r="TLR742" s="124"/>
      <c r="TLS742" s="124"/>
      <c r="TLT742" s="124"/>
      <c r="TLU742" s="124"/>
      <c r="TLV742" s="124"/>
      <c r="TLW742" s="124"/>
      <c r="TLX742" s="124"/>
      <c r="TLY742" s="124"/>
      <c r="TLZ742" s="124"/>
      <c r="TMA742" s="124"/>
      <c r="TMB742" s="124"/>
      <c r="TMC742" s="124"/>
      <c r="TMD742" s="124"/>
      <c r="TME742" s="124"/>
      <c r="TMF742" s="124"/>
      <c r="TMG742" s="124"/>
      <c r="TMH742" s="124"/>
      <c r="TMI742" s="124"/>
      <c r="TMJ742" s="124"/>
      <c r="TMK742" s="124"/>
      <c r="TML742" s="124"/>
      <c r="TMM742" s="124"/>
      <c r="TMN742" s="124"/>
      <c r="TMO742" s="124"/>
      <c r="TMP742" s="124"/>
      <c r="TMQ742" s="124"/>
      <c r="TMR742" s="124"/>
      <c r="TMS742" s="124"/>
      <c r="TMT742" s="124"/>
      <c r="TMU742" s="124"/>
      <c r="TMV742" s="124"/>
      <c r="TMW742" s="124"/>
      <c r="TMX742" s="124"/>
      <c r="TMY742" s="124"/>
      <c r="TMZ742" s="124"/>
      <c r="TNA742" s="124"/>
      <c r="TNB742" s="124"/>
      <c r="TNC742" s="124"/>
      <c r="TND742" s="124"/>
      <c r="TNE742" s="124"/>
      <c r="TNF742" s="124"/>
      <c r="TNG742" s="124"/>
      <c r="TNH742" s="124"/>
      <c r="TNI742" s="124"/>
      <c r="TNJ742" s="124"/>
      <c r="TNK742" s="124"/>
      <c r="TNL742" s="124"/>
      <c r="TNM742" s="124"/>
      <c r="TNN742" s="124"/>
      <c r="TNO742" s="124"/>
      <c r="TNP742" s="124"/>
      <c r="TNQ742" s="124"/>
      <c r="TNR742" s="124"/>
      <c r="TNS742" s="124"/>
      <c r="TNT742" s="124"/>
      <c r="TNU742" s="124"/>
      <c r="TNV742" s="124"/>
      <c r="TNW742" s="124"/>
      <c r="TNX742" s="124"/>
      <c r="TNY742" s="124"/>
      <c r="TNZ742" s="124"/>
      <c r="TOA742" s="124"/>
      <c r="TOB742" s="124"/>
      <c r="TOC742" s="124"/>
      <c r="TOD742" s="124"/>
      <c r="TOE742" s="124"/>
      <c r="TOF742" s="124"/>
      <c r="TOG742" s="124"/>
      <c r="TOH742" s="124"/>
      <c r="TOI742" s="124"/>
      <c r="TOJ742" s="124"/>
      <c r="TOK742" s="124"/>
      <c r="TOL742" s="124"/>
      <c r="TOM742" s="124"/>
      <c r="TON742" s="124"/>
      <c r="TOO742" s="124"/>
      <c r="TOP742" s="124"/>
      <c r="TOQ742" s="124"/>
      <c r="TOR742" s="124"/>
      <c r="TOS742" s="124"/>
      <c r="TOT742" s="124"/>
      <c r="TOU742" s="124"/>
      <c r="TOV742" s="124"/>
      <c r="TOW742" s="124"/>
      <c r="TOX742" s="124"/>
      <c r="TOY742" s="124"/>
      <c r="TOZ742" s="124"/>
      <c r="TPA742" s="124"/>
      <c r="TPB742" s="124"/>
      <c r="TPC742" s="124"/>
      <c r="TPD742" s="124"/>
      <c r="TPE742" s="124"/>
      <c r="TPF742" s="124"/>
      <c r="TPG742" s="124"/>
      <c r="TPH742" s="124"/>
      <c r="TPI742" s="124"/>
      <c r="TPJ742" s="124"/>
      <c r="TPK742" s="124"/>
      <c r="TPL742" s="124"/>
      <c r="TPM742" s="124"/>
      <c r="TPN742" s="124"/>
      <c r="TPO742" s="124"/>
      <c r="TPP742" s="124"/>
      <c r="TPQ742" s="124"/>
      <c r="TPR742" s="124"/>
      <c r="TPS742" s="124"/>
      <c r="TPT742" s="124"/>
      <c r="TPU742" s="124"/>
      <c r="TPV742" s="124"/>
      <c r="TPW742" s="124"/>
      <c r="TPX742" s="124"/>
      <c r="TPY742" s="124"/>
      <c r="TPZ742" s="124"/>
      <c r="TQA742" s="124"/>
      <c r="TQB742" s="124"/>
      <c r="TQC742" s="124"/>
      <c r="TQD742" s="124"/>
      <c r="TQE742" s="124"/>
      <c r="TQF742" s="124"/>
      <c r="TQG742" s="124"/>
      <c r="TQH742" s="124"/>
      <c r="TQI742" s="124"/>
      <c r="TQJ742" s="124"/>
      <c r="TQK742" s="124"/>
      <c r="TQL742" s="124"/>
      <c r="TQM742" s="124"/>
      <c r="TQN742" s="124"/>
      <c r="TQO742" s="124"/>
      <c r="TQP742" s="124"/>
      <c r="TQQ742" s="124"/>
      <c r="TQR742" s="124"/>
      <c r="TQS742" s="124"/>
      <c r="TQT742" s="124"/>
      <c r="TQU742" s="124"/>
      <c r="TQV742" s="124"/>
      <c r="TQW742" s="124"/>
      <c r="TQX742" s="124"/>
      <c r="TQY742" s="124"/>
      <c r="TQZ742" s="124"/>
      <c r="TRA742" s="124"/>
      <c r="TRB742" s="124"/>
      <c r="TRC742" s="124"/>
      <c r="TRD742" s="124"/>
      <c r="TRE742" s="124"/>
      <c r="TRF742" s="124"/>
      <c r="TRG742" s="124"/>
      <c r="TRH742" s="124"/>
      <c r="TRI742" s="124"/>
      <c r="TRJ742" s="124"/>
      <c r="TRK742" s="124"/>
      <c r="TRL742" s="124"/>
      <c r="TRM742" s="124"/>
      <c r="TRN742" s="124"/>
      <c r="TRO742" s="124"/>
      <c r="TRP742" s="124"/>
      <c r="TRQ742" s="124"/>
      <c r="TRR742" s="124"/>
      <c r="TRS742" s="124"/>
      <c r="TRT742" s="124"/>
      <c r="TRU742" s="124"/>
      <c r="TRV742" s="124"/>
      <c r="TRW742" s="124"/>
      <c r="TRX742" s="124"/>
      <c r="TRY742" s="124"/>
      <c r="TRZ742" s="124"/>
      <c r="TSA742" s="124"/>
      <c r="TSB742" s="124"/>
      <c r="TSC742" s="124"/>
      <c r="TSD742" s="124"/>
      <c r="TSE742" s="124"/>
      <c r="TSF742" s="124"/>
      <c r="TSG742" s="124"/>
      <c r="TSH742" s="124"/>
      <c r="TSI742" s="124"/>
      <c r="TSJ742" s="124"/>
      <c r="TSK742" s="124"/>
      <c r="TSL742" s="124"/>
      <c r="TSM742" s="124"/>
      <c r="TSN742" s="124"/>
      <c r="TSO742" s="124"/>
      <c r="TSP742" s="124"/>
      <c r="TSQ742" s="124"/>
      <c r="TSR742" s="124"/>
      <c r="TSS742" s="124"/>
      <c r="TST742" s="124"/>
      <c r="TSU742" s="124"/>
      <c r="TSV742" s="124"/>
      <c r="TSW742" s="124"/>
      <c r="TSX742" s="124"/>
      <c r="TSY742" s="124"/>
      <c r="TSZ742" s="124"/>
      <c r="TTA742" s="124"/>
      <c r="TTB742" s="124"/>
      <c r="TTC742" s="124"/>
      <c r="TTD742" s="124"/>
      <c r="TTE742" s="124"/>
      <c r="TTF742" s="124"/>
      <c r="TTG742" s="124"/>
      <c r="TTH742" s="124"/>
      <c r="TTI742" s="124"/>
      <c r="TTJ742" s="124"/>
      <c r="TTK742" s="124"/>
      <c r="TTL742" s="124"/>
      <c r="TTM742" s="124"/>
      <c r="TTN742" s="124"/>
      <c r="TTO742" s="124"/>
      <c r="TTP742" s="124"/>
      <c r="TTQ742" s="124"/>
      <c r="TTR742" s="124"/>
      <c r="TTS742" s="124"/>
      <c r="TTT742" s="124"/>
      <c r="TTU742" s="124"/>
      <c r="TTV742" s="124"/>
      <c r="TTW742" s="124"/>
      <c r="TTX742" s="124"/>
      <c r="TTY742" s="124"/>
      <c r="TTZ742" s="124"/>
      <c r="TUA742" s="124"/>
      <c r="TUB742" s="124"/>
      <c r="TUC742" s="124"/>
      <c r="TUD742" s="124"/>
      <c r="TUE742" s="124"/>
      <c r="TUF742" s="124"/>
      <c r="TUG742" s="124"/>
      <c r="TUH742" s="124"/>
      <c r="TUI742" s="124"/>
      <c r="TUJ742" s="124"/>
      <c r="TUK742" s="124"/>
      <c r="TUL742" s="124"/>
      <c r="TUM742" s="124"/>
      <c r="TUN742" s="124"/>
      <c r="TUO742" s="124"/>
      <c r="TUP742" s="124"/>
      <c r="TUQ742" s="124"/>
      <c r="TUR742" s="124"/>
      <c r="TUS742" s="124"/>
      <c r="TUT742" s="124"/>
      <c r="TUU742" s="124"/>
      <c r="TUV742" s="124"/>
      <c r="TUW742" s="124"/>
      <c r="TUX742" s="124"/>
      <c r="TUY742" s="124"/>
      <c r="TUZ742" s="124"/>
      <c r="TVA742" s="124"/>
      <c r="TVB742" s="124"/>
      <c r="TVC742" s="124"/>
      <c r="TVD742" s="124"/>
      <c r="TVE742" s="124"/>
      <c r="TVF742" s="124"/>
      <c r="TVG742" s="124"/>
      <c r="TVH742" s="124"/>
      <c r="TVI742" s="124"/>
      <c r="TVJ742" s="124"/>
      <c r="TVK742" s="124"/>
      <c r="TVL742" s="124"/>
      <c r="TVM742" s="124"/>
      <c r="TVN742" s="124"/>
      <c r="TVO742" s="124"/>
      <c r="TVP742" s="124"/>
      <c r="TVQ742" s="124"/>
      <c r="TVR742" s="124"/>
      <c r="TVS742" s="124"/>
      <c r="TVT742" s="124"/>
      <c r="TVU742" s="124"/>
      <c r="TVV742" s="124"/>
      <c r="TVW742" s="124"/>
      <c r="TVX742" s="124"/>
      <c r="TVY742" s="124"/>
      <c r="TVZ742" s="124"/>
      <c r="TWA742" s="124"/>
      <c r="TWB742" s="124"/>
      <c r="TWC742" s="124"/>
      <c r="TWD742" s="124"/>
      <c r="TWE742" s="124"/>
      <c r="TWF742" s="124"/>
      <c r="TWG742" s="124"/>
      <c r="TWH742" s="124"/>
      <c r="TWI742" s="124"/>
      <c r="TWJ742" s="124"/>
      <c r="TWK742" s="124"/>
      <c r="TWL742" s="124"/>
      <c r="TWM742" s="124"/>
      <c r="TWN742" s="124"/>
      <c r="TWO742" s="124"/>
      <c r="TWP742" s="124"/>
      <c r="TWQ742" s="124"/>
      <c r="TWR742" s="124"/>
      <c r="TWS742" s="124"/>
      <c r="TWT742" s="124"/>
      <c r="TWU742" s="124"/>
      <c r="TWV742" s="124"/>
      <c r="TWW742" s="124"/>
      <c r="TWX742" s="124"/>
      <c r="TWY742" s="124"/>
      <c r="TWZ742" s="124"/>
      <c r="TXA742" s="124"/>
      <c r="TXB742" s="124"/>
      <c r="TXC742" s="124"/>
      <c r="TXD742" s="124"/>
      <c r="TXE742" s="124"/>
      <c r="TXF742" s="124"/>
      <c r="TXG742" s="124"/>
      <c r="TXH742" s="124"/>
      <c r="TXI742" s="124"/>
      <c r="TXJ742" s="124"/>
      <c r="TXK742" s="124"/>
      <c r="TXL742" s="124"/>
      <c r="TXM742" s="124"/>
      <c r="TXN742" s="124"/>
      <c r="TXO742" s="124"/>
      <c r="TXP742" s="124"/>
      <c r="TXQ742" s="124"/>
      <c r="TXR742" s="124"/>
      <c r="TXS742" s="124"/>
      <c r="TXT742" s="124"/>
      <c r="TXU742" s="124"/>
      <c r="TXV742" s="124"/>
      <c r="TXW742" s="124"/>
      <c r="TXX742" s="124"/>
      <c r="TXY742" s="124"/>
      <c r="TXZ742" s="124"/>
      <c r="TYA742" s="124"/>
      <c r="TYB742" s="124"/>
      <c r="TYC742" s="124"/>
      <c r="TYD742" s="124"/>
      <c r="TYE742" s="124"/>
      <c r="TYF742" s="124"/>
      <c r="TYG742" s="124"/>
      <c r="TYH742" s="124"/>
      <c r="TYI742" s="124"/>
      <c r="TYJ742" s="124"/>
      <c r="TYK742" s="124"/>
      <c r="TYL742" s="124"/>
      <c r="TYM742" s="124"/>
      <c r="TYN742" s="124"/>
      <c r="TYO742" s="124"/>
      <c r="TYP742" s="124"/>
      <c r="TYQ742" s="124"/>
      <c r="TYR742" s="124"/>
      <c r="TYS742" s="124"/>
      <c r="TYT742" s="124"/>
      <c r="TYU742" s="124"/>
      <c r="TYV742" s="124"/>
      <c r="TYW742" s="124"/>
      <c r="TYX742" s="124"/>
      <c r="TYY742" s="124"/>
      <c r="TYZ742" s="124"/>
      <c r="TZA742" s="124"/>
      <c r="TZB742" s="124"/>
      <c r="TZC742" s="124"/>
      <c r="TZD742" s="124"/>
      <c r="TZE742" s="124"/>
      <c r="TZF742" s="124"/>
      <c r="TZG742" s="124"/>
      <c r="TZH742" s="124"/>
      <c r="TZI742" s="124"/>
      <c r="TZJ742" s="124"/>
      <c r="TZK742" s="124"/>
      <c r="TZL742" s="124"/>
      <c r="TZM742" s="124"/>
      <c r="TZN742" s="124"/>
      <c r="TZO742" s="124"/>
      <c r="TZP742" s="124"/>
      <c r="TZQ742" s="124"/>
      <c r="TZR742" s="124"/>
      <c r="TZS742" s="124"/>
      <c r="TZT742" s="124"/>
      <c r="TZU742" s="124"/>
      <c r="TZV742" s="124"/>
      <c r="TZW742" s="124"/>
      <c r="TZX742" s="124"/>
      <c r="TZY742" s="124"/>
      <c r="TZZ742" s="124"/>
      <c r="UAA742" s="124"/>
      <c r="UAB742" s="124"/>
      <c r="UAC742" s="124"/>
      <c r="UAD742" s="124"/>
      <c r="UAE742" s="124"/>
      <c r="UAF742" s="124"/>
      <c r="UAG742" s="124"/>
      <c r="UAH742" s="124"/>
      <c r="UAI742" s="124"/>
      <c r="UAJ742" s="124"/>
      <c r="UAK742" s="124"/>
      <c r="UAL742" s="124"/>
      <c r="UAM742" s="124"/>
      <c r="UAN742" s="124"/>
      <c r="UAO742" s="124"/>
      <c r="UAP742" s="124"/>
      <c r="UAQ742" s="124"/>
      <c r="UAR742" s="124"/>
      <c r="UAS742" s="124"/>
      <c r="UAT742" s="124"/>
      <c r="UAU742" s="124"/>
      <c r="UAV742" s="124"/>
      <c r="UAW742" s="124"/>
      <c r="UAX742" s="124"/>
      <c r="UAY742" s="124"/>
      <c r="UAZ742" s="124"/>
      <c r="UBA742" s="124"/>
      <c r="UBB742" s="124"/>
      <c r="UBC742" s="124"/>
      <c r="UBD742" s="124"/>
      <c r="UBE742" s="124"/>
      <c r="UBF742" s="124"/>
      <c r="UBG742" s="124"/>
      <c r="UBH742" s="124"/>
      <c r="UBI742" s="124"/>
      <c r="UBJ742" s="124"/>
      <c r="UBK742" s="124"/>
      <c r="UBL742" s="124"/>
      <c r="UBM742" s="124"/>
      <c r="UBN742" s="124"/>
      <c r="UBO742" s="124"/>
      <c r="UBP742" s="124"/>
      <c r="UBQ742" s="124"/>
      <c r="UBR742" s="124"/>
      <c r="UBS742" s="124"/>
      <c r="UBT742" s="124"/>
      <c r="UBU742" s="124"/>
      <c r="UBV742" s="124"/>
      <c r="UBW742" s="124"/>
      <c r="UBX742" s="124"/>
      <c r="UBY742" s="124"/>
      <c r="UBZ742" s="124"/>
      <c r="UCA742" s="124"/>
      <c r="UCB742" s="124"/>
      <c r="UCC742" s="124"/>
      <c r="UCD742" s="124"/>
      <c r="UCE742" s="124"/>
      <c r="UCF742" s="124"/>
      <c r="UCG742" s="124"/>
      <c r="UCH742" s="124"/>
      <c r="UCI742" s="124"/>
      <c r="UCJ742" s="124"/>
      <c r="UCK742" s="124"/>
      <c r="UCL742" s="124"/>
      <c r="UCM742" s="124"/>
      <c r="UCN742" s="124"/>
      <c r="UCO742" s="124"/>
      <c r="UCP742" s="124"/>
      <c r="UCQ742" s="124"/>
      <c r="UCR742" s="124"/>
      <c r="UCS742" s="124"/>
      <c r="UCT742" s="124"/>
      <c r="UCU742" s="124"/>
      <c r="UCV742" s="124"/>
      <c r="UCW742" s="124"/>
      <c r="UCX742" s="124"/>
      <c r="UCY742" s="124"/>
      <c r="UCZ742" s="124"/>
      <c r="UDA742" s="124"/>
      <c r="UDB742" s="124"/>
      <c r="UDC742" s="124"/>
      <c r="UDD742" s="124"/>
      <c r="UDE742" s="124"/>
      <c r="UDF742" s="124"/>
      <c r="UDG742" s="124"/>
      <c r="UDH742" s="124"/>
      <c r="UDI742" s="124"/>
      <c r="UDJ742" s="124"/>
      <c r="UDK742" s="124"/>
      <c r="UDL742" s="124"/>
      <c r="UDM742" s="124"/>
      <c r="UDN742" s="124"/>
      <c r="UDO742" s="124"/>
      <c r="UDP742" s="124"/>
      <c r="UDQ742" s="124"/>
      <c r="UDR742" s="124"/>
      <c r="UDS742" s="124"/>
      <c r="UDT742" s="124"/>
      <c r="UDU742" s="124"/>
      <c r="UDV742" s="124"/>
      <c r="UDW742" s="124"/>
      <c r="UDX742" s="124"/>
      <c r="UDY742" s="124"/>
      <c r="UDZ742" s="124"/>
      <c r="UEA742" s="124"/>
      <c r="UEB742" s="124"/>
      <c r="UEC742" s="124"/>
      <c r="UED742" s="124"/>
      <c r="UEE742" s="124"/>
      <c r="UEF742" s="124"/>
      <c r="UEG742" s="124"/>
      <c r="UEH742" s="124"/>
      <c r="UEI742" s="124"/>
      <c r="UEJ742" s="124"/>
      <c r="UEK742" s="124"/>
      <c r="UEL742" s="124"/>
      <c r="UEM742" s="124"/>
      <c r="UEN742" s="124"/>
      <c r="UEO742" s="124"/>
      <c r="UEP742" s="124"/>
      <c r="UEQ742" s="124"/>
      <c r="UER742" s="124"/>
      <c r="UES742" s="124"/>
      <c r="UET742" s="124"/>
      <c r="UEU742" s="124"/>
      <c r="UEV742" s="124"/>
      <c r="UEW742" s="124"/>
      <c r="UEX742" s="124"/>
      <c r="UEY742" s="124"/>
      <c r="UEZ742" s="124"/>
      <c r="UFA742" s="124"/>
      <c r="UFB742" s="124"/>
      <c r="UFC742" s="124"/>
      <c r="UFD742" s="124"/>
      <c r="UFE742" s="124"/>
      <c r="UFF742" s="124"/>
      <c r="UFG742" s="124"/>
      <c r="UFH742" s="124"/>
      <c r="UFI742" s="124"/>
      <c r="UFJ742" s="124"/>
      <c r="UFK742" s="124"/>
      <c r="UFL742" s="124"/>
      <c r="UFM742" s="124"/>
      <c r="UFN742" s="124"/>
      <c r="UFO742" s="124"/>
      <c r="UFP742" s="124"/>
      <c r="UFQ742" s="124"/>
      <c r="UFR742" s="124"/>
      <c r="UFS742" s="124"/>
      <c r="UFT742" s="124"/>
      <c r="UFU742" s="124"/>
      <c r="UFV742" s="124"/>
      <c r="UFW742" s="124"/>
      <c r="UFX742" s="124"/>
      <c r="UFY742" s="124"/>
      <c r="UFZ742" s="124"/>
      <c r="UGA742" s="124"/>
      <c r="UGB742" s="124"/>
      <c r="UGC742" s="124"/>
      <c r="UGD742" s="124"/>
      <c r="UGE742" s="124"/>
      <c r="UGF742" s="124"/>
      <c r="UGG742" s="124"/>
      <c r="UGH742" s="124"/>
      <c r="UGI742" s="124"/>
      <c r="UGJ742" s="124"/>
      <c r="UGK742" s="124"/>
      <c r="UGL742" s="124"/>
      <c r="UGM742" s="124"/>
      <c r="UGN742" s="124"/>
      <c r="UGO742" s="124"/>
      <c r="UGP742" s="124"/>
      <c r="UGQ742" s="124"/>
      <c r="UGR742" s="124"/>
      <c r="UGS742" s="124"/>
      <c r="UGT742" s="124"/>
      <c r="UGU742" s="124"/>
      <c r="UGV742" s="124"/>
      <c r="UGW742" s="124"/>
      <c r="UGX742" s="124"/>
      <c r="UGY742" s="124"/>
      <c r="UGZ742" s="124"/>
      <c r="UHA742" s="124"/>
      <c r="UHB742" s="124"/>
      <c r="UHC742" s="124"/>
      <c r="UHD742" s="124"/>
      <c r="UHE742" s="124"/>
      <c r="UHF742" s="124"/>
      <c r="UHG742" s="124"/>
      <c r="UHH742" s="124"/>
      <c r="UHI742" s="124"/>
      <c r="UHJ742" s="124"/>
      <c r="UHK742" s="124"/>
      <c r="UHL742" s="124"/>
      <c r="UHM742" s="124"/>
      <c r="UHN742" s="124"/>
      <c r="UHO742" s="124"/>
      <c r="UHP742" s="124"/>
      <c r="UHQ742" s="124"/>
      <c r="UHR742" s="124"/>
      <c r="UHS742" s="124"/>
      <c r="UHT742" s="124"/>
      <c r="UHU742" s="124"/>
      <c r="UHV742" s="124"/>
      <c r="UHW742" s="124"/>
      <c r="UHX742" s="124"/>
      <c r="UHY742" s="124"/>
      <c r="UHZ742" s="124"/>
      <c r="UIA742" s="124"/>
      <c r="UIB742" s="124"/>
      <c r="UIC742" s="124"/>
      <c r="UID742" s="124"/>
      <c r="UIE742" s="124"/>
      <c r="UIF742" s="124"/>
      <c r="UIG742" s="124"/>
      <c r="UIH742" s="124"/>
      <c r="UII742" s="124"/>
      <c r="UIJ742" s="124"/>
      <c r="UIK742" s="124"/>
      <c r="UIL742" s="124"/>
      <c r="UIM742" s="124"/>
      <c r="UIN742" s="124"/>
      <c r="UIO742" s="124"/>
      <c r="UIP742" s="124"/>
      <c r="UIQ742" s="124"/>
      <c r="UIR742" s="124"/>
      <c r="UIS742" s="124"/>
      <c r="UIT742" s="124"/>
      <c r="UIU742" s="124"/>
      <c r="UIV742" s="124"/>
      <c r="UIW742" s="124"/>
      <c r="UIX742" s="124"/>
      <c r="UIY742" s="124"/>
      <c r="UIZ742" s="124"/>
      <c r="UJA742" s="124"/>
      <c r="UJB742" s="124"/>
      <c r="UJC742" s="124"/>
      <c r="UJD742" s="124"/>
      <c r="UJE742" s="124"/>
      <c r="UJF742" s="124"/>
      <c r="UJG742" s="124"/>
      <c r="UJH742" s="124"/>
      <c r="UJI742" s="124"/>
      <c r="UJJ742" s="124"/>
      <c r="UJK742" s="124"/>
      <c r="UJL742" s="124"/>
      <c r="UJM742" s="124"/>
      <c r="UJN742" s="124"/>
      <c r="UJO742" s="124"/>
      <c r="UJP742" s="124"/>
      <c r="UJQ742" s="124"/>
      <c r="UJR742" s="124"/>
      <c r="UJS742" s="124"/>
      <c r="UJT742" s="124"/>
      <c r="UJU742" s="124"/>
      <c r="UJV742" s="124"/>
      <c r="UJW742" s="124"/>
      <c r="UJX742" s="124"/>
      <c r="UJY742" s="124"/>
      <c r="UJZ742" s="124"/>
      <c r="UKA742" s="124"/>
      <c r="UKB742" s="124"/>
      <c r="UKC742" s="124"/>
      <c r="UKD742" s="124"/>
      <c r="UKE742" s="124"/>
      <c r="UKF742" s="124"/>
      <c r="UKG742" s="124"/>
      <c r="UKH742" s="124"/>
      <c r="UKI742" s="124"/>
      <c r="UKJ742" s="124"/>
      <c r="UKK742" s="124"/>
      <c r="UKL742" s="124"/>
      <c r="UKM742" s="124"/>
      <c r="UKN742" s="124"/>
      <c r="UKO742" s="124"/>
      <c r="UKP742" s="124"/>
      <c r="UKQ742" s="124"/>
      <c r="UKR742" s="124"/>
      <c r="UKS742" s="124"/>
      <c r="UKT742" s="124"/>
      <c r="UKU742" s="124"/>
      <c r="UKV742" s="124"/>
      <c r="UKW742" s="124"/>
      <c r="UKX742" s="124"/>
      <c r="UKY742" s="124"/>
      <c r="UKZ742" s="124"/>
      <c r="ULA742" s="124"/>
      <c r="ULB742" s="124"/>
      <c r="ULC742" s="124"/>
      <c r="ULD742" s="124"/>
      <c r="ULE742" s="124"/>
      <c r="ULF742" s="124"/>
      <c r="ULG742" s="124"/>
      <c r="ULH742" s="124"/>
      <c r="ULI742" s="124"/>
      <c r="ULJ742" s="124"/>
      <c r="ULK742" s="124"/>
      <c r="ULL742" s="124"/>
      <c r="ULM742" s="124"/>
      <c r="ULN742" s="124"/>
      <c r="ULO742" s="124"/>
      <c r="ULP742" s="124"/>
      <c r="ULQ742" s="124"/>
      <c r="ULR742" s="124"/>
      <c r="ULS742" s="124"/>
      <c r="ULT742" s="124"/>
      <c r="ULU742" s="124"/>
      <c r="ULV742" s="124"/>
      <c r="ULW742" s="124"/>
      <c r="ULX742" s="124"/>
      <c r="ULY742" s="124"/>
      <c r="ULZ742" s="124"/>
      <c r="UMA742" s="124"/>
      <c r="UMB742" s="124"/>
      <c r="UMC742" s="124"/>
      <c r="UMD742" s="124"/>
      <c r="UME742" s="124"/>
      <c r="UMF742" s="124"/>
      <c r="UMG742" s="124"/>
      <c r="UMH742" s="124"/>
      <c r="UMI742" s="124"/>
      <c r="UMJ742" s="124"/>
      <c r="UMK742" s="124"/>
      <c r="UML742" s="124"/>
      <c r="UMM742" s="124"/>
      <c r="UMN742" s="124"/>
      <c r="UMO742" s="124"/>
      <c r="UMP742" s="124"/>
      <c r="UMQ742" s="124"/>
      <c r="UMR742" s="124"/>
      <c r="UMS742" s="124"/>
      <c r="UMT742" s="124"/>
      <c r="UMU742" s="124"/>
      <c r="UMV742" s="124"/>
      <c r="UMW742" s="124"/>
      <c r="UMX742" s="124"/>
      <c r="UMY742" s="124"/>
      <c r="UMZ742" s="124"/>
      <c r="UNA742" s="124"/>
      <c r="UNB742" s="124"/>
      <c r="UNC742" s="124"/>
      <c r="UND742" s="124"/>
      <c r="UNE742" s="124"/>
      <c r="UNF742" s="124"/>
      <c r="UNG742" s="124"/>
      <c r="UNH742" s="124"/>
      <c r="UNI742" s="124"/>
      <c r="UNJ742" s="124"/>
      <c r="UNK742" s="124"/>
      <c r="UNL742" s="124"/>
      <c r="UNM742" s="124"/>
      <c r="UNN742" s="124"/>
      <c r="UNO742" s="124"/>
      <c r="UNP742" s="124"/>
      <c r="UNQ742" s="124"/>
      <c r="UNR742" s="124"/>
      <c r="UNS742" s="124"/>
      <c r="UNT742" s="124"/>
      <c r="UNU742" s="124"/>
      <c r="UNV742" s="124"/>
      <c r="UNW742" s="124"/>
      <c r="UNX742" s="124"/>
      <c r="UNY742" s="124"/>
      <c r="UNZ742" s="124"/>
      <c r="UOA742" s="124"/>
      <c r="UOB742" s="124"/>
      <c r="UOC742" s="124"/>
      <c r="UOD742" s="124"/>
      <c r="UOE742" s="124"/>
      <c r="UOF742" s="124"/>
      <c r="UOG742" s="124"/>
      <c r="UOH742" s="124"/>
      <c r="UOI742" s="124"/>
      <c r="UOJ742" s="124"/>
      <c r="UOK742" s="124"/>
      <c r="UOL742" s="124"/>
      <c r="UOM742" s="124"/>
      <c r="UON742" s="124"/>
      <c r="UOO742" s="124"/>
      <c r="UOP742" s="124"/>
      <c r="UOQ742" s="124"/>
      <c r="UOR742" s="124"/>
      <c r="UOS742" s="124"/>
      <c r="UOT742" s="124"/>
      <c r="UOU742" s="124"/>
      <c r="UOV742" s="124"/>
      <c r="UOW742" s="124"/>
      <c r="UOX742" s="124"/>
      <c r="UOY742" s="124"/>
      <c r="UOZ742" s="124"/>
      <c r="UPA742" s="124"/>
      <c r="UPB742" s="124"/>
      <c r="UPC742" s="124"/>
      <c r="UPD742" s="124"/>
      <c r="UPE742" s="124"/>
      <c r="UPF742" s="124"/>
      <c r="UPG742" s="124"/>
      <c r="UPH742" s="124"/>
      <c r="UPI742" s="124"/>
      <c r="UPJ742" s="124"/>
      <c r="UPK742" s="124"/>
      <c r="UPL742" s="124"/>
      <c r="UPM742" s="124"/>
      <c r="UPN742" s="124"/>
      <c r="UPO742" s="124"/>
      <c r="UPP742" s="124"/>
      <c r="UPQ742" s="124"/>
      <c r="UPR742" s="124"/>
      <c r="UPS742" s="124"/>
      <c r="UPT742" s="124"/>
      <c r="UPU742" s="124"/>
      <c r="UPV742" s="124"/>
      <c r="UPW742" s="124"/>
      <c r="UPX742" s="124"/>
      <c r="UPY742" s="124"/>
      <c r="UPZ742" s="124"/>
      <c r="UQA742" s="124"/>
      <c r="UQB742" s="124"/>
      <c r="UQC742" s="124"/>
      <c r="UQD742" s="124"/>
      <c r="UQE742" s="124"/>
      <c r="UQF742" s="124"/>
      <c r="UQG742" s="124"/>
      <c r="UQH742" s="124"/>
      <c r="UQI742" s="124"/>
      <c r="UQJ742" s="124"/>
      <c r="UQK742" s="124"/>
      <c r="UQL742" s="124"/>
      <c r="UQM742" s="124"/>
      <c r="UQN742" s="124"/>
      <c r="UQO742" s="124"/>
      <c r="UQP742" s="124"/>
      <c r="UQQ742" s="124"/>
      <c r="UQR742" s="124"/>
      <c r="UQS742" s="124"/>
      <c r="UQT742" s="124"/>
      <c r="UQU742" s="124"/>
      <c r="UQV742" s="124"/>
      <c r="UQW742" s="124"/>
      <c r="UQX742" s="124"/>
      <c r="UQY742" s="124"/>
      <c r="UQZ742" s="124"/>
      <c r="URA742" s="124"/>
      <c r="URB742" s="124"/>
      <c r="URC742" s="124"/>
      <c r="URD742" s="124"/>
      <c r="URE742" s="124"/>
      <c r="URF742" s="124"/>
      <c r="URG742" s="124"/>
      <c r="URH742" s="124"/>
      <c r="URI742" s="124"/>
      <c r="URJ742" s="124"/>
      <c r="URK742" s="124"/>
      <c r="URL742" s="124"/>
      <c r="URM742" s="124"/>
      <c r="URN742" s="124"/>
      <c r="URO742" s="124"/>
      <c r="URP742" s="124"/>
      <c r="URQ742" s="124"/>
      <c r="URR742" s="124"/>
      <c r="URS742" s="124"/>
      <c r="URT742" s="124"/>
      <c r="URU742" s="124"/>
      <c r="URV742" s="124"/>
      <c r="URW742" s="124"/>
      <c r="URX742" s="124"/>
      <c r="URY742" s="124"/>
      <c r="URZ742" s="124"/>
      <c r="USA742" s="124"/>
      <c r="USB742" s="124"/>
      <c r="USC742" s="124"/>
      <c r="USD742" s="124"/>
      <c r="USE742" s="124"/>
      <c r="USF742" s="124"/>
      <c r="USG742" s="124"/>
      <c r="USH742" s="124"/>
      <c r="USI742" s="124"/>
      <c r="USJ742" s="124"/>
      <c r="USK742" s="124"/>
      <c r="USL742" s="124"/>
      <c r="USM742" s="124"/>
      <c r="USN742" s="124"/>
      <c r="USO742" s="124"/>
      <c r="USP742" s="124"/>
      <c r="USQ742" s="124"/>
      <c r="USR742" s="124"/>
      <c r="USS742" s="124"/>
      <c r="UST742" s="124"/>
      <c r="USU742" s="124"/>
      <c r="USV742" s="124"/>
      <c r="USW742" s="124"/>
      <c r="USX742" s="124"/>
      <c r="USY742" s="124"/>
      <c r="USZ742" s="124"/>
      <c r="UTA742" s="124"/>
      <c r="UTB742" s="124"/>
      <c r="UTC742" s="124"/>
      <c r="UTD742" s="124"/>
      <c r="UTE742" s="124"/>
      <c r="UTF742" s="124"/>
      <c r="UTG742" s="124"/>
      <c r="UTH742" s="124"/>
      <c r="UTI742" s="124"/>
      <c r="UTJ742" s="124"/>
      <c r="UTK742" s="124"/>
      <c r="UTL742" s="124"/>
      <c r="UTM742" s="124"/>
      <c r="UTN742" s="124"/>
      <c r="UTO742" s="124"/>
      <c r="UTP742" s="124"/>
      <c r="UTQ742" s="124"/>
      <c r="UTR742" s="124"/>
      <c r="UTS742" s="124"/>
      <c r="UTT742" s="124"/>
      <c r="UTU742" s="124"/>
      <c r="UTV742" s="124"/>
      <c r="UTW742" s="124"/>
      <c r="UTX742" s="124"/>
      <c r="UTY742" s="124"/>
      <c r="UTZ742" s="124"/>
      <c r="UUA742" s="124"/>
      <c r="UUB742" s="124"/>
      <c r="UUC742" s="124"/>
      <c r="UUD742" s="124"/>
      <c r="UUE742" s="124"/>
      <c r="UUF742" s="124"/>
      <c r="UUG742" s="124"/>
      <c r="UUH742" s="124"/>
      <c r="UUI742" s="124"/>
      <c r="UUJ742" s="124"/>
      <c r="UUK742" s="124"/>
      <c r="UUL742" s="124"/>
      <c r="UUM742" s="124"/>
      <c r="UUN742" s="124"/>
      <c r="UUO742" s="124"/>
      <c r="UUP742" s="124"/>
      <c r="UUQ742" s="124"/>
      <c r="UUR742" s="124"/>
      <c r="UUS742" s="124"/>
      <c r="UUT742" s="124"/>
      <c r="UUU742" s="124"/>
      <c r="UUV742" s="124"/>
      <c r="UUW742" s="124"/>
      <c r="UUX742" s="124"/>
      <c r="UUY742" s="124"/>
      <c r="UUZ742" s="124"/>
      <c r="UVA742" s="124"/>
      <c r="UVB742" s="124"/>
      <c r="UVC742" s="124"/>
      <c r="UVD742" s="124"/>
      <c r="UVE742" s="124"/>
      <c r="UVF742" s="124"/>
      <c r="UVG742" s="124"/>
      <c r="UVH742" s="124"/>
      <c r="UVI742" s="124"/>
      <c r="UVJ742" s="124"/>
      <c r="UVK742" s="124"/>
      <c r="UVL742" s="124"/>
      <c r="UVM742" s="124"/>
      <c r="UVN742" s="124"/>
      <c r="UVO742" s="124"/>
      <c r="UVP742" s="124"/>
      <c r="UVQ742" s="124"/>
      <c r="UVR742" s="124"/>
      <c r="UVS742" s="124"/>
      <c r="UVT742" s="124"/>
      <c r="UVU742" s="124"/>
      <c r="UVV742" s="124"/>
      <c r="UVW742" s="124"/>
      <c r="UVX742" s="124"/>
      <c r="UVY742" s="124"/>
      <c r="UVZ742" s="124"/>
      <c r="UWA742" s="124"/>
      <c r="UWB742" s="124"/>
      <c r="UWC742" s="124"/>
      <c r="UWD742" s="124"/>
      <c r="UWE742" s="124"/>
      <c r="UWF742" s="124"/>
      <c r="UWG742" s="124"/>
      <c r="UWH742" s="124"/>
      <c r="UWI742" s="124"/>
      <c r="UWJ742" s="124"/>
      <c r="UWK742" s="124"/>
      <c r="UWL742" s="124"/>
      <c r="UWM742" s="124"/>
      <c r="UWN742" s="124"/>
      <c r="UWO742" s="124"/>
      <c r="UWP742" s="124"/>
      <c r="UWQ742" s="124"/>
      <c r="UWR742" s="124"/>
      <c r="UWS742" s="124"/>
      <c r="UWT742" s="124"/>
      <c r="UWU742" s="124"/>
      <c r="UWV742" s="124"/>
      <c r="UWW742" s="124"/>
      <c r="UWX742" s="124"/>
      <c r="UWY742" s="124"/>
      <c r="UWZ742" s="124"/>
      <c r="UXA742" s="124"/>
      <c r="UXB742" s="124"/>
      <c r="UXC742" s="124"/>
      <c r="UXD742" s="124"/>
      <c r="UXE742" s="124"/>
      <c r="UXF742" s="124"/>
      <c r="UXG742" s="124"/>
      <c r="UXH742" s="124"/>
      <c r="UXI742" s="124"/>
      <c r="UXJ742" s="124"/>
      <c r="UXK742" s="124"/>
      <c r="UXL742" s="124"/>
      <c r="UXM742" s="124"/>
      <c r="UXN742" s="124"/>
      <c r="UXO742" s="124"/>
      <c r="UXP742" s="124"/>
      <c r="UXQ742" s="124"/>
      <c r="UXR742" s="124"/>
      <c r="UXS742" s="124"/>
      <c r="UXT742" s="124"/>
      <c r="UXU742" s="124"/>
      <c r="UXV742" s="124"/>
      <c r="UXW742" s="124"/>
      <c r="UXX742" s="124"/>
      <c r="UXY742" s="124"/>
      <c r="UXZ742" s="124"/>
      <c r="UYA742" s="124"/>
      <c r="UYB742" s="124"/>
      <c r="UYC742" s="124"/>
      <c r="UYD742" s="124"/>
      <c r="UYE742" s="124"/>
      <c r="UYF742" s="124"/>
      <c r="UYG742" s="124"/>
      <c r="UYH742" s="124"/>
      <c r="UYI742" s="124"/>
      <c r="UYJ742" s="124"/>
      <c r="UYK742" s="124"/>
      <c r="UYL742" s="124"/>
      <c r="UYM742" s="124"/>
      <c r="UYN742" s="124"/>
      <c r="UYO742" s="124"/>
      <c r="UYP742" s="124"/>
      <c r="UYQ742" s="124"/>
      <c r="UYR742" s="124"/>
      <c r="UYS742" s="124"/>
      <c r="UYT742" s="124"/>
      <c r="UYU742" s="124"/>
      <c r="UYV742" s="124"/>
      <c r="UYW742" s="124"/>
      <c r="UYX742" s="124"/>
      <c r="UYY742" s="124"/>
      <c r="UYZ742" s="124"/>
      <c r="UZA742" s="124"/>
      <c r="UZB742" s="124"/>
      <c r="UZC742" s="124"/>
      <c r="UZD742" s="124"/>
      <c r="UZE742" s="124"/>
      <c r="UZF742" s="124"/>
      <c r="UZG742" s="124"/>
      <c r="UZH742" s="124"/>
      <c r="UZI742" s="124"/>
      <c r="UZJ742" s="124"/>
      <c r="UZK742" s="124"/>
      <c r="UZL742" s="124"/>
      <c r="UZM742" s="124"/>
      <c r="UZN742" s="124"/>
      <c r="UZO742" s="124"/>
      <c r="UZP742" s="124"/>
      <c r="UZQ742" s="124"/>
      <c r="UZR742" s="124"/>
      <c r="UZS742" s="124"/>
      <c r="UZT742" s="124"/>
      <c r="UZU742" s="124"/>
      <c r="UZV742" s="124"/>
      <c r="UZW742" s="124"/>
      <c r="UZX742" s="124"/>
      <c r="UZY742" s="124"/>
      <c r="UZZ742" s="124"/>
      <c r="VAA742" s="124"/>
      <c r="VAB742" s="124"/>
      <c r="VAC742" s="124"/>
      <c r="VAD742" s="124"/>
      <c r="VAE742" s="124"/>
      <c r="VAF742" s="124"/>
      <c r="VAG742" s="124"/>
      <c r="VAH742" s="124"/>
      <c r="VAI742" s="124"/>
      <c r="VAJ742" s="124"/>
      <c r="VAK742" s="124"/>
      <c r="VAL742" s="124"/>
      <c r="VAM742" s="124"/>
      <c r="VAN742" s="124"/>
      <c r="VAO742" s="124"/>
      <c r="VAP742" s="124"/>
      <c r="VAQ742" s="124"/>
      <c r="VAR742" s="124"/>
      <c r="VAS742" s="124"/>
      <c r="VAT742" s="124"/>
      <c r="VAU742" s="124"/>
      <c r="VAV742" s="124"/>
      <c r="VAW742" s="124"/>
      <c r="VAX742" s="124"/>
      <c r="VAY742" s="124"/>
      <c r="VAZ742" s="124"/>
      <c r="VBA742" s="124"/>
      <c r="VBB742" s="124"/>
      <c r="VBC742" s="124"/>
      <c r="VBD742" s="124"/>
      <c r="VBE742" s="124"/>
      <c r="VBF742" s="124"/>
      <c r="VBG742" s="124"/>
      <c r="VBH742" s="124"/>
      <c r="VBI742" s="124"/>
      <c r="VBJ742" s="124"/>
      <c r="VBK742" s="124"/>
      <c r="VBL742" s="124"/>
      <c r="VBM742" s="124"/>
      <c r="VBN742" s="124"/>
      <c r="VBO742" s="124"/>
      <c r="VBP742" s="124"/>
      <c r="VBQ742" s="124"/>
      <c r="VBR742" s="124"/>
      <c r="VBS742" s="124"/>
      <c r="VBT742" s="124"/>
      <c r="VBU742" s="124"/>
      <c r="VBV742" s="124"/>
      <c r="VBW742" s="124"/>
      <c r="VBX742" s="124"/>
      <c r="VBY742" s="124"/>
      <c r="VBZ742" s="124"/>
      <c r="VCA742" s="124"/>
      <c r="VCB742" s="124"/>
      <c r="VCC742" s="124"/>
      <c r="VCD742" s="124"/>
      <c r="VCE742" s="124"/>
      <c r="VCF742" s="124"/>
      <c r="VCG742" s="124"/>
      <c r="VCH742" s="124"/>
      <c r="VCI742" s="124"/>
      <c r="VCJ742" s="124"/>
      <c r="VCK742" s="124"/>
      <c r="VCL742" s="124"/>
      <c r="VCM742" s="124"/>
      <c r="VCN742" s="124"/>
      <c r="VCO742" s="124"/>
      <c r="VCP742" s="124"/>
      <c r="VCQ742" s="124"/>
      <c r="VCR742" s="124"/>
      <c r="VCS742" s="124"/>
      <c r="VCT742" s="124"/>
      <c r="VCU742" s="124"/>
      <c r="VCV742" s="124"/>
      <c r="VCW742" s="124"/>
      <c r="VCX742" s="124"/>
      <c r="VCY742" s="124"/>
      <c r="VCZ742" s="124"/>
      <c r="VDA742" s="124"/>
      <c r="VDB742" s="124"/>
      <c r="VDC742" s="124"/>
      <c r="VDD742" s="124"/>
      <c r="VDE742" s="124"/>
      <c r="VDF742" s="124"/>
      <c r="VDG742" s="124"/>
      <c r="VDH742" s="124"/>
      <c r="VDI742" s="124"/>
      <c r="VDJ742" s="124"/>
      <c r="VDK742" s="124"/>
      <c r="VDL742" s="124"/>
      <c r="VDM742" s="124"/>
      <c r="VDN742" s="124"/>
      <c r="VDO742" s="124"/>
      <c r="VDP742" s="124"/>
      <c r="VDQ742" s="124"/>
      <c r="VDR742" s="124"/>
      <c r="VDS742" s="124"/>
      <c r="VDT742" s="124"/>
      <c r="VDU742" s="124"/>
      <c r="VDV742" s="124"/>
      <c r="VDW742" s="124"/>
      <c r="VDX742" s="124"/>
      <c r="VDY742" s="124"/>
      <c r="VDZ742" s="124"/>
      <c r="VEA742" s="124"/>
      <c r="VEB742" s="124"/>
      <c r="VEC742" s="124"/>
      <c r="VED742" s="124"/>
      <c r="VEE742" s="124"/>
      <c r="VEF742" s="124"/>
      <c r="VEG742" s="124"/>
      <c r="VEH742" s="124"/>
      <c r="VEI742" s="124"/>
      <c r="VEJ742" s="124"/>
      <c r="VEK742" s="124"/>
      <c r="VEL742" s="124"/>
      <c r="VEM742" s="124"/>
      <c r="VEN742" s="124"/>
      <c r="VEO742" s="124"/>
      <c r="VEP742" s="124"/>
      <c r="VEQ742" s="124"/>
      <c r="VER742" s="124"/>
      <c r="VES742" s="124"/>
      <c r="VET742" s="124"/>
      <c r="VEU742" s="124"/>
      <c r="VEV742" s="124"/>
      <c r="VEW742" s="124"/>
      <c r="VEX742" s="124"/>
      <c r="VEY742" s="124"/>
      <c r="VEZ742" s="124"/>
      <c r="VFA742" s="124"/>
      <c r="VFB742" s="124"/>
      <c r="VFC742" s="124"/>
      <c r="VFD742" s="124"/>
      <c r="VFE742" s="124"/>
      <c r="VFF742" s="124"/>
      <c r="VFG742" s="124"/>
      <c r="VFH742" s="124"/>
      <c r="VFI742" s="124"/>
      <c r="VFJ742" s="124"/>
      <c r="VFK742" s="124"/>
      <c r="VFL742" s="124"/>
      <c r="VFM742" s="124"/>
      <c r="VFN742" s="124"/>
      <c r="VFO742" s="124"/>
      <c r="VFP742" s="124"/>
      <c r="VFQ742" s="124"/>
      <c r="VFR742" s="124"/>
      <c r="VFS742" s="124"/>
      <c r="VFT742" s="124"/>
      <c r="VFU742" s="124"/>
      <c r="VFV742" s="124"/>
      <c r="VFW742" s="124"/>
      <c r="VFX742" s="124"/>
      <c r="VFY742" s="124"/>
      <c r="VFZ742" s="124"/>
      <c r="VGA742" s="124"/>
      <c r="VGB742" s="124"/>
      <c r="VGC742" s="124"/>
      <c r="VGD742" s="124"/>
      <c r="VGE742" s="124"/>
      <c r="VGF742" s="124"/>
      <c r="VGG742" s="124"/>
      <c r="VGH742" s="124"/>
      <c r="VGI742" s="124"/>
      <c r="VGJ742" s="124"/>
      <c r="VGK742" s="124"/>
      <c r="VGL742" s="124"/>
      <c r="VGM742" s="124"/>
      <c r="VGN742" s="124"/>
      <c r="VGO742" s="124"/>
      <c r="VGP742" s="124"/>
      <c r="VGQ742" s="124"/>
      <c r="VGR742" s="124"/>
      <c r="VGS742" s="124"/>
      <c r="VGT742" s="124"/>
      <c r="VGU742" s="124"/>
      <c r="VGV742" s="124"/>
      <c r="VGW742" s="124"/>
      <c r="VGX742" s="124"/>
      <c r="VGY742" s="124"/>
      <c r="VGZ742" s="124"/>
      <c r="VHA742" s="124"/>
      <c r="VHB742" s="124"/>
      <c r="VHC742" s="124"/>
      <c r="VHD742" s="124"/>
      <c r="VHE742" s="124"/>
      <c r="VHF742" s="124"/>
      <c r="VHG742" s="124"/>
      <c r="VHH742" s="124"/>
      <c r="VHI742" s="124"/>
      <c r="VHJ742" s="124"/>
      <c r="VHK742" s="124"/>
      <c r="VHL742" s="124"/>
      <c r="VHM742" s="124"/>
      <c r="VHN742" s="124"/>
      <c r="VHO742" s="124"/>
      <c r="VHP742" s="124"/>
      <c r="VHQ742" s="124"/>
      <c r="VHR742" s="124"/>
      <c r="VHS742" s="124"/>
      <c r="VHT742" s="124"/>
      <c r="VHU742" s="124"/>
      <c r="VHV742" s="124"/>
      <c r="VHW742" s="124"/>
      <c r="VHX742" s="124"/>
      <c r="VHY742" s="124"/>
      <c r="VHZ742" s="124"/>
      <c r="VIA742" s="124"/>
      <c r="VIB742" s="124"/>
      <c r="VIC742" s="124"/>
      <c r="VID742" s="124"/>
      <c r="VIE742" s="124"/>
      <c r="VIF742" s="124"/>
      <c r="VIG742" s="124"/>
      <c r="VIH742" s="124"/>
      <c r="VII742" s="124"/>
      <c r="VIJ742" s="124"/>
      <c r="VIK742" s="124"/>
      <c r="VIL742" s="124"/>
      <c r="VIM742" s="124"/>
      <c r="VIN742" s="124"/>
      <c r="VIO742" s="124"/>
      <c r="VIP742" s="124"/>
      <c r="VIQ742" s="124"/>
      <c r="VIR742" s="124"/>
      <c r="VIS742" s="124"/>
      <c r="VIT742" s="124"/>
      <c r="VIU742" s="124"/>
      <c r="VIV742" s="124"/>
      <c r="VIW742" s="124"/>
      <c r="VIX742" s="124"/>
      <c r="VIY742" s="124"/>
      <c r="VIZ742" s="124"/>
      <c r="VJA742" s="124"/>
      <c r="VJB742" s="124"/>
      <c r="VJC742" s="124"/>
      <c r="VJD742" s="124"/>
      <c r="VJE742" s="124"/>
      <c r="VJF742" s="124"/>
      <c r="VJG742" s="124"/>
      <c r="VJH742" s="124"/>
      <c r="VJI742" s="124"/>
      <c r="VJJ742" s="124"/>
      <c r="VJK742" s="124"/>
      <c r="VJL742" s="124"/>
      <c r="VJM742" s="124"/>
      <c r="VJN742" s="124"/>
      <c r="VJO742" s="124"/>
      <c r="VJP742" s="124"/>
      <c r="VJQ742" s="124"/>
      <c r="VJR742" s="124"/>
      <c r="VJS742" s="124"/>
      <c r="VJT742" s="124"/>
      <c r="VJU742" s="124"/>
      <c r="VJV742" s="124"/>
      <c r="VJW742" s="124"/>
      <c r="VJX742" s="124"/>
      <c r="VJY742" s="124"/>
      <c r="VJZ742" s="124"/>
      <c r="VKA742" s="124"/>
      <c r="VKB742" s="124"/>
      <c r="VKC742" s="124"/>
      <c r="VKD742" s="124"/>
      <c r="VKE742" s="124"/>
      <c r="VKF742" s="124"/>
      <c r="VKG742" s="124"/>
      <c r="VKH742" s="124"/>
      <c r="VKI742" s="124"/>
      <c r="VKJ742" s="124"/>
      <c r="VKK742" s="124"/>
      <c r="VKL742" s="124"/>
      <c r="VKM742" s="124"/>
      <c r="VKN742" s="124"/>
      <c r="VKO742" s="124"/>
      <c r="VKP742" s="124"/>
      <c r="VKQ742" s="124"/>
      <c r="VKR742" s="124"/>
      <c r="VKS742" s="124"/>
      <c r="VKT742" s="124"/>
      <c r="VKU742" s="124"/>
      <c r="VKV742" s="124"/>
      <c r="VKW742" s="124"/>
      <c r="VKX742" s="124"/>
      <c r="VKY742" s="124"/>
      <c r="VKZ742" s="124"/>
      <c r="VLA742" s="124"/>
      <c r="VLB742" s="124"/>
      <c r="VLC742" s="124"/>
      <c r="VLD742" s="124"/>
      <c r="VLE742" s="124"/>
      <c r="VLF742" s="124"/>
      <c r="VLG742" s="124"/>
      <c r="VLH742" s="124"/>
      <c r="VLI742" s="124"/>
      <c r="VLJ742" s="124"/>
      <c r="VLK742" s="124"/>
      <c r="VLL742" s="124"/>
      <c r="VLM742" s="124"/>
      <c r="VLN742" s="124"/>
      <c r="VLO742" s="124"/>
      <c r="VLP742" s="124"/>
      <c r="VLQ742" s="124"/>
      <c r="VLR742" s="124"/>
      <c r="VLS742" s="124"/>
      <c r="VLT742" s="124"/>
      <c r="VLU742" s="124"/>
      <c r="VLV742" s="124"/>
      <c r="VLW742" s="124"/>
      <c r="VLX742" s="124"/>
      <c r="VLY742" s="124"/>
      <c r="VLZ742" s="124"/>
      <c r="VMA742" s="124"/>
      <c r="VMB742" s="124"/>
      <c r="VMC742" s="124"/>
      <c r="VMD742" s="124"/>
      <c r="VME742" s="124"/>
      <c r="VMF742" s="124"/>
      <c r="VMG742" s="124"/>
      <c r="VMH742" s="124"/>
      <c r="VMI742" s="124"/>
      <c r="VMJ742" s="124"/>
      <c r="VMK742" s="124"/>
      <c r="VML742" s="124"/>
      <c r="VMM742" s="124"/>
      <c r="VMN742" s="124"/>
      <c r="VMO742" s="124"/>
      <c r="VMP742" s="124"/>
      <c r="VMQ742" s="124"/>
      <c r="VMR742" s="124"/>
      <c r="VMS742" s="124"/>
      <c r="VMT742" s="124"/>
      <c r="VMU742" s="124"/>
      <c r="VMV742" s="124"/>
      <c r="VMW742" s="124"/>
      <c r="VMX742" s="124"/>
      <c r="VMY742" s="124"/>
      <c r="VMZ742" s="124"/>
      <c r="VNA742" s="124"/>
      <c r="VNB742" s="124"/>
      <c r="VNC742" s="124"/>
      <c r="VND742" s="124"/>
      <c r="VNE742" s="124"/>
      <c r="VNF742" s="124"/>
      <c r="VNG742" s="124"/>
      <c r="VNH742" s="124"/>
      <c r="VNI742" s="124"/>
      <c r="VNJ742" s="124"/>
      <c r="VNK742" s="124"/>
      <c r="VNL742" s="124"/>
      <c r="VNM742" s="124"/>
      <c r="VNN742" s="124"/>
      <c r="VNO742" s="124"/>
      <c r="VNP742" s="124"/>
      <c r="VNQ742" s="124"/>
      <c r="VNR742" s="124"/>
      <c r="VNS742" s="124"/>
      <c r="VNT742" s="124"/>
      <c r="VNU742" s="124"/>
      <c r="VNV742" s="124"/>
      <c r="VNW742" s="124"/>
      <c r="VNX742" s="124"/>
      <c r="VNY742" s="124"/>
      <c r="VNZ742" s="124"/>
      <c r="VOA742" s="124"/>
      <c r="VOB742" s="124"/>
      <c r="VOC742" s="124"/>
      <c r="VOD742" s="124"/>
      <c r="VOE742" s="124"/>
      <c r="VOF742" s="124"/>
      <c r="VOG742" s="124"/>
      <c r="VOH742" s="124"/>
      <c r="VOI742" s="124"/>
      <c r="VOJ742" s="124"/>
      <c r="VOK742" s="124"/>
      <c r="VOL742" s="124"/>
      <c r="VOM742" s="124"/>
      <c r="VON742" s="124"/>
      <c r="VOO742" s="124"/>
      <c r="VOP742" s="124"/>
      <c r="VOQ742" s="124"/>
      <c r="VOR742" s="124"/>
      <c r="VOS742" s="124"/>
      <c r="VOT742" s="124"/>
      <c r="VOU742" s="124"/>
      <c r="VOV742" s="124"/>
      <c r="VOW742" s="124"/>
      <c r="VOX742" s="124"/>
      <c r="VOY742" s="124"/>
      <c r="VOZ742" s="124"/>
      <c r="VPA742" s="124"/>
      <c r="VPB742" s="124"/>
      <c r="VPC742" s="124"/>
      <c r="VPD742" s="124"/>
      <c r="VPE742" s="124"/>
      <c r="VPF742" s="124"/>
      <c r="VPG742" s="124"/>
      <c r="VPH742" s="124"/>
      <c r="VPI742" s="124"/>
      <c r="VPJ742" s="124"/>
      <c r="VPK742" s="124"/>
      <c r="VPL742" s="124"/>
      <c r="VPM742" s="124"/>
      <c r="VPN742" s="124"/>
      <c r="VPO742" s="124"/>
      <c r="VPP742" s="124"/>
      <c r="VPQ742" s="124"/>
      <c r="VPR742" s="124"/>
      <c r="VPS742" s="124"/>
      <c r="VPT742" s="124"/>
      <c r="VPU742" s="124"/>
      <c r="VPV742" s="124"/>
      <c r="VPW742" s="124"/>
      <c r="VPX742" s="124"/>
      <c r="VPY742" s="124"/>
      <c r="VPZ742" s="124"/>
      <c r="VQA742" s="124"/>
      <c r="VQB742" s="124"/>
      <c r="VQC742" s="124"/>
      <c r="VQD742" s="124"/>
      <c r="VQE742" s="124"/>
      <c r="VQF742" s="124"/>
      <c r="VQG742" s="124"/>
      <c r="VQH742" s="124"/>
      <c r="VQI742" s="124"/>
      <c r="VQJ742" s="124"/>
      <c r="VQK742" s="124"/>
      <c r="VQL742" s="124"/>
      <c r="VQM742" s="124"/>
      <c r="VQN742" s="124"/>
      <c r="VQO742" s="124"/>
      <c r="VQP742" s="124"/>
      <c r="VQQ742" s="124"/>
      <c r="VQR742" s="124"/>
      <c r="VQS742" s="124"/>
      <c r="VQT742" s="124"/>
      <c r="VQU742" s="124"/>
      <c r="VQV742" s="124"/>
      <c r="VQW742" s="124"/>
      <c r="VQX742" s="124"/>
      <c r="VQY742" s="124"/>
      <c r="VQZ742" s="124"/>
      <c r="VRA742" s="124"/>
      <c r="VRB742" s="124"/>
      <c r="VRC742" s="124"/>
      <c r="VRD742" s="124"/>
      <c r="VRE742" s="124"/>
      <c r="VRF742" s="124"/>
      <c r="VRG742" s="124"/>
      <c r="VRH742" s="124"/>
      <c r="VRI742" s="124"/>
      <c r="VRJ742" s="124"/>
      <c r="VRK742" s="124"/>
      <c r="VRL742" s="124"/>
      <c r="VRM742" s="124"/>
      <c r="VRN742" s="124"/>
      <c r="VRO742" s="124"/>
      <c r="VRP742" s="124"/>
      <c r="VRQ742" s="124"/>
      <c r="VRR742" s="124"/>
      <c r="VRS742" s="124"/>
      <c r="VRT742" s="124"/>
      <c r="VRU742" s="124"/>
      <c r="VRV742" s="124"/>
      <c r="VRW742" s="124"/>
      <c r="VRX742" s="124"/>
      <c r="VRY742" s="124"/>
      <c r="VRZ742" s="124"/>
      <c r="VSA742" s="124"/>
      <c r="VSB742" s="124"/>
      <c r="VSC742" s="124"/>
      <c r="VSD742" s="124"/>
      <c r="VSE742" s="124"/>
      <c r="VSF742" s="124"/>
      <c r="VSG742" s="124"/>
      <c r="VSH742" s="124"/>
      <c r="VSI742" s="124"/>
      <c r="VSJ742" s="124"/>
      <c r="VSK742" s="124"/>
      <c r="VSL742" s="124"/>
      <c r="VSM742" s="124"/>
      <c r="VSN742" s="124"/>
      <c r="VSO742" s="124"/>
      <c r="VSP742" s="124"/>
      <c r="VSQ742" s="124"/>
      <c r="VSR742" s="124"/>
      <c r="VSS742" s="124"/>
      <c r="VST742" s="124"/>
      <c r="VSU742" s="124"/>
      <c r="VSV742" s="124"/>
      <c r="VSW742" s="124"/>
      <c r="VSX742" s="124"/>
      <c r="VSY742" s="124"/>
      <c r="VSZ742" s="124"/>
      <c r="VTA742" s="124"/>
      <c r="VTB742" s="124"/>
      <c r="VTC742" s="124"/>
      <c r="VTD742" s="124"/>
      <c r="VTE742" s="124"/>
      <c r="VTF742" s="124"/>
      <c r="VTG742" s="124"/>
      <c r="VTH742" s="124"/>
      <c r="VTI742" s="124"/>
      <c r="VTJ742" s="124"/>
      <c r="VTK742" s="124"/>
      <c r="VTL742" s="124"/>
      <c r="VTM742" s="124"/>
      <c r="VTN742" s="124"/>
      <c r="VTO742" s="124"/>
      <c r="VTP742" s="124"/>
      <c r="VTQ742" s="124"/>
      <c r="VTR742" s="124"/>
      <c r="VTS742" s="124"/>
      <c r="VTT742" s="124"/>
      <c r="VTU742" s="124"/>
      <c r="VTV742" s="124"/>
      <c r="VTW742" s="124"/>
      <c r="VTX742" s="124"/>
      <c r="VTY742" s="124"/>
      <c r="VTZ742" s="124"/>
      <c r="VUA742" s="124"/>
      <c r="VUB742" s="124"/>
      <c r="VUC742" s="124"/>
      <c r="VUD742" s="124"/>
      <c r="VUE742" s="124"/>
      <c r="VUF742" s="124"/>
      <c r="VUG742" s="124"/>
      <c r="VUH742" s="124"/>
      <c r="VUI742" s="124"/>
      <c r="VUJ742" s="124"/>
      <c r="VUK742" s="124"/>
      <c r="VUL742" s="124"/>
      <c r="VUM742" s="124"/>
      <c r="VUN742" s="124"/>
      <c r="VUO742" s="124"/>
      <c r="VUP742" s="124"/>
      <c r="VUQ742" s="124"/>
      <c r="VUR742" s="124"/>
      <c r="VUS742" s="124"/>
      <c r="VUT742" s="124"/>
      <c r="VUU742" s="124"/>
      <c r="VUV742" s="124"/>
      <c r="VUW742" s="124"/>
      <c r="VUX742" s="124"/>
      <c r="VUY742" s="124"/>
      <c r="VUZ742" s="124"/>
      <c r="VVA742" s="124"/>
      <c r="VVB742" s="124"/>
      <c r="VVC742" s="124"/>
      <c r="VVD742" s="124"/>
      <c r="VVE742" s="124"/>
      <c r="VVF742" s="124"/>
      <c r="VVG742" s="124"/>
      <c r="VVH742" s="124"/>
      <c r="VVI742" s="124"/>
      <c r="VVJ742" s="124"/>
      <c r="VVK742" s="124"/>
      <c r="VVL742" s="124"/>
      <c r="VVM742" s="124"/>
      <c r="VVN742" s="124"/>
      <c r="VVO742" s="124"/>
      <c r="VVP742" s="124"/>
      <c r="VVQ742" s="124"/>
      <c r="VVR742" s="124"/>
      <c r="VVS742" s="124"/>
      <c r="VVT742" s="124"/>
      <c r="VVU742" s="124"/>
      <c r="VVV742" s="124"/>
      <c r="VVW742" s="124"/>
      <c r="VVX742" s="124"/>
      <c r="VVY742" s="124"/>
      <c r="VVZ742" s="124"/>
      <c r="VWA742" s="124"/>
      <c r="VWB742" s="124"/>
      <c r="VWC742" s="124"/>
      <c r="VWD742" s="124"/>
      <c r="VWE742" s="124"/>
      <c r="VWF742" s="124"/>
      <c r="VWG742" s="124"/>
      <c r="VWH742" s="124"/>
      <c r="VWI742" s="124"/>
      <c r="VWJ742" s="124"/>
      <c r="VWK742" s="124"/>
      <c r="VWL742" s="124"/>
      <c r="VWM742" s="124"/>
      <c r="VWN742" s="124"/>
      <c r="VWO742" s="124"/>
      <c r="VWP742" s="124"/>
      <c r="VWQ742" s="124"/>
      <c r="VWR742" s="124"/>
      <c r="VWS742" s="124"/>
      <c r="VWT742" s="124"/>
      <c r="VWU742" s="124"/>
      <c r="VWV742" s="124"/>
      <c r="VWW742" s="124"/>
      <c r="VWX742" s="124"/>
      <c r="VWY742" s="124"/>
      <c r="VWZ742" s="124"/>
      <c r="VXA742" s="124"/>
      <c r="VXB742" s="124"/>
      <c r="VXC742" s="124"/>
      <c r="VXD742" s="124"/>
      <c r="VXE742" s="124"/>
      <c r="VXF742" s="124"/>
      <c r="VXG742" s="124"/>
      <c r="VXH742" s="124"/>
      <c r="VXI742" s="124"/>
      <c r="VXJ742" s="124"/>
      <c r="VXK742" s="124"/>
      <c r="VXL742" s="124"/>
      <c r="VXM742" s="124"/>
      <c r="VXN742" s="124"/>
      <c r="VXO742" s="124"/>
      <c r="VXP742" s="124"/>
      <c r="VXQ742" s="124"/>
      <c r="VXR742" s="124"/>
      <c r="VXS742" s="124"/>
      <c r="VXT742" s="124"/>
      <c r="VXU742" s="124"/>
      <c r="VXV742" s="124"/>
      <c r="VXW742" s="124"/>
      <c r="VXX742" s="124"/>
      <c r="VXY742" s="124"/>
      <c r="VXZ742" s="124"/>
      <c r="VYA742" s="124"/>
      <c r="VYB742" s="124"/>
      <c r="VYC742" s="124"/>
      <c r="VYD742" s="124"/>
      <c r="VYE742" s="124"/>
      <c r="VYF742" s="124"/>
      <c r="VYG742" s="124"/>
      <c r="VYH742" s="124"/>
      <c r="VYI742" s="124"/>
      <c r="VYJ742" s="124"/>
      <c r="VYK742" s="124"/>
      <c r="VYL742" s="124"/>
      <c r="VYM742" s="124"/>
      <c r="VYN742" s="124"/>
      <c r="VYO742" s="124"/>
      <c r="VYP742" s="124"/>
      <c r="VYQ742" s="124"/>
      <c r="VYR742" s="124"/>
      <c r="VYS742" s="124"/>
      <c r="VYT742" s="124"/>
      <c r="VYU742" s="124"/>
      <c r="VYV742" s="124"/>
      <c r="VYW742" s="124"/>
      <c r="VYX742" s="124"/>
      <c r="VYY742" s="124"/>
      <c r="VYZ742" s="124"/>
      <c r="VZA742" s="124"/>
      <c r="VZB742" s="124"/>
      <c r="VZC742" s="124"/>
      <c r="VZD742" s="124"/>
      <c r="VZE742" s="124"/>
      <c r="VZF742" s="124"/>
      <c r="VZG742" s="124"/>
      <c r="VZH742" s="124"/>
      <c r="VZI742" s="124"/>
      <c r="VZJ742" s="124"/>
      <c r="VZK742" s="124"/>
      <c r="VZL742" s="124"/>
      <c r="VZM742" s="124"/>
      <c r="VZN742" s="124"/>
      <c r="VZO742" s="124"/>
      <c r="VZP742" s="124"/>
      <c r="VZQ742" s="124"/>
      <c r="VZR742" s="124"/>
      <c r="VZS742" s="124"/>
      <c r="VZT742" s="124"/>
      <c r="VZU742" s="124"/>
      <c r="VZV742" s="124"/>
      <c r="VZW742" s="124"/>
      <c r="VZX742" s="124"/>
      <c r="VZY742" s="124"/>
      <c r="VZZ742" s="124"/>
      <c r="WAA742" s="124"/>
      <c r="WAB742" s="124"/>
      <c r="WAC742" s="124"/>
      <c r="WAD742" s="124"/>
      <c r="WAE742" s="124"/>
      <c r="WAF742" s="124"/>
      <c r="WAG742" s="124"/>
      <c r="WAH742" s="124"/>
      <c r="WAI742" s="124"/>
      <c r="WAJ742" s="124"/>
      <c r="WAK742" s="124"/>
      <c r="WAL742" s="124"/>
      <c r="WAM742" s="124"/>
      <c r="WAN742" s="124"/>
      <c r="WAO742" s="124"/>
      <c r="WAP742" s="124"/>
      <c r="WAQ742" s="124"/>
      <c r="WAR742" s="124"/>
      <c r="WAS742" s="124"/>
      <c r="WAT742" s="124"/>
      <c r="WAU742" s="124"/>
      <c r="WAV742" s="124"/>
      <c r="WAW742" s="124"/>
      <c r="WAX742" s="124"/>
      <c r="WAY742" s="124"/>
      <c r="WAZ742" s="124"/>
      <c r="WBA742" s="124"/>
      <c r="WBB742" s="124"/>
      <c r="WBC742" s="124"/>
      <c r="WBD742" s="124"/>
      <c r="WBE742" s="124"/>
      <c r="WBF742" s="124"/>
      <c r="WBG742" s="124"/>
      <c r="WBH742" s="124"/>
      <c r="WBI742" s="124"/>
      <c r="WBJ742" s="124"/>
      <c r="WBK742" s="124"/>
      <c r="WBL742" s="124"/>
      <c r="WBM742" s="124"/>
      <c r="WBN742" s="124"/>
      <c r="WBO742" s="124"/>
      <c r="WBP742" s="124"/>
      <c r="WBQ742" s="124"/>
      <c r="WBR742" s="124"/>
      <c r="WBS742" s="124"/>
      <c r="WBT742" s="124"/>
      <c r="WBU742" s="124"/>
      <c r="WBV742" s="124"/>
      <c r="WBW742" s="124"/>
      <c r="WBX742" s="124"/>
      <c r="WBY742" s="124"/>
      <c r="WBZ742" s="124"/>
      <c r="WCA742" s="124"/>
      <c r="WCB742" s="124"/>
      <c r="WCC742" s="124"/>
      <c r="WCD742" s="124"/>
      <c r="WCE742" s="124"/>
      <c r="WCF742" s="124"/>
      <c r="WCG742" s="124"/>
      <c r="WCH742" s="124"/>
      <c r="WCI742" s="124"/>
      <c r="WCJ742" s="124"/>
      <c r="WCK742" s="124"/>
      <c r="WCL742" s="124"/>
      <c r="WCM742" s="124"/>
      <c r="WCN742" s="124"/>
      <c r="WCO742" s="124"/>
      <c r="WCP742" s="124"/>
      <c r="WCQ742" s="124"/>
      <c r="WCR742" s="124"/>
      <c r="WCS742" s="124"/>
      <c r="WCT742" s="124"/>
      <c r="WCU742" s="124"/>
      <c r="WCV742" s="124"/>
      <c r="WCW742" s="124"/>
      <c r="WCX742" s="124"/>
      <c r="WCY742" s="124"/>
      <c r="WCZ742" s="124"/>
      <c r="WDA742" s="124"/>
      <c r="WDB742" s="124"/>
      <c r="WDC742" s="124"/>
      <c r="WDD742" s="124"/>
      <c r="WDE742" s="124"/>
      <c r="WDF742" s="124"/>
      <c r="WDG742" s="124"/>
      <c r="WDH742" s="124"/>
      <c r="WDI742" s="124"/>
      <c r="WDJ742" s="124"/>
      <c r="WDK742" s="124"/>
      <c r="WDL742" s="124"/>
      <c r="WDM742" s="124"/>
      <c r="WDN742" s="124"/>
      <c r="WDO742" s="124"/>
      <c r="WDP742" s="124"/>
      <c r="WDQ742" s="124"/>
      <c r="WDR742" s="124"/>
      <c r="WDS742" s="124"/>
      <c r="WDT742" s="124"/>
      <c r="WDU742" s="124"/>
      <c r="WDV742" s="124"/>
      <c r="WDW742" s="124"/>
      <c r="WDX742" s="124"/>
      <c r="WDY742" s="124"/>
      <c r="WDZ742" s="124"/>
      <c r="WEA742" s="124"/>
      <c r="WEB742" s="124"/>
      <c r="WEC742" s="124"/>
      <c r="WED742" s="124"/>
      <c r="WEE742" s="124"/>
      <c r="WEF742" s="124"/>
      <c r="WEG742" s="124"/>
      <c r="WEH742" s="124"/>
      <c r="WEI742" s="124"/>
      <c r="WEJ742" s="124"/>
      <c r="WEK742" s="124"/>
      <c r="WEL742" s="124"/>
      <c r="WEM742" s="124"/>
      <c r="WEN742" s="124"/>
      <c r="WEO742" s="124"/>
      <c r="WEP742" s="124"/>
      <c r="WEQ742" s="124"/>
      <c r="WER742" s="124"/>
      <c r="WES742" s="124"/>
      <c r="WET742" s="124"/>
      <c r="WEU742" s="124"/>
      <c r="WEV742" s="124"/>
      <c r="WEW742" s="124"/>
      <c r="WEX742" s="124"/>
      <c r="WEY742" s="124"/>
      <c r="WEZ742" s="124"/>
      <c r="WFA742" s="124"/>
      <c r="WFB742" s="124"/>
      <c r="WFC742" s="124"/>
      <c r="WFD742" s="124"/>
      <c r="WFE742" s="124"/>
      <c r="WFF742" s="124"/>
      <c r="WFG742" s="124"/>
      <c r="WFH742" s="124"/>
      <c r="WFI742" s="124"/>
      <c r="WFJ742" s="124"/>
      <c r="WFK742" s="124"/>
      <c r="WFL742" s="124"/>
      <c r="WFM742" s="124"/>
      <c r="WFN742" s="124"/>
      <c r="WFO742" s="124"/>
      <c r="WFP742" s="124"/>
      <c r="WFQ742" s="124"/>
      <c r="WFR742" s="124"/>
      <c r="WFS742" s="124"/>
      <c r="WFT742" s="124"/>
      <c r="WFU742" s="124"/>
      <c r="WFV742" s="124"/>
      <c r="WFW742" s="124"/>
      <c r="WFX742" s="124"/>
      <c r="WFY742" s="124"/>
      <c r="WFZ742" s="124"/>
      <c r="WGA742" s="124"/>
      <c r="WGB742" s="124"/>
      <c r="WGC742" s="124"/>
      <c r="WGD742" s="124"/>
      <c r="WGE742" s="124"/>
      <c r="WGF742" s="124"/>
      <c r="WGG742" s="124"/>
      <c r="WGH742" s="124"/>
      <c r="WGI742" s="124"/>
      <c r="WGJ742" s="124"/>
      <c r="WGK742" s="124"/>
      <c r="WGL742" s="124"/>
      <c r="WGM742" s="124"/>
      <c r="WGN742" s="124"/>
      <c r="WGO742" s="124"/>
      <c r="WGP742" s="124"/>
      <c r="WGQ742" s="124"/>
      <c r="WGR742" s="124"/>
      <c r="WGS742" s="124"/>
      <c r="WGT742" s="124"/>
      <c r="WGU742" s="124"/>
      <c r="WGV742" s="124"/>
      <c r="WGW742" s="124"/>
      <c r="WGX742" s="124"/>
      <c r="WGY742" s="124"/>
      <c r="WGZ742" s="124"/>
      <c r="WHA742" s="124"/>
      <c r="WHB742" s="124"/>
      <c r="WHC742" s="124"/>
      <c r="WHD742" s="124"/>
      <c r="WHE742" s="124"/>
      <c r="WHF742" s="124"/>
      <c r="WHG742" s="124"/>
      <c r="WHH742" s="124"/>
      <c r="WHI742" s="124"/>
      <c r="WHJ742" s="124"/>
      <c r="WHK742" s="124"/>
      <c r="WHL742" s="124"/>
      <c r="WHM742" s="124"/>
      <c r="WHN742" s="124"/>
      <c r="WHO742" s="124"/>
      <c r="WHP742" s="124"/>
      <c r="WHQ742" s="124"/>
      <c r="WHR742" s="124"/>
      <c r="WHS742" s="124"/>
      <c r="WHT742" s="124"/>
      <c r="WHU742" s="124"/>
      <c r="WHV742" s="124"/>
      <c r="WHW742" s="124"/>
      <c r="WHX742" s="124"/>
      <c r="WHY742" s="124"/>
      <c r="WHZ742" s="124"/>
      <c r="WIA742" s="124"/>
      <c r="WIB742" s="124"/>
      <c r="WIC742" s="124"/>
      <c r="WID742" s="124"/>
      <c r="WIE742" s="124"/>
      <c r="WIF742" s="124"/>
      <c r="WIG742" s="124"/>
      <c r="WIH742" s="124"/>
      <c r="WII742" s="124"/>
      <c r="WIJ742" s="124"/>
      <c r="WIK742" s="124"/>
      <c r="WIL742" s="124"/>
      <c r="WIM742" s="124"/>
      <c r="WIN742" s="124"/>
      <c r="WIO742" s="124"/>
      <c r="WIP742" s="124"/>
      <c r="WIQ742" s="124"/>
      <c r="WIR742" s="124"/>
      <c r="WIS742" s="124"/>
      <c r="WIT742" s="124"/>
      <c r="WIU742" s="124"/>
      <c r="WIV742" s="124"/>
      <c r="WIW742" s="124"/>
      <c r="WIX742" s="124"/>
      <c r="WIY742" s="124"/>
      <c r="WIZ742" s="124"/>
      <c r="WJA742" s="124"/>
      <c r="WJB742" s="124"/>
      <c r="WJC742" s="124"/>
      <c r="WJD742" s="124"/>
      <c r="WJE742" s="124"/>
      <c r="WJF742" s="124"/>
      <c r="WJG742" s="124"/>
      <c r="WJH742" s="124"/>
      <c r="WJI742" s="124"/>
      <c r="WJJ742" s="124"/>
      <c r="WJK742" s="124"/>
      <c r="WJL742" s="124"/>
      <c r="WJM742" s="124"/>
      <c r="WJN742" s="124"/>
      <c r="WJO742" s="124"/>
      <c r="WJP742" s="124"/>
      <c r="WJQ742" s="124"/>
      <c r="WJR742" s="124"/>
      <c r="WJS742" s="124"/>
      <c r="WJT742" s="124"/>
      <c r="WJU742" s="124"/>
      <c r="WJV742" s="124"/>
      <c r="WJW742" s="124"/>
      <c r="WJX742" s="124"/>
      <c r="WJY742" s="124"/>
      <c r="WJZ742" s="124"/>
      <c r="WKA742" s="124"/>
      <c r="WKB742" s="124"/>
      <c r="WKC742" s="124"/>
      <c r="WKD742" s="124"/>
      <c r="WKE742" s="124"/>
      <c r="WKF742" s="124"/>
      <c r="WKG742" s="124"/>
      <c r="WKH742" s="124"/>
      <c r="WKI742" s="124"/>
      <c r="WKJ742" s="124"/>
      <c r="WKK742" s="124"/>
      <c r="WKL742" s="124"/>
      <c r="WKM742" s="124"/>
      <c r="WKN742" s="124"/>
      <c r="WKO742" s="124"/>
      <c r="WKP742" s="124"/>
      <c r="WKQ742" s="124"/>
      <c r="WKR742" s="124"/>
      <c r="WKS742" s="124"/>
      <c r="WKT742" s="124"/>
      <c r="WKU742" s="124"/>
      <c r="WKV742" s="124"/>
      <c r="WKW742" s="124"/>
      <c r="WKX742" s="124"/>
      <c r="WKY742" s="124"/>
      <c r="WKZ742" s="124"/>
      <c r="WLA742" s="124"/>
      <c r="WLB742" s="124"/>
      <c r="WLC742" s="124"/>
      <c r="WLD742" s="124"/>
      <c r="WLE742" s="124"/>
      <c r="WLF742" s="124"/>
      <c r="WLG742" s="124"/>
      <c r="WLH742" s="124"/>
      <c r="WLI742" s="124"/>
      <c r="WLJ742" s="124"/>
      <c r="WLK742" s="124"/>
      <c r="WLL742" s="124"/>
      <c r="WLM742" s="124"/>
      <c r="WLN742" s="124"/>
      <c r="WLO742" s="124"/>
      <c r="WLP742" s="124"/>
      <c r="WLQ742" s="124"/>
      <c r="WLR742" s="124"/>
      <c r="WLS742" s="124"/>
      <c r="WLT742" s="124"/>
      <c r="WLU742" s="124"/>
      <c r="WLV742" s="124"/>
      <c r="WLW742" s="124"/>
      <c r="WLX742" s="124"/>
      <c r="WLY742" s="124"/>
      <c r="WLZ742" s="124"/>
      <c r="WMA742" s="124"/>
      <c r="WMB742" s="124"/>
      <c r="WMC742" s="124"/>
      <c r="WMD742" s="124"/>
      <c r="WME742" s="124"/>
      <c r="WMF742" s="124"/>
      <c r="WMG742" s="124"/>
      <c r="WMH742" s="124"/>
      <c r="WMI742" s="124"/>
      <c r="WMJ742" s="124"/>
      <c r="WMK742" s="124"/>
      <c r="WML742" s="124"/>
      <c r="WMM742" s="124"/>
      <c r="WMN742" s="124"/>
      <c r="WMO742" s="124"/>
      <c r="WMP742" s="124"/>
      <c r="WMQ742" s="124"/>
      <c r="WMR742" s="124"/>
      <c r="WMS742" s="124"/>
      <c r="WMT742" s="124"/>
      <c r="WMU742" s="124"/>
      <c r="WMV742" s="124"/>
      <c r="WMW742" s="124"/>
      <c r="WMX742" s="124"/>
      <c r="WMY742" s="124"/>
      <c r="WMZ742" s="124"/>
      <c r="WNA742" s="124"/>
      <c r="WNB742" s="124"/>
      <c r="WNC742" s="124"/>
      <c r="WND742" s="124"/>
      <c r="WNE742" s="124"/>
      <c r="WNF742" s="124"/>
      <c r="WNG742" s="124"/>
      <c r="WNH742" s="124"/>
      <c r="WNI742" s="124"/>
      <c r="WNJ742" s="124"/>
      <c r="WNK742" s="124"/>
      <c r="WNL742" s="124"/>
      <c r="WNM742" s="124"/>
      <c r="WNN742" s="124"/>
      <c r="WNO742" s="124"/>
      <c r="WNP742" s="124"/>
      <c r="WNQ742" s="124"/>
      <c r="WNR742" s="124"/>
      <c r="WNS742" s="124"/>
      <c r="WNT742" s="124"/>
      <c r="WNU742" s="124"/>
      <c r="WNV742" s="124"/>
      <c r="WNW742" s="124"/>
      <c r="WNX742" s="124"/>
      <c r="WNY742" s="124"/>
      <c r="WNZ742" s="124"/>
      <c r="WOA742" s="124"/>
      <c r="WOB742" s="124"/>
      <c r="WOC742" s="124"/>
      <c r="WOD742" s="124"/>
      <c r="WOE742" s="124"/>
      <c r="WOF742" s="124"/>
      <c r="WOG742" s="124"/>
      <c r="WOH742" s="124"/>
      <c r="WOI742" s="124"/>
      <c r="WOJ742" s="124"/>
      <c r="WOK742" s="124"/>
      <c r="WOL742" s="124"/>
      <c r="WOM742" s="124"/>
      <c r="WON742" s="124"/>
      <c r="WOO742" s="124"/>
      <c r="WOP742" s="124"/>
      <c r="WOQ742" s="124"/>
      <c r="WOR742" s="124"/>
      <c r="WOS742" s="124"/>
      <c r="WOT742" s="124"/>
      <c r="WOU742" s="124"/>
      <c r="WOV742" s="124"/>
      <c r="WOW742" s="124"/>
      <c r="WOX742" s="124"/>
      <c r="WOY742" s="124"/>
      <c r="WOZ742" s="124"/>
      <c r="WPA742" s="124"/>
      <c r="WPB742" s="124"/>
      <c r="WPC742" s="124"/>
      <c r="WPD742" s="124"/>
      <c r="WPE742" s="124"/>
      <c r="WPF742" s="124"/>
      <c r="WPG742" s="124"/>
      <c r="WPH742" s="124"/>
      <c r="WPI742" s="124"/>
      <c r="WPJ742" s="124"/>
      <c r="WPK742" s="124"/>
      <c r="WPL742" s="124"/>
      <c r="WPM742" s="124"/>
      <c r="WPN742" s="124"/>
      <c r="WPO742" s="124"/>
      <c r="WPP742" s="124"/>
      <c r="WPQ742" s="124"/>
      <c r="WPR742" s="124"/>
      <c r="WPS742" s="124"/>
      <c r="WPT742" s="124"/>
      <c r="WPU742" s="124"/>
      <c r="WPV742" s="124"/>
      <c r="WPW742" s="124"/>
      <c r="WPX742" s="124"/>
      <c r="WPY742" s="124"/>
      <c r="WPZ742" s="124"/>
      <c r="WQA742" s="124"/>
      <c r="WQB742" s="124"/>
      <c r="WQC742" s="124"/>
      <c r="WQD742" s="124"/>
      <c r="WQE742" s="124"/>
      <c r="WQF742" s="124"/>
      <c r="WQG742" s="124"/>
      <c r="WQH742" s="124"/>
      <c r="WQI742" s="124"/>
      <c r="WQJ742" s="124"/>
      <c r="WQK742" s="124"/>
      <c r="WQL742" s="124"/>
      <c r="WQM742" s="124"/>
      <c r="WQN742" s="124"/>
      <c r="WQO742" s="124"/>
      <c r="WQP742" s="124"/>
      <c r="WQQ742" s="124"/>
      <c r="WQR742" s="124"/>
      <c r="WQS742" s="124"/>
      <c r="WQT742" s="124"/>
      <c r="WQU742" s="124"/>
      <c r="WQV742" s="124"/>
      <c r="WQW742" s="124"/>
      <c r="WQX742" s="124"/>
      <c r="WQY742" s="124"/>
      <c r="WQZ742" s="124"/>
      <c r="WRA742" s="124"/>
      <c r="WRB742" s="124"/>
      <c r="WRC742" s="124"/>
      <c r="WRD742" s="124"/>
      <c r="WRE742" s="124"/>
      <c r="WRF742" s="124"/>
      <c r="WRG742" s="124"/>
      <c r="WRH742" s="124"/>
      <c r="WRI742" s="124"/>
      <c r="WRJ742" s="124"/>
      <c r="WRK742" s="124"/>
      <c r="WRL742" s="124"/>
      <c r="WRM742" s="124"/>
      <c r="WRN742" s="124"/>
      <c r="WRO742" s="124"/>
      <c r="WRP742" s="124"/>
      <c r="WRQ742" s="124"/>
      <c r="WRR742" s="124"/>
      <c r="WRS742" s="124"/>
      <c r="WRT742" s="124"/>
      <c r="WRU742" s="124"/>
      <c r="WRV742" s="124"/>
      <c r="WRW742" s="124"/>
      <c r="WRX742" s="124"/>
      <c r="WRY742" s="124"/>
      <c r="WRZ742" s="124"/>
      <c r="WSA742" s="124"/>
      <c r="WSB742" s="124"/>
      <c r="WSC742" s="124"/>
      <c r="WSD742" s="124"/>
      <c r="WSE742" s="124"/>
      <c r="WSF742" s="124"/>
      <c r="WSG742" s="124"/>
      <c r="WSH742" s="124"/>
      <c r="WSI742" s="124"/>
      <c r="WSJ742" s="124"/>
      <c r="WSK742" s="124"/>
      <c r="WSL742" s="124"/>
      <c r="WSM742" s="124"/>
      <c r="WSN742" s="124"/>
      <c r="WSO742" s="124"/>
      <c r="WSP742" s="124"/>
      <c r="WSQ742" s="124"/>
      <c r="WSR742" s="124"/>
      <c r="WSS742" s="124"/>
      <c r="WST742" s="124"/>
      <c r="WSU742" s="124"/>
      <c r="WSV742" s="124"/>
      <c r="WSW742" s="124"/>
      <c r="WSX742" s="124"/>
      <c r="WSY742" s="124"/>
      <c r="WSZ742" s="124"/>
      <c r="WTA742" s="124"/>
      <c r="WTB742" s="124"/>
      <c r="WTC742" s="124"/>
      <c r="WTD742" s="124"/>
      <c r="WTE742" s="124"/>
      <c r="WTF742" s="124"/>
      <c r="WTG742" s="124"/>
      <c r="WTH742" s="124"/>
      <c r="WTI742" s="124"/>
      <c r="WTJ742" s="124"/>
      <c r="WTK742" s="124"/>
      <c r="WTL742" s="124"/>
      <c r="WTM742" s="124"/>
      <c r="WTN742" s="124"/>
      <c r="WTO742" s="124"/>
      <c r="WTP742" s="124"/>
      <c r="WTQ742" s="124"/>
      <c r="WTR742" s="124"/>
      <c r="WTS742" s="124"/>
      <c r="WTT742" s="124"/>
      <c r="WTU742" s="124"/>
      <c r="WTV742" s="124"/>
      <c r="WTW742" s="124"/>
      <c r="WTX742" s="124"/>
      <c r="WTY742" s="124"/>
      <c r="WTZ742" s="124"/>
      <c r="WUA742" s="124"/>
      <c r="WUB742" s="124"/>
      <c r="WUC742" s="124"/>
      <c r="WUD742" s="124"/>
      <c r="WUE742" s="124"/>
      <c r="WUF742" s="124"/>
      <c r="WUG742" s="124"/>
      <c r="WUH742" s="124"/>
      <c r="WUI742" s="124"/>
      <c r="WUJ742" s="124"/>
      <c r="WUK742" s="124"/>
      <c r="WUL742" s="124"/>
      <c r="WUM742" s="124"/>
      <c r="WUN742" s="124"/>
      <c r="WUO742" s="124"/>
      <c r="WUP742" s="124"/>
      <c r="WUQ742" s="124"/>
      <c r="WUR742" s="124"/>
      <c r="WUS742" s="124"/>
      <c r="WUT742" s="124"/>
      <c r="WUU742" s="124"/>
      <c r="WUV742" s="124"/>
      <c r="WUW742" s="124"/>
      <c r="WUX742" s="124"/>
      <c r="WUY742" s="124"/>
      <c r="WUZ742" s="124"/>
      <c r="WVA742" s="124"/>
      <c r="WVB742" s="124"/>
      <c r="WVC742" s="124"/>
      <c r="WVD742" s="124"/>
      <c r="WVE742" s="124"/>
      <c r="WVF742" s="124"/>
      <c r="WVG742" s="124"/>
      <c r="WVH742" s="124"/>
      <c r="WVI742" s="124"/>
      <c r="WVJ742" s="124"/>
      <c r="WVK742" s="124"/>
      <c r="WVL742" s="124"/>
      <c r="WVM742" s="124"/>
      <c r="WVN742" s="124"/>
      <c r="WVO742" s="124"/>
      <c r="WVP742" s="124"/>
      <c r="WVQ742" s="124"/>
      <c r="WVR742" s="124"/>
      <c r="WVS742" s="124"/>
      <c r="WVT742" s="124"/>
      <c r="WVU742" s="124"/>
      <c r="WVV742" s="124"/>
      <c r="WVW742" s="124"/>
      <c r="WVX742" s="124"/>
      <c r="WVY742" s="124"/>
      <c r="WVZ742" s="124"/>
      <c r="WWA742" s="124"/>
      <c r="WWB742" s="124"/>
      <c r="WWC742" s="124"/>
      <c r="WWD742" s="124"/>
      <c r="WWE742" s="124"/>
      <c r="WWF742" s="124"/>
      <c r="WWG742" s="124"/>
      <c r="WWH742" s="124"/>
      <c r="WWI742" s="124"/>
      <c r="WWJ742" s="124"/>
      <c r="WWK742" s="124"/>
      <c r="WWL742" s="124"/>
      <c r="WWM742" s="124"/>
      <c r="WWN742" s="124"/>
      <c r="WWO742" s="124"/>
      <c r="WWP742" s="124"/>
      <c r="WWQ742" s="124"/>
      <c r="WWR742" s="124"/>
      <c r="WWS742" s="124"/>
      <c r="WWT742" s="124"/>
      <c r="WWU742" s="124"/>
      <c r="WWV742" s="124"/>
      <c r="WWW742" s="124"/>
      <c r="WWX742" s="124"/>
      <c r="WWY742" s="124"/>
      <c r="WWZ742" s="124"/>
      <c r="WXA742" s="124"/>
      <c r="WXB742" s="124"/>
      <c r="WXC742" s="124"/>
      <c r="WXD742" s="124"/>
      <c r="WXE742" s="124"/>
      <c r="WXF742" s="124"/>
      <c r="WXG742" s="124"/>
      <c r="WXH742" s="124"/>
      <c r="WXI742" s="124"/>
      <c r="WXJ742" s="124"/>
      <c r="WXK742" s="124"/>
      <c r="WXL742" s="124"/>
      <c r="WXM742" s="124"/>
      <c r="WXN742" s="124"/>
      <c r="WXO742" s="124"/>
      <c r="WXP742" s="124"/>
      <c r="WXQ742" s="124"/>
      <c r="WXR742" s="124"/>
      <c r="WXS742" s="124"/>
      <c r="WXT742" s="124"/>
      <c r="WXU742" s="124"/>
      <c r="WXV742" s="124"/>
      <c r="WXW742" s="124"/>
      <c r="WXX742" s="124"/>
      <c r="WXY742" s="124"/>
      <c r="WXZ742" s="124"/>
      <c r="WYA742" s="124"/>
      <c r="WYB742" s="124"/>
      <c r="WYC742" s="124"/>
      <c r="WYD742" s="124"/>
      <c r="WYE742" s="124"/>
      <c r="WYF742" s="124"/>
      <c r="WYG742" s="124"/>
      <c r="WYH742" s="124"/>
      <c r="WYI742" s="124"/>
      <c r="WYJ742" s="124"/>
      <c r="WYK742" s="124"/>
      <c r="WYL742" s="124"/>
      <c r="WYM742" s="124"/>
      <c r="WYN742" s="124"/>
      <c r="WYO742" s="124"/>
      <c r="WYP742" s="124"/>
      <c r="WYQ742" s="124"/>
      <c r="WYR742" s="124"/>
      <c r="WYS742" s="124"/>
      <c r="WYT742" s="124"/>
      <c r="WYU742" s="124"/>
      <c r="WYV742" s="124"/>
      <c r="WYW742" s="124"/>
      <c r="WYX742" s="124"/>
      <c r="WYY742" s="124"/>
      <c r="WYZ742" s="124"/>
      <c r="WZA742" s="124"/>
      <c r="WZB742" s="124"/>
      <c r="WZC742" s="124"/>
      <c r="WZD742" s="124"/>
      <c r="WZE742" s="124"/>
      <c r="WZF742" s="124"/>
      <c r="WZG742" s="124"/>
      <c r="WZH742" s="124"/>
      <c r="WZI742" s="124"/>
      <c r="WZJ742" s="124"/>
      <c r="WZK742" s="124"/>
      <c r="WZL742" s="124"/>
      <c r="WZM742" s="124"/>
      <c r="WZN742" s="124"/>
      <c r="WZO742" s="124"/>
      <c r="WZP742" s="124"/>
      <c r="WZQ742" s="124"/>
      <c r="WZR742" s="124"/>
      <c r="WZS742" s="124"/>
      <c r="WZT742" s="124"/>
      <c r="WZU742" s="124"/>
      <c r="WZV742" s="124"/>
      <c r="WZW742" s="124"/>
      <c r="WZX742" s="124"/>
      <c r="WZY742" s="124"/>
      <c r="WZZ742" s="124"/>
      <c r="XAA742" s="124"/>
      <c r="XAB742" s="124"/>
      <c r="XAC742" s="124"/>
      <c r="XAD742" s="124"/>
      <c r="XAE742" s="124"/>
      <c r="XAF742" s="124"/>
      <c r="XAG742" s="124"/>
      <c r="XAH742" s="124"/>
      <c r="XAI742" s="124"/>
      <c r="XAJ742" s="124"/>
      <c r="XAK742" s="124"/>
      <c r="XAL742" s="124"/>
      <c r="XAM742" s="124"/>
      <c r="XAN742" s="124"/>
      <c r="XAO742" s="124"/>
      <c r="XAP742" s="124"/>
      <c r="XAQ742" s="124"/>
      <c r="XAR742" s="124"/>
      <c r="XAS742" s="124"/>
      <c r="XAT742" s="124"/>
      <c r="XAU742" s="124"/>
      <c r="XAV742" s="124"/>
      <c r="XAW742" s="124"/>
      <c r="XAX742" s="124"/>
      <c r="XAY742" s="124"/>
      <c r="XAZ742" s="124"/>
      <c r="XBA742" s="124"/>
      <c r="XBB742" s="124"/>
      <c r="XBC742" s="124"/>
      <c r="XBD742" s="124"/>
      <c r="XBE742" s="124"/>
      <c r="XBF742" s="124"/>
      <c r="XBG742" s="124"/>
      <c r="XBH742" s="124"/>
      <c r="XBI742" s="124"/>
      <c r="XBJ742" s="124"/>
      <c r="XBK742" s="124"/>
      <c r="XBL742" s="124"/>
      <c r="XBM742" s="124"/>
      <c r="XBN742" s="124"/>
      <c r="XBO742" s="124"/>
      <c r="XBP742" s="124"/>
      <c r="XBQ742" s="124"/>
      <c r="XBR742" s="124"/>
      <c r="XBS742" s="124"/>
      <c r="XBT742" s="124"/>
      <c r="XBU742" s="124"/>
      <c r="XBV742" s="124"/>
      <c r="XBW742" s="124"/>
      <c r="XBX742" s="124"/>
      <c r="XBY742" s="124"/>
      <c r="XBZ742" s="124"/>
      <c r="XCA742" s="124"/>
      <c r="XCB742" s="124"/>
      <c r="XCC742" s="124"/>
      <c r="XCD742" s="124"/>
      <c r="XCE742" s="124"/>
      <c r="XCF742" s="124"/>
      <c r="XCG742" s="124"/>
      <c r="XCH742" s="124"/>
      <c r="XCI742" s="124"/>
      <c r="XCJ742" s="124"/>
      <c r="XCK742" s="124"/>
      <c r="XCL742" s="124"/>
      <c r="XCM742" s="124"/>
      <c r="XCN742" s="124"/>
      <c r="XCO742" s="124"/>
      <c r="XCP742" s="124"/>
      <c r="XCQ742" s="124"/>
      <c r="XCR742" s="124"/>
      <c r="XCS742" s="124"/>
      <c r="XCT742" s="124"/>
      <c r="XCU742" s="124"/>
      <c r="XCV742" s="124"/>
      <c r="XCW742" s="124"/>
      <c r="XCX742" s="124"/>
      <c r="XCY742" s="124"/>
      <c r="XCZ742" s="124"/>
      <c r="XDA742" s="124"/>
      <c r="XDB742" s="124"/>
      <c r="XDC742" s="124"/>
      <c r="XDD742" s="124"/>
      <c r="XDE742" s="124"/>
      <c r="XDF742" s="124"/>
      <c r="XDG742" s="124"/>
      <c r="XDH742" s="124"/>
      <c r="XDI742" s="124"/>
      <c r="XDJ742" s="124"/>
      <c r="XDK742" s="124"/>
      <c r="XDL742" s="124"/>
      <c r="XDM742" s="124"/>
      <c r="XDN742" s="124"/>
      <c r="XDO742" s="124"/>
      <c r="XDP742" s="124"/>
      <c r="XDQ742" s="124"/>
      <c r="XDR742" s="124"/>
      <c r="XDS742" s="124"/>
      <c r="XDT742" s="124"/>
      <c r="XDU742" s="124"/>
      <c r="XDV742" s="124"/>
      <c r="XDW742" s="124"/>
      <c r="XDX742" s="124"/>
      <c r="XDY742" s="124"/>
      <c r="XDZ742" s="124"/>
      <c r="XEA742" s="124"/>
      <c r="XEB742" s="124"/>
      <c r="XEC742" s="124"/>
      <c r="XED742" s="124"/>
      <c r="XEE742" s="124"/>
      <c r="XEF742" s="124"/>
      <c r="XEG742" s="124"/>
      <c r="XEH742" s="124"/>
      <c r="XEI742" s="124"/>
      <c r="XEJ742" s="124"/>
      <c r="XEK742" s="124"/>
      <c r="XEL742" s="124"/>
      <c r="XEM742" s="124"/>
      <c r="XEN742" s="124"/>
      <c r="XEO742" s="124"/>
      <c r="XEP742" s="124"/>
      <c r="XEQ742" s="124"/>
      <c r="XER742" s="124"/>
      <c r="XES742" s="124"/>
      <c r="XET742" s="124"/>
      <c r="XEU742" s="124"/>
    </row>
    <row r="743" spans="1:16375">
      <c r="A743" s="111">
        <v>45970</v>
      </c>
      <c r="B743" s="112" t="s">
        <v>17</v>
      </c>
      <c r="C743" s="112" t="s">
        <v>18</v>
      </c>
      <c r="D743" s="113" t="s">
        <v>52</v>
      </c>
      <c r="E743" s="118">
        <v>6</v>
      </c>
      <c r="F743" s="115">
        <v>4300</v>
      </c>
      <c r="G743" s="115">
        <v>3920</v>
      </c>
      <c r="H743" s="115">
        <v>380</v>
      </c>
      <c r="I743" s="116"/>
      <c r="J743" s="116"/>
      <c r="K743" s="116"/>
      <c r="L743" s="116"/>
      <c r="M743" s="116">
        <v>4000</v>
      </c>
      <c r="N743" s="117"/>
      <c r="O743" s="117"/>
    </row>
    <row r="744" spans="1:16375">
      <c r="A744" s="38"/>
      <c r="B744" s="22"/>
      <c r="C744" s="22"/>
      <c r="D744" s="23"/>
      <c r="E744" s="43"/>
      <c r="F744" s="42"/>
      <c r="G744" s="42"/>
      <c r="H744" s="42"/>
      <c r="I744" s="17"/>
      <c r="J744" s="17"/>
      <c r="K744" s="17"/>
      <c r="L744" s="17"/>
      <c r="M744" s="17"/>
      <c r="N744" s="16"/>
      <c r="O744" s="16"/>
    </row>
    <row r="745" spans="1:16375">
      <c r="A745" s="126">
        <v>45970</v>
      </c>
      <c r="B745" s="127"/>
      <c r="C745" s="127"/>
      <c r="D745" s="128"/>
      <c r="E745" s="129"/>
      <c r="F745" s="130"/>
      <c r="G745" s="130"/>
      <c r="H745" s="130"/>
      <c r="I745" s="131">
        <v>1000000</v>
      </c>
      <c r="J745" s="131">
        <v>0</v>
      </c>
      <c r="K745" s="131">
        <v>421500</v>
      </c>
      <c r="L745" s="131">
        <v>0</v>
      </c>
      <c r="M745" s="131">
        <v>92000</v>
      </c>
      <c r="N745" s="132" t="s">
        <v>310</v>
      </c>
      <c r="O745" s="132" t="s">
        <v>311</v>
      </c>
    </row>
    <row r="746" spans="1:16375">
      <c r="A746" s="111">
        <v>45971</v>
      </c>
      <c r="B746" s="112" t="s">
        <v>17</v>
      </c>
      <c r="C746" s="112" t="s">
        <v>18</v>
      </c>
      <c r="D746" s="113" t="s">
        <v>197</v>
      </c>
      <c r="E746" s="118">
        <v>6</v>
      </c>
      <c r="F746" s="115">
        <v>5060</v>
      </c>
      <c r="G746" s="115">
        <v>3830</v>
      </c>
      <c r="H746" s="115">
        <v>1230</v>
      </c>
      <c r="I746" s="116"/>
      <c r="J746" s="116"/>
      <c r="K746" s="116">
        <v>85000</v>
      </c>
      <c r="L746" s="116"/>
      <c r="M746" s="116">
        <v>7000</v>
      </c>
      <c r="N746" s="117"/>
      <c r="O746" s="117"/>
    </row>
    <row r="747" spans="1:16375">
      <c r="A747" s="111">
        <v>45971</v>
      </c>
      <c r="B747" s="112" t="s">
        <v>17</v>
      </c>
      <c r="C747" s="112" t="s">
        <v>18</v>
      </c>
      <c r="D747" s="113" t="s">
        <v>68</v>
      </c>
      <c r="E747" s="118">
        <v>6</v>
      </c>
      <c r="F747" s="115">
        <v>5030</v>
      </c>
      <c r="G747" s="115">
        <v>3910</v>
      </c>
      <c r="H747" s="115">
        <v>1120</v>
      </c>
      <c r="I747" s="116"/>
      <c r="J747" s="116"/>
      <c r="K747" s="116"/>
      <c r="L747" s="116"/>
      <c r="M747" s="116">
        <v>7000</v>
      </c>
      <c r="N747" s="117"/>
      <c r="O747" s="117"/>
    </row>
    <row r="748" spans="1:16375">
      <c r="A748" s="111">
        <v>45972</v>
      </c>
      <c r="B748" s="112" t="s">
        <v>17</v>
      </c>
      <c r="C748" s="112" t="s">
        <v>18</v>
      </c>
      <c r="D748" s="113" t="s">
        <v>304</v>
      </c>
      <c r="E748" s="118">
        <v>6</v>
      </c>
      <c r="F748" s="115">
        <v>5550</v>
      </c>
      <c r="G748" s="115">
        <v>3810</v>
      </c>
      <c r="H748" s="115">
        <v>1740</v>
      </c>
      <c r="I748" s="116"/>
      <c r="J748" s="116"/>
      <c r="K748" s="116">
        <v>85000</v>
      </c>
      <c r="L748" s="116"/>
      <c r="M748" s="116">
        <v>7000</v>
      </c>
      <c r="N748" s="117"/>
      <c r="O748" s="117"/>
    </row>
    <row r="749" spans="1:16375">
      <c r="A749" s="111">
        <v>45972</v>
      </c>
      <c r="B749" s="112" t="s">
        <v>17</v>
      </c>
      <c r="C749" s="112" t="s">
        <v>18</v>
      </c>
      <c r="D749" s="113" t="s">
        <v>52</v>
      </c>
      <c r="E749" s="118">
        <v>6</v>
      </c>
      <c r="F749" s="115">
        <v>4190</v>
      </c>
      <c r="G749" s="115">
        <v>3800</v>
      </c>
      <c r="H749" s="115">
        <v>390</v>
      </c>
      <c r="I749" s="116"/>
      <c r="J749" s="116"/>
      <c r="K749" s="116"/>
      <c r="L749" s="116"/>
      <c r="M749" s="116">
        <v>7000</v>
      </c>
      <c r="N749" s="117"/>
      <c r="O749" s="117"/>
    </row>
    <row r="750" spans="1:16375">
      <c r="A750" s="111">
        <v>45972</v>
      </c>
      <c r="B750" s="112" t="s">
        <v>17</v>
      </c>
      <c r="C750" s="112" t="s">
        <v>18</v>
      </c>
      <c r="D750" s="113" t="s">
        <v>68</v>
      </c>
      <c r="E750" s="118">
        <v>6</v>
      </c>
      <c r="F750" s="115">
        <v>4750</v>
      </c>
      <c r="G750" s="115">
        <v>3900</v>
      </c>
      <c r="H750" s="115">
        <v>850</v>
      </c>
      <c r="I750" s="116"/>
      <c r="J750" s="116"/>
      <c r="K750" s="116"/>
      <c r="L750" s="116"/>
      <c r="M750" s="116">
        <v>4000</v>
      </c>
      <c r="N750" s="117"/>
      <c r="O750" s="117"/>
    </row>
    <row r="751" spans="1:16375">
      <c r="A751" s="111">
        <v>45973</v>
      </c>
      <c r="B751" s="112" t="s">
        <v>17</v>
      </c>
      <c r="C751" s="112" t="s">
        <v>18</v>
      </c>
      <c r="D751" s="113" t="s">
        <v>304</v>
      </c>
      <c r="E751" s="118">
        <v>6</v>
      </c>
      <c r="F751" s="115">
        <v>5540</v>
      </c>
      <c r="G751" s="115">
        <v>3880</v>
      </c>
      <c r="H751" s="115">
        <v>1660</v>
      </c>
      <c r="I751" s="116"/>
      <c r="J751" s="116"/>
      <c r="K751" s="116">
        <v>69000</v>
      </c>
      <c r="L751" s="116"/>
      <c r="M751" s="116">
        <v>7000</v>
      </c>
      <c r="N751" s="117"/>
      <c r="O751" s="117"/>
    </row>
    <row r="752" spans="1:16375">
      <c r="A752" s="111">
        <v>45973</v>
      </c>
      <c r="B752" s="112" t="s">
        <v>17</v>
      </c>
      <c r="C752" s="112" t="s">
        <v>18</v>
      </c>
      <c r="D752" s="113" t="s">
        <v>68</v>
      </c>
      <c r="E752" s="118">
        <v>6</v>
      </c>
      <c r="F752" s="115">
        <v>5010</v>
      </c>
      <c r="G752" s="115">
        <v>3880</v>
      </c>
      <c r="H752" s="115">
        <v>1130</v>
      </c>
      <c r="I752" s="116"/>
      <c r="J752" s="116"/>
      <c r="K752" s="116"/>
      <c r="L752" s="116"/>
      <c r="M752" s="116">
        <v>7000</v>
      </c>
      <c r="N752" s="117"/>
      <c r="O752" s="117"/>
    </row>
    <row r="753" spans="1:15">
      <c r="A753" s="111">
        <v>45974</v>
      </c>
      <c r="B753" s="112" t="s">
        <v>17</v>
      </c>
      <c r="C753" s="112" t="s">
        <v>18</v>
      </c>
      <c r="D753" s="113" t="s">
        <v>283</v>
      </c>
      <c r="E753" s="118">
        <v>6</v>
      </c>
      <c r="F753" s="115">
        <v>4910</v>
      </c>
      <c r="G753" s="115">
        <v>4000</v>
      </c>
      <c r="H753" s="115">
        <v>910</v>
      </c>
      <c r="I753" s="116"/>
      <c r="J753" s="116"/>
      <c r="K753" s="116">
        <v>71000</v>
      </c>
      <c r="L753" s="116"/>
      <c r="M753" s="116">
        <v>7000</v>
      </c>
      <c r="N753" s="117"/>
      <c r="O753" s="117"/>
    </row>
    <row r="754" spans="1:15">
      <c r="A754" s="111">
        <v>45974</v>
      </c>
      <c r="B754" s="112" t="s">
        <v>17</v>
      </c>
      <c r="C754" s="112" t="s">
        <v>18</v>
      </c>
      <c r="D754" s="113" t="s">
        <v>68</v>
      </c>
      <c r="E754" s="118">
        <v>6</v>
      </c>
      <c r="F754" s="115">
        <v>4730</v>
      </c>
      <c r="G754" s="115">
        <v>3930</v>
      </c>
      <c r="H754" s="115">
        <v>800</v>
      </c>
      <c r="I754" s="116"/>
      <c r="J754" s="116"/>
      <c r="K754" s="116"/>
      <c r="L754" s="116"/>
      <c r="M754" s="116">
        <v>7000</v>
      </c>
      <c r="N754" s="117"/>
      <c r="O754" s="117"/>
    </row>
    <row r="755" spans="1:15">
      <c r="A755" s="111">
        <v>45975</v>
      </c>
      <c r="B755" s="112" t="s">
        <v>17</v>
      </c>
      <c r="C755" s="112" t="s">
        <v>18</v>
      </c>
      <c r="D755" s="113" t="s">
        <v>304</v>
      </c>
      <c r="E755" s="118">
        <v>6</v>
      </c>
      <c r="F755" s="115">
        <v>5180</v>
      </c>
      <c r="G755" s="115">
        <v>3890</v>
      </c>
      <c r="H755" s="115">
        <v>1290</v>
      </c>
      <c r="I755" s="116"/>
      <c r="J755" s="116"/>
      <c r="K755" s="116">
        <v>42500</v>
      </c>
      <c r="L755" s="116"/>
      <c r="M755" s="116">
        <v>4000</v>
      </c>
      <c r="N755" s="117"/>
      <c r="O755" s="117"/>
    </row>
    <row r="756" spans="1:15">
      <c r="A756" s="111">
        <v>45976</v>
      </c>
      <c r="B756" s="112" t="s">
        <v>17</v>
      </c>
      <c r="C756" s="112" t="s">
        <v>18</v>
      </c>
      <c r="D756" s="113" t="s">
        <v>68</v>
      </c>
      <c r="E756" s="118">
        <v>6</v>
      </c>
      <c r="F756" s="115">
        <v>4460</v>
      </c>
      <c r="G756" s="115">
        <v>3870</v>
      </c>
      <c r="H756" s="115">
        <v>590</v>
      </c>
      <c r="I756" s="116"/>
      <c r="J756" s="116"/>
      <c r="K756" s="116">
        <v>53000</v>
      </c>
      <c r="L756" s="116"/>
      <c r="M756" s="116">
        <v>7000</v>
      </c>
      <c r="N756" s="117"/>
      <c r="O756" s="117"/>
    </row>
    <row r="757" spans="1:15">
      <c r="A757" s="111">
        <v>45976</v>
      </c>
      <c r="B757" s="112" t="s">
        <v>17</v>
      </c>
      <c r="C757" s="112" t="s">
        <v>18</v>
      </c>
      <c r="D757" s="113" t="s">
        <v>284</v>
      </c>
      <c r="E757" s="118">
        <v>6</v>
      </c>
      <c r="F757" s="115">
        <v>5080</v>
      </c>
      <c r="G757" s="115">
        <v>3920</v>
      </c>
      <c r="H757" s="115">
        <v>1160</v>
      </c>
      <c r="I757" s="116"/>
      <c r="J757" s="116"/>
      <c r="K757" s="116"/>
      <c r="L757" s="116"/>
      <c r="M757" s="116">
        <v>7000</v>
      </c>
      <c r="N757" s="117"/>
      <c r="O757" s="117"/>
    </row>
    <row r="758" spans="1:15">
      <c r="A758" s="111">
        <v>45977</v>
      </c>
      <c r="B758" s="112" t="s">
        <v>17</v>
      </c>
      <c r="C758" s="112" t="s">
        <v>18</v>
      </c>
      <c r="D758" s="113" t="s">
        <v>284</v>
      </c>
      <c r="E758" s="118">
        <v>6</v>
      </c>
      <c r="F758" s="115">
        <v>4280</v>
      </c>
      <c r="G758" s="115">
        <v>3830</v>
      </c>
      <c r="H758" s="115">
        <v>450</v>
      </c>
      <c r="I758" s="116"/>
      <c r="J758" s="116"/>
      <c r="K758" s="116">
        <v>16000</v>
      </c>
      <c r="L758" s="116"/>
      <c r="M758" s="116">
        <v>7000</v>
      </c>
      <c r="N758" s="117"/>
      <c r="O758" s="117"/>
    </row>
    <row r="759" spans="1:15">
      <c r="A759" s="111">
        <v>45977</v>
      </c>
      <c r="B759" s="112" t="s">
        <v>17</v>
      </c>
      <c r="C759" s="112" t="s">
        <v>18</v>
      </c>
      <c r="D759" s="113" t="s">
        <v>284</v>
      </c>
      <c r="E759" s="118">
        <v>6</v>
      </c>
      <c r="F759" s="115">
        <v>4480</v>
      </c>
      <c r="G759" s="115">
        <v>3790</v>
      </c>
      <c r="H759" s="115">
        <v>690</v>
      </c>
      <c r="I759" s="116"/>
      <c r="J759" s="116"/>
      <c r="K759" s="116"/>
      <c r="L759" s="116"/>
      <c r="M759" s="116">
        <v>7000</v>
      </c>
      <c r="N759" s="117"/>
      <c r="O759" s="117"/>
    </row>
    <row r="760" spans="1:15">
      <c r="A760" s="38"/>
      <c r="B760" s="22"/>
      <c r="C760" s="22"/>
      <c r="D760" s="23"/>
      <c r="E760" s="43"/>
      <c r="F760" s="42"/>
      <c r="G760" s="42"/>
      <c r="H760" s="42"/>
      <c r="I760" s="17"/>
      <c r="J760" s="17"/>
      <c r="K760" s="17"/>
      <c r="L760" s="17"/>
      <c r="M760" s="17"/>
      <c r="N760" s="16"/>
      <c r="O760" s="16"/>
    </row>
    <row r="761" spans="1:15">
      <c r="A761" s="126">
        <v>45978</v>
      </c>
      <c r="B761" s="127"/>
      <c r="C761" s="127"/>
      <c r="D761" s="128"/>
      <c r="E761" s="129"/>
      <c r="F761" s="130"/>
      <c r="G761" s="130"/>
      <c r="H761" s="130"/>
      <c r="I761" s="131">
        <v>1000000</v>
      </c>
      <c r="J761" s="131">
        <v>0</v>
      </c>
      <c r="K761" s="131">
        <v>361000</v>
      </c>
      <c r="L761" s="131">
        <v>0</v>
      </c>
      <c r="M761" s="131">
        <v>78000</v>
      </c>
      <c r="N761" s="132" t="s">
        <v>312</v>
      </c>
      <c r="O761" s="132" t="s">
        <v>313</v>
      </c>
    </row>
    <row r="762" spans="1:15">
      <c r="A762" s="111">
        <v>45978</v>
      </c>
      <c r="B762" s="112" t="s">
        <v>17</v>
      </c>
      <c r="C762" s="112" t="s">
        <v>18</v>
      </c>
      <c r="D762" s="113" t="s">
        <v>304</v>
      </c>
      <c r="E762" s="118">
        <v>6</v>
      </c>
      <c r="F762" s="115">
        <v>4310</v>
      </c>
      <c r="G762" s="115">
        <v>3800</v>
      </c>
      <c r="H762" s="115">
        <v>510</v>
      </c>
      <c r="I762" s="116"/>
      <c r="J762" s="116"/>
      <c r="K762" s="116">
        <v>79500</v>
      </c>
      <c r="L762" s="116"/>
      <c r="M762" s="116">
        <v>7000</v>
      </c>
      <c r="N762" s="117"/>
      <c r="O762" s="117"/>
    </row>
    <row r="763" spans="1:15">
      <c r="A763" s="111">
        <v>45978</v>
      </c>
      <c r="B763" s="112" t="s">
        <v>17</v>
      </c>
      <c r="C763" s="112" t="s">
        <v>18</v>
      </c>
      <c r="D763" s="113" t="s">
        <v>68</v>
      </c>
      <c r="E763" s="118">
        <v>6</v>
      </c>
      <c r="F763" s="115">
        <v>4400</v>
      </c>
      <c r="G763" s="115">
        <v>3800</v>
      </c>
      <c r="H763" s="115">
        <v>600</v>
      </c>
      <c r="I763" s="116"/>
      <c r="J763" s="116"/>
      <c r="K763" s="116"/>
      <c r="L763" s="116"/>
      <c r="M763" s="116">
        <v>7000</v>
      </c>
      <c r="N763" s="117"/>
      <c r="O763" s="117"/>
    </row>
    <row r="764" spans="1:15">
      <c r="A764" s="111">
        <v>45979</v>
      </c>
      <c r="B764" s="112" t="s">
        <v>17</v>
      </c>
      <c r="C764" s="112" t="s">
        <v>18</v>
      </c>
      <c r="D764" s="113" t="s">
        <v>197</v>
      </c>
      <c r="E764" s="118">
        <v>6</v>
      </c>
      <c r="F764" s="115">
        <v>5510</v>
      </c>
      <c r="G764" s="115">
        <v>3770</v>
      </c>
      <c r="H764" s="115">
        <v>1740</v>
      </c>
      <c r="I764" s="116"/>
      <c r="J764" s="116"/>
      <c r="K764" s="116">
        <v>42500</v>
      </c>
      <c r="L764" s="116"/>
      <c r="M764" s="116">
        <v>4000</v>
      </c>
      <c r="N764" s="117"/>
      <c r="O764" s="117"/>
    </row>
    <row r="765" spans="1:15">
      <c r="A765" s="111">
        <v>45979</v>
      </c>
      <c r="B765" s="112" t="s">
        <v>17</v>
      </c>
      <c r="C765" s="112" t="s">
        <v>18</v>
      </c>
      <c r="D765" s="113" t="s">
        <v>52</v>
      </c>
      <c r="E765" s="118">
        <v>6</v>
      </c>
      <c r="F765" s="115">
        <v>4250</v>
      </c>
      <c r="G765" s="115">
        <v>3760</v>
      </c>
      <c r="H765" s="115">
        <v>490</v>
      </c>
      <c r="I765" s="116"/>
      <c r="J765" s="116"/>
      <c r="K765" s="116"/>
      <c r="L765" s="116"/>
      <c r="M765" s="116">
        <v>7000</v>
      </c>
      <c r="N765" s="117"/>
      <c r="O765" s="117"/>
    </row>
    <row r="766" spans="1:15">
      <c r="A766" s="111">
        <v>45980</v>
      </c>
      <c r="B766" s="112" t="s">
        <v>17</v>
      </c>
      <c r="C766" s="112" t="s">
        <v>18</v>
      </c>
      <c r="D766" s="113" t="s">
        <v>304</v>
      </c>
      <c r="E766" s="118">
        <v>6</v>
      </c>
      <c r="F766" s="115">
        <v>5300</v>
      </c>
      <c r="G766" s="115">
        <v>3660</v>
      </c>
      <c r="H766" s="115">
        <v>1640</v>
      </c>
      <c r="I766" s="116"/>
      <c r="J766" s="116"/>
      <c r="K766" s="116">
        <v>85000</v>
      </c>
      <c r="L766" s="116"/>
      <c r="M766" s="116">
        <v>4000</v>
      </c>
      <c r="N766" s="117"/>
      <c r="O766" s="117"/>
    </row>
    <row r="767" spans="1:15">
      <c r="A767" s="111">
        <v>45980</v>
      </c>
      <c r="B767" s="112" t="s">
        <v>17</v>
      </c>
      <c r="C767" s="112" t="s">
        <v>18</v>
      </c>
      <c r="D767" s="113" t="s">
        <v>68</v>
      </c>
      <c r="E767" s="118">
        <v>6</v>
      </c>
      <c r="F767" s="115">
        <v>5600</v>
      </c>
      <c r="G767" s="115">
        <v>3850</v>
      </c>
      <c r="H767" s="115">
        <v>1750</v>
      </c>
      <c r="I767" s="116"/>
      <c r="J767" s="116"/>
      <c r="K767" s="116"/>
      <c r="L767" s="116"/>
      <c r="M767" s="116">
        <v>7000</v>
      </c>
      <c r="N767" s="117"/>
      <c r="O767" s="117"/>
    </row>
    <row r="768" spans="1:15">
      <c r="A768" s="111">
        <v>45981</v>
      </c>
      <c r="B768" s="112" t="s">
        <v>17</v>
      </c>
      <c r="C768" s="112" t="s">
        <v>18</v>
      </c>
      <c r="D768" s="113" t="s">
        <v>304</v>
      </c>
      <c r="E768" s="118">
        <v>6</v>
      </c>
      <c r="F768" s="115">
        <v>5280</v>
      </c>
      <c r="G768" s="115">
        <v>3820</v>
      </c>
      <c r="H768" s="115">
        <v>1460</v>
      </c>
      <c r="I768" s="116"/>
      <c r="J768" s="116"/>
      <c r="K768" s="116">
        <v>69000</v>
      </c>
      <c r="L768" s="116"/>
      <c r="M768" s="116">
        <v>7000</v>
      </c>
      <c r="N768" s="117"/>
      <c r="O768" s="117"/>
    </row>
    <row r="769" spans="1:15">
      <c r="A769" s="111">
        <v>45981</v>
      </c>
      <c r="B769" s="112" t="s">
        <v>17</v>
      </c>
      <c r="C769" s="112" t="s">
        <v>18</v>
      </c>
      <c r="D769" s="113" t="s">
        <v>68</v>
      </c>
      <c r="E769" s="118">
        <v>6</v>
      </c>
      <c r="F769" s="115">
        <v>4790</v>
      </c>
      <c r="G769" s="115">
        <v>3770</v>
      </c>
      <c r="H769" s="115">
        <v>1020</v>
      </c>
      <c r="I769" s="116"/>
      <c r="J769" s="116"/>
      <c r="K769" s="116"/>
      <c r="L769" s="116"/>
      <c r="M769" s="116">
        <v>7000</v>
      </c>
      <c r="N769" s="117"/>
      <c r="O769" s="117"/>
    </row>
    <row r="770" spans="1:15">
      <c r="A770" s="111">
        <v>45982</v>
      </c>
      <c r="B770" s="112" t="s">
        <v>17</v>
      </c>
      <c r="C770" s="112" t="s">
        <v>18</v>
      </c>
      <c r="D770" s="113" t="s">
        <v>304</v>
      </c>
      <c r="E770" s="118">
        <v>6</v>
      </c>
      <c r="F770" s="115">
        <v>4980</v>
      </c>
      <c r="G770" s="115">
        <v>3800</v>
      </c>
      <c r="H770" s="115">
        <v>1180</v>
      </c>
      <c r="I770" s="116"/>
      <c r="J770" s="116"/>
      <c r="K770" s="116">
        <v>85000</v>
      </c>
      <c r="L770" s="116"/>
      <c r="M770" s="116">
        <v>7000</v>
      </c>
      <c r="N770" s="117"/>
      <c r="O770" s="117"/>
    </row>
    <row r="771" spans="1:15">
      <c r="A771" s="111">
        <v>45982</v>
      </c>
      <c r="B771" s="112" t="s">
        <v>17</v>
      </c>
      <c r="C771" s="112" t="s">
        <v>18</v>
      </c>
      <c r="D771" s="113" t="s">
        <v>68</v>
      </c>
      <c r="E771" s="118">
        <v>6</v>
      </c>
      <c r="F771" s="115">
        <v>4410</v>
      </c>
      <c r="G771" s="115">
        <v>3900</v>
      </c>
      <c r="H771" s="115">
        <v>510</v>
      </c>
      <c r="I771" s="116"/>
      <c r="J771" s="116"/>
      <c r="K771" s="116"/>
      <c r="L771" s="116"/>
      <c r="M771" s="116">
        <v>7000</v>
      </c>
      <c r="N771" s="117"/>
      <c r="O771" s="117"/>
    </row>
    <row r="772" spans="1:15">
      <c r="A772" s="111">
        <v>45984</v>
      </c>
      <c r="B772" s="112" t="s">
        <v>17</v>
      </c>
      <c r="C772" s="112" t="s">
        <v>18</v>
      </c>
      <c r="D772" s="113" t="s">
        <v>284</v>
      </c>
      <c r="E772" s="118">
        <v>6</v>
      </c>
      <c r="F772" s="115">
        <v>4750</v>
      </c>
      <c r="G772" s="115">
        <v>3850</v>
      </c>
      <c r="H772" s="115">
        <v>900</v>
      </c>
      <c r="I772" s="116"/>
      <c r="J772" s="116"/>
      <c r="K772" s="116"/>
      <c r="L772" s="116"/>
      <c r="M772" s="116">
        <v>7000</v>
      </c>
      <c r="N772" s="117"/>
      <c r="O772" s="117"/>
    </row>
    <row r="773" spans="1:15">
      <c r="A773" s="111">
        <v>45984</v>
      </c>
      <c r="B773" s="112" t="s">
        <v>17</v>
      </c>
      <c r="C773" s="112" t="s">
        <v>18</v>
      </c>
      <c r="D773" s="113" t="s">
        <v>284</v>
      </c>
      <c r="E773" s="118">
        <v>6</v>
      </c>
      <c r="F773" s="115">
        <v>4520</v>
      </c>
      <c r="G773" s="115">
        <v>3850</v>
      </c>
      <c r="H773" s="115">
        <v>670</v>
      </c>
      <c r="I773" s="116"/>
      <c r="J773" s="116"/>
      <c r="K773" s="116"/>
      <c r="L773" s="116"/>
      <c r="M773" s="116">
        <v>7000</v>
      </c>
      <c r="N773" s="117"/>
      <c r="O773" s="117"/>
    </row>
    <row r="774" spans="1:15">
      <c r="A774" s="38"/>
      <c r="B774" s="22"/>
      <c r="C774" s="22"/>
      <c r="D774" s="23"/>
      <c r="E774" s="43"/>
      <c r="F774" s="42"/>
      <c r="G774" s="42"/>
      <c r="H774" s="42"/>
      <c r="I774" s="17"/>
      <c r="J774" s="17"/>
      <c r="K774" s="17"/>
      <c r="L774" s="17"/>
      <c r="M774" s="17"/>
      <c r="N774" s="16"/>
      <c r="O774" s="16"/>
    </row>
    <row r="775" spans="1:15">
      <c r="A775" s="126">
        <v>45985</v>
      </c>
      <c r="B775" s="127"/>
      <c r="C775" s="127"/>
      <c r="D775" s="128"/>
      <c r="E775" s="129"/>
      <c r="F775" s="130"/>
      <c r="G775" s="130"/>
      <c r="H775" s="130"/>
      <c r="I775" s="131">
        <v>1000000</v>
      </c>
      <c r="J775" s="131">
        <v>0</v>
      </c>
      <c r="K775" s="131">
        <v>460500</v>
      </c>
      <c r="L775" s="131">
        <v>0</v>
      </c>
      <c r="M775" s="131">
        <v>88000</v>
      </c>
      <c r="N775" s="132" t="s">
        <v>314</v>
      </c>
      <c r="O775" s="132" t="s">
        <v>315</v>
      </c>
    </row>
    <row r="776" spans="1:15">
      <c r="A776" s="111">
        <v>45985</v>
      </c>
      <c r="B776" s="112" t="s">
        <v>316</v>
      </c>
      <c r="C776" s="112" t="s">
        <v>18</v>
      </c>
      <c r="D776" s="113" t="s">
        <v>304</v>
      </c>
      <c r="E776" s="118">
        <v>6</v>
      </c>
      <c r="F776" s="115">
        <v>5010</v>
      </c>
      <c r="G776" s="115">
        <v>3990</v>
      </c>
      <c r="H776" s="115">
        <v>1020</v>
      </c>
      <c r="I776" s="116"/>
      <c r="J776" s="116"/>
      <c r="K776" s="116">
        <v>78000</v>
      </c>
      <c r="L776" s="116"/>
      <c r="M776" s="116">
        <v>7000</v>
      </c>
      <c r="N776" s="117"/>
      <c r="O776" s="117"/>
    </row>
    <row r="777" spans="1:15">
      <c r="A777" s="111">
        <v>45985</v>
      </c>
      <c r="B777" s="112" t="s">
        <v>316</v>
      </c>
      <c r="C777" s="112" t="s">
        <v>18</v>
      </c>
      <c r="D777" s="113" t="s">
        <v>68</v>
      </c>
      <c r="E777" s="118">
        <v>6</v>
      </c>
      <c r="F777" s="115">
        <v>5240</v>
      </c>
      <c r="G777" s="115">
        <v>3930</v>
      </c>
      <c r="H777" s="115">
        <v>1310</v>
      </c>
      <c r="I777" s="116"/>
      <c r="J777" s="116"/>
      <c r="K777" s="116"/>
      <c r="L777" s="116"/>
      <c r="M777" s="116">
        <v>7000</v>
      </c>
      <c r="N777" s="117"/>
      <c r="O777" s="117"/>
    </row>
    <row r="778" spans="1:15">
      <c r="A778" s="111">
        <v>45986</v>
      </c>
      <c r="B778" s="112" t="s">
        <v>316</v>
      </c>
      <c r="C778" s="112" t="s">
        <v>18</v>
      </c>
      <c r="D778" s="113" t="s">
        <v>68</v>
      </c>
      <c r="E778" s="118">
        <v>6</v>
      </c>
      <c r="F778" s="115">
        <v>5040</v>
      </c>
      <c r="G778" s="115">
        <v>3930</v>
      </c>
      <c r="H778" s="115">
        <v>1110</v>
      </c>
      <c r="I778" s="116"/>
      <c r="J778" s="116"/>
      <c r="K778" s="116">
        <v>42500</v>
      </c>
      <c r="L778" s="116"/>
      <c r="M778" s="116">
        <v>7000</v>
      </c>
      <c r="N778" s="117"/>
      <c r="O778" s="117"/>
    </row>
    <row r="779" spans="1:15">
      <c r="A779" s="111">
        <v>45986</v>
      </c>
      <c r="B779" s="112" t="s">
        <v>316</v>
      </c>
      <c r="C779" s="112" t="s">
        <v>18</v>
      </c>
      <c r="D779" s="113" t="s">
        <v>52</v>
      </c>
      <c r="E779" s="118">
        <v>6</v>
      </c>
      <c r="F779" s="115">
        <v>4720</v>
      </c>
      <c r="G779" s="115">
        <v>3870</v>
      </c>
      <c r="H779" s="115">
        <v>850</v>
      </c>
      <c r="I779" s="116"/>
      <c r="J779" s="116"/>
      <c r="K779" s="116"/>
      <c r="L779" s="116"/>
      <c r="M779" s="116">
        <v>7000</v>
      </c>
      <c r="N779" s="117"/>
      <c r="O779" s="117"/>
    </row>
    <row r="780" spans="1:15">
      <c r="A780" s="111">
        <v>45987</v>
      </c>
      <c r="B780" s="112" t="s">
        <v>316</v>
      </c>
      <c r="C780" s="112" t="s">
        <v>18</v>
      </c>
      <c r="D780" s="113" t="s">
        <v>283</v>
      </c>
      <c r="E780" s="118">
        <v>6</v>
      </c>
      <c r="F780" s="115">
        <v>4930</v>
      </c>
      <c r="G780" s="115">
        <v>3810</v>
      </c>
      <c r="H780" s="115">
        <v>1120</v>
      </c>
      <c r="I780" s="116"/>
      <c r="J780" s="116"/>
      <c r="K780" s="116">
        <v>85000</v>
      </c>
      <c r="L780" s="116"/>
      <c r="M780" s="116">
        <v>7000</v>
      </c>
      <c r="N780" s="117"/>
      <c r="O780" s="117"/>
    </row>
    <row r="781" spans="1:15">
      <c r="A781" s="111">
        <v>45987</v>
      </c>
      <c r="B781" s="112" t="s">
        <v>316</v>
      </c>
      <c r="C781" s="112" t="s">
        <v>18</v>
      </c>
      <c r="D781" s="113" t="s">
        <v>68</v>
      </c>
      <c r="E781" s="118">
        <v>6</v>
      </c>
      <c r="F781" s="115">
        <v>4980</v>
      </c>
      <c r="G781" s="115">
        <v>3820</v>
      </c>
      <c r="H781" s="115">
        <v>1160</v>
      </c>
      <c r="I781" s="116"/>
      <c r="J781" s="116"/>
      <c r="K781" s="116"/>
      <c r="L781" s="116"/>
      <c r="M781" s="116">
        <v>7000</v>
      </c>
      <c r="N781" s="117"/>
      <c r="O781" s="117"/>
    </row>
    <row r="782" spans="1:15">
      <c r="A782" s="111">
        <v>45988</v>
      </c>
      <c r="B782" s="112" t="s">
        <v>316</v>
      </c>
      <c r="C782" s="112" t="s">
        <v>18</v>
      </c>
      <c r="D782" s="113" t="s">
        <v>304</v>
      </c>
      <c r="E782" s="118">
        <v>6</v>
      </c>
      <c r="F782" s="115">
        <v>5190</v>
      </c>
      <c r="G782" s="115">
        <v>3910</v>
      </c>
      <c r="H782" s="115">
        <v>1280</v>
      </c>
      <c r="I782" s="116"/>
      <c r="J782" s="116"/>
      <c r="K782" s="116">
        <v>69000</v>
      </c>
      <c r="L782" s="116"/>
      <c r="M782" s="116">
        <v>7000</v>
      </c>
      <c r="N782" s="117"/>
      <c r="O782" s="117"/>
    </row>
    <row r="783" spans="1:15">
      <c r="A783" s="111">
        <v>45988</v>
      </c>
      <c r="B783" s="112" t="s">
        <v>316</v>
      </c>
      <c r="C783" s="112" t="s">
        <v>18</v>
      </c>
      <c r="D783" s="113" t="s">
        <v>68</v>
      </c>
      <c r="E783" s="118">
        <v>6</v>
      </c>
      <c r="F783" s="115">
        <v>4950</v>
      </c>
      <c r="G783" s="115">
        <v>3780</v>
      </c>
      <c r="H783" s="115">
        <v>1170</v>
      </c>
      <c r="I783" s="116"/>
      <c r="J783" s="116"/>
      <c r="K783" s="116"/>
      <c r="L783" s="116"/>
      <c r="M783" s="116">
        <v>7000</v>
      </c>
      <c r="N783" s="117"/>
      <c r="O783" s="117"/>
    </row>
    <row r="784" spans="1:15">
      <c r="A784" s="111">
        <v>45989</v>
      </c>
      <c r="B784" s="112" t="s">
        <v>316</v>
      </c>
      <c r="C784" s="112" t="s">
        <v>18</v>
      </c>
      <c r="D784" s="113" t="s">
        <v>197</v>
      </c>
      <c r="E784" s="118">
        <v>6</v>
      </c>
      <c r="F784" s="115">
        <v>5960</v>
      </c>
      <c r="G784" s="115">
        <v>3920</v>
      </c>
      <c r="H784" s="115">
        <v>2040</v>
      </c>
      <c r="I784" s="116"/>
      <c r="J784" s="116"/>
      <c r="K784" s="116">
        <v>85000</v>
      </c>
      <c r="L784" s="116"/>
      <c r="M784" s="116">
        <v>4000</v>
      </c>
      <c r="N784" s="117"/>
      <c r="O784" s="117"/>
    </row>
    <row r="785" spans="1:15">
      <c r="A785" s="111">
        <v>45989</v>
      </c>
      <c r="B785" s="112" t="s">
        <v>316</v>
      </c>
      <c r="C785" s="112" t="s">
        <v>18</v>
      </c>
      <c r="D785" s="113" t="s">
        <v>68</v>
      </c>
      <c r="E785" s="118">
        <v>6</v>
      </c>
      <c r="F785" s="115">
        <v>4860</v>
      </c>
      <c r="G785" s="115">
        <v>3900</v>
      </c>
      <c r="H785" s="115">
        <v>960</v>
      </c>
      <c r="I785" s="116"/>
      <c r="J785" s="116"/>
      <c r="K785" s="116"/>
      <c r="L785" s="116"/>
      <c r="M785" s="116">
        <v>7000</v>
      </c>
      <c r="N785" s="117"/>
      <c r="O785" s="117"/>
    </row>
    <row r="786" spans="1:15">
      <c r="A786" s="111">
        <v>45990</v>
      </c>
      <c r="B786" s="112" t="s">
        <v>316</v>
      </c>
      <c r="C786" s="112" t="s">
        <v>18</v>
      </c>
      <c r="D786" s="113" t="s">
        <v>304</v>
      </c>
      <c r="E786" s="118">
        <v>6</v>
      </c>
      <c r="F786" s="115">
        <v>5080</v>
      </c>
      <c r="G786" s="115">
        <v>3910</v>
      </c>
      <c r="H786" s="115">
        <v>1170</v>
      </c>
      <c r="I786" s="116"/>
      <c r="J786" s="116"/>
      <c r="K786" s="116">
        <v>85000</v>
      </c>
      <c r="L786" s="116"/>
      <c r="M786" s="116">
        <v>7000</v>
      </c>
      <c r="N786" s="117"/>
      <c r="O786" s="117"/>
    </row>
    <row r="787" spans="1:15">
      <c r="A787" s="111">
        <v>45990</v>
      </c>
      <c r="B787" s="112" t="s">
        <v>316</v>
      </c>
      <c r="C787" s="112" t="s">
        <v>18</v>
      </c>
      <c r="D787" s="113" t="s">
        <v>68</v>
      </c>
      <c r="E787" s="118">
        <v>6</v>
      </c>
      <c r="F787" s="115">
        <v>5430</v>
      </c>
      <c r="G787" s="115">
        <v>3900</v>
      </c>
      <c r="H787" s="115">
        <v>1530</v>
      </c>
      <c r="I787" s="116"/>
      <c r="J787" s="116"/>
      <c r="K787" s="116"/>
      <c r="L787" s="116"/>
      <c r="M787" s="116">
        <v>7000</v>
      </c>
      <c r="N787" s="117"/>
      <c r="O787" s="117"/>
    </row>
    <row r="788" spans="1:15">
      <c r="A788" s="111">
        <v>45991</v>
      </c>
      <c r="B788" s="112" t="s">
        <v>316</v>
      </c>
      <c r="C788" s="112" t="s">
        <v>18</v>
      </c>
      <c r="D788" s="113" t="s">
        <v>284</v>
      </c>
      <c r="E788" s="118">
        <v>6</v>
      </c>
      <c r="F788" s="115">
        <v>4230</v>
      </c>
      <c r="G788" s="115">
        <v>3860</v>
      </c>
      <c r="H788" s="115">
        <v>370</v>
      </c>
      <c r="I788" s="116"/>
      <c r="J788" s="116"/>
      <c r="K788" s="116">
        <v>16000</v>
      </c>
      <c r="L788" s="116"/>
      <c r="M788" s="116">
        <v>7000</v>
      </c>
      <c r="N788" s="117"/>
      <c r="O788" s="117"/>
    </row>
    <row r="789" spans="1:15">
      <c r="A789" s="38"/>
      <c r="B789" s="22"/>
      <c r="C789" s="22"/>
      <c r="D789" s="23"/>
      <c r="E789" s="43"/>
      <c r="F789" s="42"/>
      <c r="G789" s="42"/>
      <c r="H789" s="42"/>
      <c r="I789" s="17"/>
      <c r="J789" s="17"/>
      <c r="K789" s="17"/>
      <c r="L789" s="17"/>
      <c r="M789" s="17"/>
      <c r="N789" s="16"/>
      <c r="O789" s="16"/>
    </row>
    <row r="790" spans="1:15">
      <c r="A790" s="38">
        <v>45998</v>
      </c>
      <c r="B790" s="22"/>
      <c r="C790" s="22"/>
      <c r="D790" s="23"/>
      <c r="E790" s="43"/>
      <c r="F790" s="42"/>
      <c r="G790" s="42"/>
      <c r="H790" s="42"/>
      <c r="I790" s="17">
        <v>1000000</v>
      </c>
      <c r="J790" s="17">
        <v>0</v>
      </c>
      <c r="K790" s="17">
        <v>428500</v>
      </c>
      <c r="L790" s="17">
        <v>60000</v>
      </c>
      <c r="M790" s="17">
        <v>98000</v>
      </c>
      <c r="N790" s="16" t="s">
        <v>317</v>
      </c>
      <c r="O790" s="16" t="s">
        <v>318</v>
      </c>
    </row>
    <row r="791" spans="1:15">
      <c r="A791" s="38">
        <v>45992</v>
      </c>
      <c r="B791" s="22" t="s">
        <v>316</v>
      </c>
      <c r="C791" s="22" t="s">
        <v>18</v>
      </c>
      <c r="D791" s="23" t="s">
        <v>304</v>
      </c>
      <c r="E791" s="43">
        <v>6</v>
      </c>
      <c r="F791" s="42">
        <v>5130</v>
      </c>
      <c r="G791" s="42">
        <v>3790</v>
      </c>
      <c r="H791" s="42">
        <v>1340</v>
      </c>
      <c r="I791" s="17"/>
      <c r="J791" s="17"/>
      <c r="K791" s="17">
        <v>85000</v>
      </c>
      <c r="L791" s="17"/>
      <c r="M791" s="17">
        <v>7000</v>
      </c>
      <c r="N791" s="16"/>
      <c r="O791" s="16"/>
    </row>
    <row r="792" spans="1:15">
      <c r="A792" s="38">
        <v>45992</v>
      </c>
      <c r="B792" s="22" t="s">
        <v>316</v>
      </c>
      <c r="C792" s="22" t="s">
        <v>18</v>
      </c>
      <c r="D792" s="23" t="s">
        <v>68</v>
      </c>
      <c r="E792" s="43">
        <v>6</v>
      </c>
      <c r="F792" s="42">
        <v>4880</v>
      </c>
      <c r="G792" s="42">
        <v>3880</v>
      </c>
      <c r="H792" s="42">
        <v>1000</v>
      </c>
      <c r="I792" s="17"/>
      <c r="J792" s="17"/>
      <c r="K792" s="17"/>
      <c r="L792" s="17"/>
      <c r="M792" s="17">
        <v>7000</v>
      </c>
      <c r="N792" s="16"/>
      <c r="O792" s="16"/>
    </row>
    <row r="793" spans="1:15">
      <c r="A793" s="38">
        <v>45993</v>
      </c>
      <c r="B793" s="22" t="s">
        <v>316</v>
      </c>
      <c r="C793" s="22" t="s">
        <v>18</v>
      </c>
      <c r="D793" s="23" t="s">
        <v>197</v>
      </c>
      <c r="E793" s="43">
        <v>6</v>
      </c>
      <c r="F793" s="42">
        <v>5660</v>
      </c>
      <c r="G793" s="42">
        <v>3950</v>
      </c>
      <c r="H793" s="42">
        <v>1710</v>
      </c>
      <c r="I793" s="17"/>
      <c r="J793" s="17"/>
      <c r="K793" s="17">
        <v>35500</v>
      </c>
      <c r="L793" s="17"/>
      <c r="M793" s="17">
        <v>7000</v>
      </c>
      <c r="N793" s="16"/>
      <c r="O793" s="16"/>
    </row>
    <row r="794" spans="1:15">
      <c r="A794" s="38">
        <v>45993</v>
      </c>
      <c r="B794" s="22" t="s">
        <v>316</v>
      </c>
      <c r="C794" s="22" t="s">
        <v>18</v>
      </c>
      <c r="D794" s="23" t="s">
        <v>52</v>
      </c>
      <c r="E794" s="43">
        <v>6</v>
      </c>
      <c r="F794" s="42">
        <v>4350</v>
      </c>
      <c r="G794" s="42">
        <v>3870</v>
      </c>
      <c r="H794" s="42">
        <v>480</v>
      </c>
      <c r="I794" s="17"/>
      <c r="J794" s="17"/>
      <c r="K794" s="17"/>
      <c r="L794" s="17"/>
      <c r="M794" s="17">
        <v>7000</v>
      </c>
      <c r="N794" s="16"/>
      <c r="O794" s="16"/>
    </row>
    <row r="795" spans="1:15">
      <c r="A795" s="38">
        <v>45994</v>
      </c>
      <c r="B795" s="22" t="s">
        <v>316</v>
      </c>
      <c r="C795" s="22" t="s">
        <v>18</v>
      </c>
      <c r="D795" s="23" t="s">
        <v>304</v>
      </c>
      <c r="E795" s="43">
        <v>6</v>
      </c>
      <c r="F795" s="42">
        <v>5110</v>
      </c>
      <c r="G795" s="42">
        <v>3880</v>
      </c>
      <c r="H795" s="42">
        <v>1230</v>
      </c>
      <c r="I795" s="17"/>
      <c r="J795" s="17"/>
      <c r="K795" s="17">
        <v>95500</v>
      </c>
      <c r="L795" s="17">
        <v>60000</v>
      </c>
      <c r="M795" s="17">
        <v>7000</v>
      </c>
      <c r="N795" s="16"/>
      <c r="O795" s="16"/>
    </row>
    <row r="796" spans="1:15">
      <c r="A796" s="38">
        <v>45994</v>
      </c>
      <c r="B796" s="22" t="s">
        <v>316</v>
      </c>
      <c r="C796" s="22" t="s">
        <v>18</v>
      </c>
      <c r="D796" s="23" t="s">
        <v>68</v>
      </c>
      <c r="E796" s="43">
        <v>6</v>
      </c>
      <c r="F796" s="42">
        <v>5100</v>
      </c>
      <c r="G796" s="42">
        <v>3900</v>
      </c>
      <c r="H796" s="42">
        <v>1200</v>
      </c>
      <c r="I796" s="17"/>
      <c r="J796" s="17"/>
      <c r="K796" s="17"/>
      <c r="L796" s="17"/>
      <c r="M796" s="17">
        <v>7000</v>
      </c>
      <c r="N796" s="16"/>
      <c r="O796" s="16"/>
    </row>
    <row r="797" spans="1:15">
      <c r="A797" s="38">
        <v>45995</v>
      </c>
      <c r="B797" s="22" t="s">
        <v>316</v>
      </c>
      <c r="C797" s="22" t="s">
        <v>18</v>
      </c>
      <c r="D797" s="23" t="s">
        <v>304</v>
      </c>
      <c r="E797" s="43">
        <v>6</v>
      </c>
      <c r="F797" s="42">
        <v>4520</v>
      </c>
      <c r="G797" s="42">
        <v>3810</v>
      </c>
      <c r="H797" s="42">
        <v>710</v>
      </c>
      <c r="I797" s="17"/>
      <c r="J797" s="17"/>
      <c r="K797" s="17">
        <v>85000</v>
      </c>
      <c r="L797" s="17"/>
      <c r="M797" s="17">
        <v>7000</v>
      </c>
      <c r="N797" s="16"/>
      <c r="O797" s="16"/>
    </row>
    <row r="798" spans="1:15">
      <c r="A798" s="38">
        <v>45995</v>
      </c>
      <c r="B798" s="22" t="s">
        <v>316</v>
      </c>
      <c r="C798" s="22" t="s">
        <v>18</v>
      </c>
      <c r="D798" s="23" t="s">
        <v>68</v>
      </c>
      <c r="E798" s="43">
        <v>6</v>
      </c>
      <c r="F798" s="42">
        <v>5100</v>
      </c>
      <c r="G798" s="42">
        <v>3790</v>
      </c>
      <c r="H798" s="42">
        <v>1310</v>
      </c>
      <c r="I798" s="17"/>
      <c r="J798" s="17"/>
      <c r="K798" s="17"/>
      <c r="L798" s="17"/>
      <c r="M798" s="17">
        <v>7000</v>
      </c>
      <c r="N798" s="16"/>
      <c r="O798" s="16"/>
    </row>
    <row r="799" spans="1:15">
      <c r="A799" s="38">
        <v>45996</v>
      </c>
      <c r="B799" s="22" t="s">
        <v>316</v>
      </c>
      <c r="C799" s="22" t="s">
        <v>18</v>
      </c>
      <c r="D799" s="23" t="s">
        <v>68</v>
      </c>
      <c r="E799" s="43">
        <v>6</v>
      </c>
      <c r="F799" s="42">
        <v>4790</v>
      </c>
      <c r="G799" s="42">
        <v>3880</v>
      </c>
      <c r="H799" s="42">
        <v>910</v>
      </c>
      <c r="I799" s="17"/>
      <c r="J799" s="17"/>
      <c r="K799" s="17">
        <v>69000</v>
      </c>
      <c r="L799" s="17"/>
      <c r="M799" s="17">
        <v>7000</v>
      </c>
      <c r="N799" s="16"/>
      <c r="O799" s="16"/>
    </row>
    <row r="800" spans="1:15">
      <c r="A800" s="38">
        <v>45996</v>
      </c>
      <c r="B800" s="22" t="s">
        <v>316</v>
      </c>
      <c r="C800" s="22" t="s">
        <v>18</v>
      </c>
      <c r="D800" s="23" t="s">
        <v>68</v>
      </c>
      <c r="E800" s="43">
        <v>6</v>
      </c>
      <c r="F800" s="42">
        <v>4820</v>
      </c>
      <c r="G800" s="42">
        <v>3830</v>
      </c>
      <c r="H800" s="42">
        <v>990</v>
      </c>
      <c r="I800" s="17"/>
      <c r="J800" s="17"/>
      <c r="K800" s="17"/>
      <c r="L800" s="17"/>
      <c r="M800" s="17">
        <v>7000</v>
      </c>
      <c r="N800" s="16"/>
      <c r="O800" s="16"/>
    </row>
    <row r="801" spans="1:15">
      <c r="A801" s="38">
        <v>45997</v>
      </c>
      <c r="B801" s="22" t="s">
        <v>316</v>
      </c>
      <c r="C801" s="22" t="s">
        <v>18</v>
      </c>
      <c r="D801" s="23" t="s">
        <v>283</v>
      </c>
      <c r="E801" s="43">
        <v>6</v>
      </c>
      <c r="F801" s="42">
        <v>4250</v>
      </c>
      <c r="G801" s="42">
        <v>3820</v>
      </c>
      <c r="H801" s="42">
        <v>430</v>
      </c>
      <c r="I801" s="17"/>
      <c r="J801" s="17"/>
      <c r="K801" s="17">
        <v>42500</v>
      </c>
      <c r="L801" s="17"/>
      <c r="M801" s="17">
        <v>7000</v>
      </c>
      <c r="N801" s="16"/>
      <c r="O801" s="16"/>
    </row>
    <row r="802" spans="1:15">
      <c r="A802" s="38">
        <v>45997</v>
      </c>
      <c r="B802" s="22" t="s">
        <v>316</v>
      </c>
      <c r="C802" s="22" t="s">
        <v>18</v>
      </c>
      <c r="D802" s="23" t="s">
        <v>284</v>
      </c>
      <c r="E802" s="43">
        <v>6</v>
      </c>
      <c r="F802" s="42">
        <v>4690</v>
      </c>
      <c r="G802" s="42">
        <v>3920</v>
      </c>
      <c r="H802" s="42">
        <v>770</v>
      </c>
      <c r="I802" s="17"/>
      <c r="J802" s="17"/>
      <c r="K802" s="17"/>
      <c r="L802" s="17"/>
      <c r="M802" s="17">
        <v>7000</v>
      </c>
      <c r="N802" s="16"/>
      <c r="O802" s="16"/>
    </row>
    <row r="803" spans="1:15">
      <c r="A803" s="38">
        <v>45998</v>
      </c>
      <c r="B803" s="22" t="s">
        <v>316</v>
      </c>
      <c r="C803" s="22" t="s">
        <v>18</v>
      </c>
      <c r="D803" s="23" t="s">
        <v>284</v>
      </c>
      <c r="E803" s="43">
        <v>6</v>
      </c>
      <c r="F803" s="42">
        <v>4650</v>
      </c>
      <c r="G803" s="42">
        <v>3880</v>
      </c>
      <c r="H803" s="42">
        <v>770</v>
      </c>
      <c r="I803" s="17"/>
      <c r="J803" s="17"/>
      <c r="K803" s="17">
        <v>16000</v>
      </c>
      <c r="L803" s="17"/>
      <c r="M803" s="17">
        <v>7000</v>
      </c>
      <c r="N803" s="16"/>
      <c r="O803" s="16"/>
    </row>
    <row r="804" spans="1:15">
      <c r="A804" s="38">
        <v>45998</v>
      </c>
      <c r="B804" s="22" t="s">
        <v>316</v>
      </c>
      <c r="C804" s="22" t="s">
        <v>18</v>
      </c>
      <c r="D804" s="23" t="s">
        <v>284</v>
      </c>
      <c r="E804" s="43">
        <v>6</v>
      </c>
      <c r="F804" s="42">
        <v>4580</v>
      </c>
      <c r="G804" s="42">
        <v>3810</v>
      </c>
      <c r="H804" s="42">
        <v>770</v>
      </c>
      <c r="I804" s="17"/>
      <c r="J804" s="17"/>
      <c r="K804" s="17"/>
      <c r="L804" s="17"/>
      <c r="M804" s="17">
        <v>7000</v>
      </c>
      <c r="N804" s="16"/>
      <c r="O804" s="16"/>
    </row>
    <row r="805" spans="1:15">
      <c r="A805" s="38"/>
      <c r="B805" s="22"/>
      <c r="C805" s="22"/>
      <c r="D805" s="23"/>
      <c r="E805" s="43"/>
      <c r="F805" s="42"/>
      <c r="G805" s="42"/>
      <c r="H805" s="42"/>
      <c r="I805" s="17"/>
      <c r="J805" s="17"/>
      <c r="K805" s="17"/>
      <c r="L805" s="17"/>
      <c r="M805" s="17"/>
      <c r="N805" s="16"/>
      <c r="O805" s="16"/>
    </row>
    <row r="806" spans="1:15">
      <c r="A806" s="38">
        <v>46004</v>
      </c>
      <c r="B806" s="22"/>
      <c r="C806" s="22"/>
      <c r="D806" s="23"/>
      <c r="E806" s="43"/>
      <c r="F806" s="42"/>
      <c r="G806" s="42"/>
      <c r="H806" s="42"/>
      <c r="I806" s="17">
        <v>1000000</v>
      </c>
      <c r="J806" s="17">
        <v>0</v>
      </c>
      <c r="K806" s="17">
        <v>414000</v>
      </c>
      <c r="L806" s="17">
        <v>135000</v>
      </c>
      <c r="M806" s="17">
        <v>81000</v>
      </c>
      <c r="N806" s="16" t="s">
        <v>319</v>
      </c>
      <c r="O806" s="16" t="s">
        <v>320</v>
      </c>
    </row>
    <row r="807" spans="1:15">
      <c r="A807" s="38">
        <v>45999</v>
      </c>
      <c r="B807" s="22" t="s">
        <v>316</v>
      </c>
      <c r="C807" s="22" t="s">
        <v>18</v>
      </c>
      <c r="D807" s="23" t="s">
        <v>304</v>
      </c>
      <c r="E807" s="43">
        <v>6</v>
      </c>
      <c r="F807" s="42">
        <v>4520</v>
      </c>
      <c r="G807" s="42">
        <v>3780</v>
      </c>
      <c r="H807" s="42">
        <v>740</v>
      </c>
      <c r="I807" s="17"/>
      <c r="J807" s="17"/>
      <c r="K807" s="17">
        <v>85000</v>
      </c>
      <c r="L807" s="17"/>
      <c r="M807" s="17">
        <v>7000</v>
      </c>
      <c r="N807" s="16"/>
      <c r="O807" s="16"/>
    </row>
    <row r="808" spans="1:15">
      <c r="A808" s="38">
        <v>45999</v>
      </c>
      <c r="B808" s="22" t="s">
        <v>316</v>
      </c>
      <c r="C808" s="22" t="s">
        <v>18</v>
      </c>
      <c r="D808" s="23" t="s">
        <v>68</v>
      </c>
      <c r="E808" s="43">
        <v>6</v>
      </c>
      <c r="F808" s="42">
        <v>5290</v>
      </c>
      <c r="G808" s="42">
        <v>3800</v>
      </c>
      <c r="H808" s="42">
        <v>1490</v>
      </c>
      <c r="I808" s="17"/>
      <c r="J808" s="17"/>
      <c r="K808" s="17"/>
      <c r="L808" s="17"/>
      <c r="M808" s="17">
        <v>7000</v>
      </c>
      <c r="N808" s="16"/>
      <c r="O808" s="16"/>
    </row>
    <row r="809" spans="1:15">
      <c r="A809" s="38">
        <v>46000</v>
      </c>
      <c r="B809" s="22" t="s">
        <v>316</v>
      </c>
      <c r="C809" s="22" t="s">
        <v>18</v>
      </c>
      <c r="D809" s="23" t="s">
        <v>197</v>
      </c>
      <c r="E809" s="43">
        <v>6</v>
      </c>
      <c r="F809" s="42">
        <v>5470</v>
      </c>
      <c r="G809" s="42">
        <v>3820</v>
      </c>
      <c r="H809" s="42">
        <v>1650</v>
      </c>
      <c r="I809" s="17"/>
      <c r="J809" s="17"/>
      <c r="K809" s="17">
        <v>69000</v>
      </c>
      <c r="L809" s="17"/>
      <c r="M809" s="17">
        <v>7000</v>
      </c>
      <c r="N809" s="16"/>
      <c r="O809" s="16"/>
    </row>
    <row r="810" spans="1:15">
      <c r="A810" s="38">
        <v>46000</v>
      </c>
      <c r="B810" s="22" t="s">
        <v>316</v>
      </c>
      <c r="C810" s="22" t="s">
        <v>18</v>
      </c>
      <c r="D810" s="23" t="s">
        <v>68</v>
      </c>
      <c r="E810" s="43">
        <v>6</v>
      </c>
      <c r="F810" s="42">
        <v>5600</v>
      </c>
      <c r="G810" s="42">
        <v>3770</v>
      </c>
      <c r="H810" s="42">
        <v>1830</v>
      </c>
      <c r="I810" s="17"/>
      <c r="J810" s="17"/>
      <c r="K810" s="17"/>
      <c r="L810" s="17"/>
      <c r="M810" s="17">
        <v>7000</v>
      </c>
      <c r="N810" s="16"/>
      <c r="O810" s="16"/>
    </row>
    <row r="811" spans="1:15">
      <c r="A811" s="38">
        <v>46001</v>
      </c>
      <c r="B811" s="22" t="s">
        <v>316</v>
      </c>
      <c r="C811" s="22" t="s">
        <v>18</v>
      </c>
      <c r="D811" s="23" t="s">
        <v>304</v>
      </c>
      <c r="E811" s="43">
        <v>6</v>
      </c>
      <c r="F811" s="42">
        <v>4720</v>
      </c>
      <c r="G811" s="42">
        <v>3900</v>
      </c>
      <c r="H811" s="42">
        <v>820</v>
      </c>
      <c r="I811" s="17"/>
      <c r="J811" s="17"/>
      <c r="K811" s="17">
        <v>42500</v>
      </c>
      <c r="L811" s="17"/>
      <c r="M811" s="17">
        <v>4000</v>
      </c>
      <c r="N811" s="16"/>
      <c r="O811" s="16"/>
    </row>
    <row r="812" spans="1:15">
      <c r="A812" s="38">
        <v>46001</v>
      </c>
      <c r="B812" s="22" t="s">
        <v>316</v>
      </c>
      <c r="C812" s="22" t="s">
        <v>18</v>
      </c>
      <c r="D812" s="23" t="s">
        <v>134</v>
      </c>
      <c r="E812" s="43">
        <v>6</v>
      </c>
      <c r="F812" s="42">
        <v>4970</v>
      </c>
      <c r="G812" s="42">
        <v>3840</v>
      </c>
      <c r="H812" s="42">
        <v>1130</v>
      </c>
      <c r="I812" s="17"/>
      <c r="J812" s="17"/>
      <c r="K812" s="17"/>
      <c r="L812" s="17"/>
      <c r="M812" s="17">
        <v>7000</v>
      </c>
      <c r="N812" s="16"/>
      <c r="O812" s="16"/>
    </row>
    <row r="813" spans="1:15">
      <c r="A813" s="38">
        <v>46002</v>
      </c>
      <c r="B813" s="22" t="s">
        <v>316</v>
      </c>
      <c r="C813" s="22" t="s">
        <v>18</v>
      </c>
      <c r="D813" s="23" t="s">
        <v>68</v>
      </c>
      <c r="E813" s="43">
        <v>6</v>
      </c>
      <c r="F813" s="42">
        <v>4560</v>
      </c>
      <c r="G813" s="42">
        <v>3810</v>
      </c>
      <c r="H813" s="42">
        <v>750</v>
      </c>
      <c r="I813" s="17"/>
      <c r="J813" s="17"/>
      <c r="K813" s="17">
        <v>85000</v>
      </c>
      <c r="L813" s="17"/>
      <c r="M813" s="17">
        <v>7000</v>
      </c>
      <c r="N813" s="16"/>
      <c r="O813" s="16"/>
    </row>
    <row r="814" spans="1:15">
      <c r="A814" s="38">
        <v>46002</v>
      </c>
      <c r="B814" s="22" t="s">
        <v>316</v>
      </c>
      <c r="C814" s="22" t="s">
        <v>18</v>
      </c>
      <c r="D814" s="23" t="s">
        <v>68</v>
      </c>
      <c r="E814" s="43">
        <v>6</v>
      </c>
      <c r="F814" s="42">
        <v>4650</v>
      </c>
      <c r="G814" s="42">
        <v>3910</v>
      </c>
      <c r="H814" s="42">
        <v>740</v>
      </c>
      <c r="I814" s="17"/>
      <c r="J814" s="17"/>
      <c r="K814" s="17"/>
      <c r="L814" s="17"/>
      <c r="M814" s="17">
        <v>7000</v>
      </c>
      <c r="N814" s="16"/>
      <c r="O814" s="16"/>
    </row>
    <row r="815" spans="1:15">
      <c r="A815" s="38">
        <v>46003</v>
      </c>
      <c r="B815" s="22" t="s">
        <v>316</v>
      </c>
      <c r="C815" s="22" t="s">
        <v>18</v>
      </c>
      <c r="D815" s="23" t="s">
        <v>304</v>
      </c>
      <c r="E815" s="43">
        <v>6</v>
      </c>
      <c r="F815" s="42">
        <v>4700</v>
      </c>
      <c r="G815" s="42">
        <v>3830</v>
      </c>
      <c r="H815" s="42">
        <v>870</v>
      </c>
      <c r="I815" s="17"/>
      <c r="J815" s="17"/>
      <c r="K815" s="17">
        <v>53000</v>
      </c>
      <c r="L815" s="17"/>
      <c r="M815" s="17">
        <v>7000</v>
      </c>
      <c r="N815" s="16"/>
      <c r="O815" s="16"/>
    </row>
    <row r="816" spans="1:15">
      <c r="A816" s="38">
        <v>46003</v>
      </c>
      <c r="B816" s="22" t="s">
        <v>316</v>
      </c>
      <c r="C816" s="22" t="s">
        <v>18</v>
      </c>
      <c r="D816" s="23" t="s">
        <v>284</v>
      </c>
      <c r="E816" s="43">
        <v>6</v>
      </c>
      <c r="F816" s="42">
        <v>5120</v>
      </c>
      <c r="G816" s="42">
        <v>3880</v>
      </c>
      <c r="H816" s="42">
        <v>1240</v>
      </c>
      <c r="I816" s="17"/>
      <c r="J816" s="17"/>
      <c r="K816" s="17"/>
      <c r="L816" s="17"/>
      <c r="M816" s="17">
        <v>7000</v>
      </c>
      <c r="N816" s="16"/>
      <c r="O816" s="16"/>
    </row>
    <row r="817" spans="1:15">
      <c r="A817" s="38">
        <v>46004</v>
      </c>
      <c r="B817" s="22" t="s">
        <v>316</v>
      </c>
      <c r="C817" s="22" t="s">
        <v>18</v>
      </c>
      <c r="D817" s="23" t="s">
        <v>304</v>
      </c>
      <c r="E817" s="43">
        <v>6</v>
      </c>
      <c r="F817" s="42">
        <v>4630</v>
      </c>
      <c r="G817" s="42">
        <v>3850</v>
      </c>
      <c r="H817" s="42">
        <v>780</v>
      </c>
      <c r="I817" s="17"/>
      <c r="J817" s="17"/>
      <c r="K817" s="17">
        <v>79500</v>
      </c>
      <c r="L817" s="17">
        <v>135000</v>
      </c>
      <c r="M817" s="17">
        <v>7000</v>
      </c>
      <c r="N817" s="16"/>
      <c r="O817" s="16"/>
    </row>
    <row r="818" spans="1:15">
      <c r="A818" s="38">
        <v>46004</v>
      </c>
      <c r="B818" s="22" t="s">
        <v>316</v>
      </c>
      <c r="C818" s="22" t="s">
        <v>18</v>
      </c>
      <c r="D818" s="23" t="s">
        <v>68</v>
      </c>
      <c r="E818" s="43">
        <v>6</v>
      </c>
      <c r="F818" s="42">
        <v>5230</v>
      </c>
      <c r="G818" s="42">
        <v>3770</v>
      </c>
      <c r="H818" s="42">
        <v>1460</v>
      </c>
      <c r="I818" s="17"/>
      <c r="J818" s="17"/>
      <c r="K818" s="17"/>
      <c r="L818" s="17"/>
      <c r="M818" s="17">
        <v>7000</v>
      </c>
      <c r="N818" s="16"/>
      <c r="O818" s="16"/>
    </row>
    <row r="819" spans="1:15">
      <c r="A819" s="38"/>
      <c r="B819" s="22"/>
      <c r="C819" s="22"/>
      <c r="D819" s="23"/>
      <c r="E819" s="43"/>
      <c r="F819" s="42"/>
      <c r="G819" s="42"/>
      <c r="H819" s="42"/>
      <c r="I819" s="17"/>
      <c r="J819" s="17"/>
      <c r="K819" s="17"/>
      <c r="L819" s="17"/>
      <c r="M819" s="17"/>
      <c r="N819" s="16"/>
      <c r="O819" s="16"/>
    </row>
    <row r="820" spans="1:15">
      <c r="A820" s="38">
        <v>46012</v>
      </c>
      <c r="B820" s="22"/>
      <c r="C820" s="22"/>
      <c r="D820" s="23"/>
      <c r="E820" s="43"/>
      <c r="F820" s="42"/>
      <c r="G820" s="42"/>
      <c r="H820" s="42"/>
      <c r="I820" s="17">
        <v>1000000</v>
      </c>
      <c r="J820" s="17">
        <v>0</v>
      </c>
      <c r="K820" s="17">
        <v>435500</v>
      </c>
      <c r="L820" s="17">
        <v>0</v>
      </c>
      <c r="M820" s="17">
        <v>81000</v>
      </c>
      <c r="N820" s="16" t="s">
        <v>321</v>
      </c>
      <c r="O820" s="16" t="s">
        <v>322</v>
      </c>
    </row>
    <row r="821" spans="1:15">
      <c r="A821" s="38">
        <v>46006</v>
      </c>
      <c r="B821" s="22" t="s">
        <v>316</v>
      </c>
      <c r="C821" s="22" t="s">
        <v>18</v>
      </c>
      <c r="D821" s="23" t="s">
        <v>283</v>
      </c>
      <c r="E821" s="43">
        <v>6</v>
      </c>
      <c r="F821" s="42">
        <v>4760</v>
      </c>
      <c r="G821" s="42">
        <v>3890</v>
      </c>
      <c r="H821" s="42">
        <v>870</v>
      </c>
      <c r="I821" s="17"/>
      <c r="J821" s="17"/>
      <c r="K821" s="17">
        <v>85000</v>
      </c>
      <c r="L821" s="17"/>
      <c r="M821" s="17">
        <v>7000</v>
      </c>
      <c r="N821" s="16"/>
      <c r="O821" s="16"/>
    </row>
    <row r="822" spans="1:15">
      <c r="A822" s="38">
        <v>46006</v>
      </c>
      <c r="B822" s="22" t="s">
        <v>316</v>
      </c>
      <c r="C822" s="22" t="s">
        <v>18</v>
      </c>
      <c r="D822" s="23" t="s">
        <v>68</v>
      </c>
      <c r="E822" s="43">
        <v>6</v>
      </c>
      <c r="F822" s="42">
        <v>5430</v>
      </c>
      <c r="G822" s="42">
        <v>3920</v>
      </c>
      <c r="H822" s="42">
        <v>1510</v>
      </c>
      <c r="I822" s="17"/>
      <c r="J822" s="17"/>
      <c r="K822" s="17"/>
      <c r="L822" s="17"/>
      <c r="M822" s="17">
        <v>7000</v>
      </c>
      <c r="N822" s="16"/>
      <c r="O822" s="16"/>
    </row>
    <row r="823" spans="1:15">
      <c r="A823" s="38">
        <v>46007</v>
      </c>
      <c r="B823" s="22" t="s">
        <v>316</v>
      </c>
      <c r="C823" s="22" t="s">
        <v>18</v>
      </c>
      <c r="D823" s="23" t="s">
        <v>304</v>
      </c>
      <c r="E823" s="43">
        <v>6</v>
      </c>
      <c r="F823" s="42">
        <v>4850</v>
      </c>
      <c r="G823" s="42">
        <v>3820</v>
      </c>
      <c r="H823" s="42">
        <v>1030</v>
      </c>
      <c r="I823" s="17"/>
      <c r="J823" s="17"/>
      <c r="K823" s="17">
        <v>42500</v>
      </c>
      <c r="L823" s="17"/>
      <c r="M823" s="17">
        <v>7000</v>
      </c>
      <c r="N823" s="16"/>
      <c r="O823" s="16"/>
    </row>
    <row r="824" spans="1:15">
      <c r="A824" s="38">
        <v>46007</v>
      </c>
      <c r="B824" s="22" t="s">
        <v>316</v>
      </c>
      <c r="C824" s="22" t="s">
        <v>18</v>
      </c>
      <c r="D824" s="23" t="s">
        <v>134</v>
      </c>
      <c r="E824" s="43">
        <v>6</v>
      </c>
      <c r="F824" s="42">
        <v>4950</v>
      </c>
      <c r="G824" s="42">
        <v>3950</v>
      </c>
      <c r="H824" s="42">
        <v>1000</v>
      </c>
      <c r="I824" s="17"/>
      <c r="J824" s="17"/>
      <c r="K824" s="17"/>
      <c r="L824" s="17"/>
      <c r="M824" s="17">
        <v>7000</v>
      </c>
      <c r="N824" s="16"/>
      <c r="O824" s="16"/>
    </row>
    <row r="825" spans="1:15">
      <c r="A825" s="38">
        <v>46008</v>
      </c>
      <c r="B825" s="22" t="s">
        <v>316</v>
      </c>
      <c r="C825" s="22" t="s">
        <v>18</v>
      </c>
      <c r="D825" s="23" t="s">
        <v>304</v>
      </c>
      <c r="E825" s="43">
        <v>6</v>
      </c>
      <c r="F825" s="42">
        <v>5420</v>
      </c>
      <c r="G825" s="42">
        <v>3900</v>
      </c>
      <c r="H825" s="42">
        <v>1520</v>
      </c>
      <c r="I825" s="17"/>
      <c r="J825" s="17"/>
      <c r="K825" s="17">
        <v>85000</v>
      </c>
      <c r="L825" s="17"/>
      <c r="M825" s="17">
        <v>7000</v>
      </c>
      <c r="N825" s="16"/>
      <c r="O825" s="16"/>
    </row>
    <row r="826" spans="1:15">
      <c r="A826" s="38">
        <v>46008</v>
      </c>
      <c r="B826" s="22" t="s">
        <v>316</v>
      </c>
      <c r="C826" s="22" t="s">
        <v>18</v>
      </c>
      <c r="D826" s="23" t="s">
        <v>68</v>
      </c>
      <c r="E826" s="43">
        <v>6</v>
      </c>
      <c r="F826" s="42">
        <v>5930</v>
      </c>
      <c r="G826" s="42">
        <v>3790</v>
      </c>
      <c r="H826" s="42">
        <v>2140</v>
      </c>
      <c r="I826" s="17"/>
      <c r="J826" s="17"/>
      <c r="K826" s="17"/>
      <c r="L826" s="17"/>
      <c r="M826" s="17">
        <v>7000</v>
      </c>
      <c r="N826" s="16"/>
      <c r="O826" s="16"/>
    </row>
    <row r="827" spans="1:15">
      <c r="A827" s="38">
        <v>46009</v>
      </c>
      <c r="B827" s="22" t="s">
        <v>316</v>
      </c>
      <c r="C827" s="22" t="s">
        <v>18</v>
      </c>
      <c r="D827" s="23" t="s">
        <v>197</v>
      </c>
      <c r="E827" s="43">
        <v>6</v>
      </c>
      <c r="F827" s="42">
        <v>4920</v>
      </c>
      <c r="G827" s="42">
        <v>3950</v>
      </c>
      <c r="H827" s="42">
        <v>970</v>
      </c>
      <c r="I827" s="17"/>
      <c r="J827" s="17"/>
      <c r="K827" s="17">
        <v>69000</v>
      </c>
      <c r="L827" s="17"/>
      <c r="M827" s="17">
        <v>7000</v>
      </c>
      <c r="N827" s="16"/>
      <c r="O827" s="16"/>
    </row>
    <row r="828" spans="1:15">
      <c r="A828" s="38">
        <v>46009</v>
      </c>
      <c r="B828" s="22" t="s">
        <v>316</v>
      </c>
      <c r="C828" s="22" t="s">
        <v>18</v>
      </c>
      <c r="D828" s="23" t="s">
        <v>68</v>
      </c>
      <c r="E828" s="43">
        <v>6</v>
      </c>
      <c r="F828" s="42">
        <v>6330</v>
      </c>
      <c r="G828" s="42">
        <v>3790</v>
      </c>
      <c r="H828" s="42">
        <v>2540</v>
      </c>
      <c r="I828" s="17"/>
      <c r="J828" s="17"/>
      <c r="K828" s="17"/>
      <c r="L828" s="17"/>
      <c r="M828" s="17">
        <v>7000</v>
      </c>
      <c r="N828" s="16"/>
      <c r="O828" s="16"/>
    </row>
    <row r="829" spans="1:15">
      <c r="A829" s="38">
        <v>46010</v>
      </c>
      <c r="B829" s="22" t="s">
        <v>316</v>
      </c>
      <c r="C829" s="22" t="s">
        <v>18</v>
      </c>
      <c r="D829" s="23" t="s">
        <v>304</v>
      </c>
      <c r="E829" s="43">
        <v>6</v>
      </c>
      <c r="F829" s="42">
        <v>5480</v>
      </c>
      <c r="G829" s="42">
        <v>3930</v>
      </c>
      <c r="H829" s="42">
        <v>1550</v>
      </c>
      <c r="I829" s="17"/>
      <c r="J829" s="17"/>
      <c r="K829" s="17">
        <v>85000</v>
      </c>
      <c r="L829" s="17"/>
      <c r="M829" s="17">
        <v>4000</v>
      </c>
      <c r="N829" s="16"/>
      <c r="O829" s="16"/>
    </row>
    <row r="830" spans="1:15">
      <c r="A830" s="38">
        <v>46010</v>
      </c>
      <c r="B830" s="22" t="s">
        <v>316</v>
      </c>
      <c r="C830" s="22" t="s">
        <v>18</v>
      </c>
      <c r="D830" s="23" t="s">
        <v>68</v>
      </c>
      <c r="E830" s="43">
        <v>6</v>
      </c>
      <c r="F830" s="42">
        <v>5160</v>
      </c>
      <c r="G830" s="42">
        <v>3800</v>
      </c>
      <c r="H830" s="42">
        <v>1360</v>
      </c>
      <c r="I830" s="17"/>
      <c r="J830" s="17"/>
      <c r="K830" s="17"/>
      <c r="L830" s="17"/>
      <c r="M830" s="17">
        <v>7000</v>
      </c>
      <c r="N830" s="16"/>
      <c r="O830" s="16"/>
    </row>
    <row r="831" spans="1:15">
      <c r="A831" s="38">
        <v>46011</v>
      </c>
      <c r="B831" s="22" t="s">
        <v>316</v>
      </c>
      <c r="C831" s="22" t="s">
        <v>18</v>
      </c>
      <c r="D831" s="23" t="s">
        <v>304</v>
      </c>
      <c r="E831" s="43">
        <v>6</v>
      </c>
      <c r="F831" s="42">
        <v>4650</v>
      </c>
      <c r="G831" s="42">
        <v>3870</v>
      </c>
      <c r="H831" s="42">
        <v>780</v>
      </c>
      <c r="I831" s="17"/>
      <c r="J831" s="17"/>
      <c r="K831" s="17">
        <v>53000</v>
      </c>
      <c r="L831" s="17"/>
      <c r="M831" s="17">
        <v>7000</v>
      </c>
      <c r="N831" s="16"/>
      <c r="O831" s="16"/>
    </row>
    <row r="832" spans="1:15">
      <c r="A832" s="38">
        <v>46011</v>
      </c>
      <c r="B832" s="22" t="s">
        <v>316</v>
      </c>
      <c r="C832" s="22" t="s">
        <v>18</v>
      </c>
      <c r="D832" s="23" t="s">
        <v>284</v>
      </c>
      <c r="E832" s="43"/>
      <c r="F832" s="42"/>
      <c r="G832" s="42"/>
      <c r="H832" s="42">
        <v>0</v>
      </c>
      <c r="I832" s="17"/>
      <c r="J832" s="17"/>
      <c r="K832" s="17"/>
      <c r="L832" s="17"/>
      <c r="M832" s="17"/>
      <c r="N832" s="16"/>
      <c r="O832" s="16"/>
    </row>
    <row r="833" spans="1:15">
      <c r="A833" s="38">
        <v>46012</v>
      </c>
      <c r="B833" s="22" t="s">
        <v>316</v>
      </c>
      <c r="C833" s="22" t="s">
        <v>18</v>
      </c>
      <c r="D833" s="23" t="s">
        <v>284</v>
      </c>
      <c r="E833" s="43">
        <v>6</v>
      </c>
      <c r="F833" s="42">
        <v>5110</v>
      </c>
      <c r="G833" s="42">
        <v>3900</v>
      </c>
      <c r="H833" s="42">
        <v>1210</v>
      </c>
      <c r="I833" s="17"/>
      <c r="J833" s="17"/>
      <c r="K833" s="17">
        <v>16000</v>
      </c>
      <c r="L833" s="17"/>
      <c r="M833" s="17">
        <v>7000</v>
      </c>
      <c r="N833" s="16"/>
      <c r="O833" s="16"/>
    </row>
    <row r="834" spans="1:15">
      <c r="A834" s="38"/>
      <c r="B834" s="22"/>
      <c r="C834" s="22"/>
      <c r="D834" s="23"/>
      <c r="E834" s="43"/>
      <c r="F834" s="42"/>
      <c r="G834" s="42"/>
      <c r="H834" s="42"/>
      <c r="I834" s="17"/>
      <c r="J834" s="17"/>
      <c r="K834" s="17"/>
      <c r="L834" s="17"/>
      <c r="M834" s="17"/>
      <c r="N834" s="16"/>
      <c r="O834" s="16"/>
    </row>
    <row r="835" spans="1:15">
      <c r="A835" s="38">
        <v>46018</v>
      </c>
      <c r="B835" s="22"/>
      <c r="C835" s="22"/>
      <c r="D835" s="23"/>
      <c r="E835" s="43"/>
      <c r="F835" s="42"/>
      <c r="G835" s="42"/>
      <c r="H835" s="42"/>
      <c r="I835" s="17">
        <v>1000000</v>
      </c>
      <c r="J835" s="17">
        <v>0</v>
      </c>
      <c r="K835" s="17">
        <v>416500</v>
      </c>
      <c r="L835" s="17">
        <v>0</v>
      </c>
      <c r="M835" s="17">
        <v>74000</v>
      </c>
      <c r="N835" s="16" t="s">
        <v>323</v>
      </c>
      <c r="O835" s="16" t="s">
        <v>324</v>
      </c>
    </row>
    <row r="836" spans="1:15">
      <c r="A836" s="38">
        <v>46013</v>
      </c>
      <c r="B836" s="22" t="s">
        <v>316</v>
      </c>
      <c r="C836" s="22" t="s">
        <v>18</v>
      </c>
      <c r="D836" s="23" t="s">
        <v>304</v>
      </c>
      <c r="E836" s="43">
        <v>6</v>
      </c>
      <c r="F836" s="42">
        <v>5300</v>
      </c>
      <c r="G836" s="42">
        <v>3840</v>
      </c>
      <c r="H836" s="42">
        <v>1460</v>
      </c>
      <c r="I836" s="17"/>
      <c r="J836" s="17"/>
      <c r="K836" s="17">
        <v>69000</v>
      </c>
      <c r="L836" s="17"/>
      <c r="M836" s="17">
        <v>7000</v>
      </c>
      <c r="N836" s="16"/>
      <c r="O836" s="16"/>
    </row>
    <row r="837" spans="1:15">
      <c r="A837" s="38">
        <v>46013</v>
      </c>
      <c r="B837" s="22" t="s">
        <v>316</v>
      </c>
      <c r="C837" s="22" t="s">
        <v>18</v>
      </c>
      <c r="D837" s="23" t="s">
        <v>68</v>
      </c>
      <c r="E837" s="43">
        <v>6</v>
      </c>
      <c r="F837" s="42">
        <v>4780</v>
      </c>
      <c r="G837" s="42">
        <v>3870</v>
      </c>
      <c r="H837" s="42">
        <v>910</v>
      </c>
      <c r="I837" s="17"/>
      <c r="J837" s="17"/>
      <c r="K837" s="17"/>
      <c r="L837" s="17"/>
      <c r="M837" s="17">
        <v>7000</v>
      </c>
      <c r="N837" s="16"/>
      <c r="O837" s="16"/>
    </row>
    <row r="838" spans="1:15">
      <c r="A838" s="38">
        <v>46014</v>
      </c>
      <c r="B838" s="22" t="s">
        <v>316</v>
      </c>
      <c r="C838" s="22" t="s">
        <v>18</v>
      </c>
      <c r="D838" s="23" t="s">
        <v>283</v>
      </c>
      <c r="E838" s="43">
        <v>6</v>
      </c>
      <c r="F838" s="42">
        <v>4850</v>
      </c>
      <c r="G838" s="42">
        <v>4250</v>
      </c>
      <c r="H838" s="42">
        <v>600</v>
      </c>
      <c r="I838" s="17"/>
      <c r="J838" s="17"/>
      <c r="K838" s="17">
        <v>85000</v>
      </c>
      <c r="L838" s="17"/>
      <c r="M838" s="17">
        <v>4000</v>
      </c>
      <c r="N838" s="16"/>
      <c r="O838" s="16"/>
    </row>
    <row r="839" spans="1:15">
      <c r="A839" s="38">
        <v>46014</v>
      </c>
      <c r="B839" s="22" t="s">
        <v>316</v>
      </c>
      <c r="C839" s="22" t="s">
        <v>18</v>
      </c>
      <c r="D839" s="23" t="s">
        <v>68</v>
      </c>
      <c r="E839" s="43">
        <v>6</v>
      </c>
      <c r="F839" s="42">
        <v>4420</v>
      </c>
      <c r="G839" s="42">
        <v>3850</v>
      </c>
      <c r="H839" s="42">
        <v>570</v>
      </c>
      <c r="I839" s="17"/>
      <c r="J839" s="17"/>
      <c r="K839" s="17"/>
      <c r="L839" s="17"/>
      <c r="M839" s="17">
        <v>7000</v>
      </c>
      <c r="N839" s="16"/>
      <c r="O839" s="16"/>
    </row>
    <row r="840" spans="1:15">
      <c r="A840" s="38">
        <v>46015</v>
      </c>
      <c r="B840" s="22" t="s">
        <v>316</v>
      </c>
      <c r="C840" s="22" t="s">
        <v>18</v>
      </c>
      <c r="D840" s="23" t="s">
        <v>304</v>
      </c>
      <c r="E840" s="43">
        <v>6</v>
      </c>
      <c r="F840" s="42">
        <v>4760</v>
      </c>
      <c r="G840" s="42">
        <v>3830</v>
      </c>
      <c r="H840" s="42">
        <v>930</v>
      </c>
      <c r="I840" s="17"/>
      <c r="J840" s="17"/>
      <c r="K840" s="17">
        <v>95500</v>
      </c>
      <c r="L840" s="17"/>
      <c r="M840" s="17">
        <v>7000</v>
      </c>
      <c r="N840" s="16"/>
      <c r="O840" s="16"/>
    </row>
    <row r="841" spans="1:15">
      <c r="A841" s="38">
        <v>46015</v>
      </c>
      <c r="B841" s="22" t="s">
        <v>316</v>
      </c>
      <c r="C841" s="22" t="s">
        <v>18</v>
      </c>
      <c r="D841" s="23" t="s">
        <v>68</v>
      </c>
      <c r="E841" s="43">
        <v>6</v>
      </c>
      <c r="F841" s="42">
        <v>4750</v>
      </c>
      <c r="G841" s="42">
        <v>3830</v>
      </c>
      <c r="H841" s="42">
        <v>920</v>
      </c>
      <c r="I841" s="17"/>
      <c r="J841" s="17"/>
      <c r="K841" s="17"/>
      <c r="L841" s="17"/>
      <c r="M841" s="17">
        <v>7000</v>
      </c>
      <c r="N841" s="16"/>
      <c r="O841" s="16"/>
    </row>
    <row r="842" spans="1:15">
      <c r="A842" s="38">
        <v>46016</v>
      </c>
      <c r="B842" s="22" t="s">
        <v>316</v>
      </c>
      <c r="C842" s="22" t="s">
        <v>18</v>
      </c>
      <c r="D842" s="23" t="s">
        <v>52</v>
      </c>
      <c r="E842" s="43">
        <v>6</v>
      </c>
      <c r="F842" s="42">
        <v>4680</v>
      </c>
      <c r="G842" s="42">
        <v>3950</v>
      </c>
      <c r="H842" s="42">
        <v>730</v>
      </c>
      <c r="I842" s="17"/>
      <c r="J842" s="17"/>
      <c r="K842" s="17">
        <v>16000</v>
      </c>
      <c r="L842" s="17"/>
      <c r="M842" s="17">
        <v>7000</v>
      </c>
      <c r="N842" s="16"/>
      <c r="O842" s="16"/>
    </row>
    <row r="843" spans="1:15">
      <c r="A843" s="38">
        <v>46017</v>
      </c>
      <c r="B843" s="22" t="s">
        <v>316</v>
      </c>
      <c r="C843" s="22" t="s">
        <v>18</v>
      </c>
      <c r="D843" s="23" t="s">
        <v>283</v>
      </c>
      <c r="E843" s="43">
        <v>6</v>
      </c>
      <c r="F843" s="42">
        <v>4590</v>
      </c>
      <c r="G843" s="42">
        <v>3900</v>
      </c>
      <c r="H843" s="42">
        <v>690</v>
      </c>
      <c r="I843" s="17"/>
      <c r="J843" s="17"/>
      <c r="K843" s="17">
        <v>69000</v>
      </c>
      <c r="L843" s="17"/>
      <c r="M843" s="17">
        <v>7000</v>
      </c>
      <c r="N843" s="16"/>
      <c r="O843" s="16"/>
    </row>
    <row r="844" spans="1:15">
      <c r="A844" s="38">
        <v>46017</v>
      </c>
      <c r="B844" s="22" t="s">
        <v>316</v>
      </c>
      <c r="C844" s="22" t="s">
        <v>18</v>
      </c>
      <c r="D844" s="23" t="s">
        <v>68</v>
      </c>
      <c r="E844" s="43">
        <v>6</v>
      </c>
      <c r="F844" s="42">
        <v>5160</v>
      </c>
      <c r="G844" s="42">
        <v>3940</v>
      </c>
      <c r="H844" s="42">
        <v>1220</v>
      </c>
      <c r="I844" s="17"/>
      <c r="J844" s="17"/>
      <c r="K844" s="17"/>
      <c r="L844" s="17"/>
      <c r="M844" s="17">
        <v>7000</v>
      </c>
      <c r="N844" s="16"/>
      <c r="O844" s="16"/>
    </row>
    <row r="845" spans="1:15">
      <c r="A845" s="38">
        <v>46018</v>
      </c>
      <c r="B845" s="22" t="s">
        <v>316</v>
      </c>
      <c r="C845" s="22" t="s">
        <v>18</v>
      </c>
      <c r="D845" s="23" t="s">
        <v>304</v>
      </c>
      <c r="E845" s="43">
        <v>6</v>
      </c>
      <c r="F845" s="42">
        <v>5030</v>
      </c>
      <c r="G845" s="42">
        <v>3820</v>
      </c>
      <c r="H845" s="42">
        <v>1210</v>
      </c>
      <c r="I845" s="17"/>
      <c r="J845" s="17"/>
      <c r="K845" s="17">
        <v>82000</v>
      </c>
      <c r="L845" s="17"/>
      <c r="M845" s="17">
        <v>7000</v>
      </c>
      <c r="N845" s="16"/>
      <c r="O845" s="16"/>
    </row>
    <row r="846" spans="1:15">
      <c r="A846" s="38">
        <v>46018</v>
      </c>
      <c r="B846" s="22" t="s">
        <v>316</v>
      </c>
      <c r="C846" s="22" t="s">
        <v>18</v>
      </c>
      <c r="D846" s="23" t="s">
        <v>68</v>
      </c>
      <c r="E846" s="43">
        <v>6</v>
      </c>
      <c r="F846" s="42">
        <v>5150</v>
      </c>
      <c r="G846" s="42">
        <v>3840</v>
      </c>
      <c r="H846" s="42">
        <v>1310</v>
      </c>
      <c r="I846" s="17"/>
      <c r="J846" s="17"/>
      <c r="K846" s="17"/>
      <c r="L846" s="17"/>
      <c r="M846" s="17">
        <v>7000</v>
      </c>
      <c r="N846" s="16"/>
      <c r="O846" s="16"/>
    </row>
    <row r="847" spans="1:15">
      <c r="A847" s="38"/>
      <c r="B847" s="22"/>
      <c r="C847" s="22"/>
      <c r="D847" s="23"/>
      <c r="E847" s="43"/>
      <c r="F847" s="42"/>
      <c r="G847" s="42"/>
      <c r="H847" s="42"/>
      <c r="I847" s="17"/>
      <c r="J847" s="17"/>
      <c r="K847" s="17"/>
      <c r="L847" s="17"/>
      <c r="M847" s="17"/>
      <c r="N847" s="16"/>
      <c r="O847" s="16"/>
    </row>
    <row r="848" spans="1:15">
      <c r="A848" s="38"/>
      <c r="B848" s="22"/>
      <c r="C848" s="22"/>
      <c r="D848" s="23"/>
      <c r="E848" s="43"/>
      <c r="F848" s="42"/>
      <c r="G848" s="42"/>
      <c r="H848" s="42"/>
      <c r="I848" s="17">
        <v>1000000</v>
      </c>
      <c r="J848" s="17">
        <v>0</v>
      </c>
      <c r="K848" s="17">
        <v>441000</v>
      </c>
      <c r="L848" s="17">
        <v>120000</v>
      </c>
      <c r="M848" s="17">
        <v>88000</v>
      </c>
      <c r="N848" s="16" t="s">
        <v>325</v>
      </c>
      <c r="O848" s="16" t="s">
        <v>326</v>
      </c>
    </row>
    <row r="849" spans="1:15">
      <c r="A849" s="38">
        <v>46020</v>
      </c>
      <c r="B849" s="22" t="s">
        <v>316</v>
      </c>
      <c r="C849" s="22" t="s">
        <v>18</v>
      </c>
      <c r="D849" s="23" t="s">
        <v>68</v>
      </c>
      <c r="E849" s="43">
        <v>6</v>
      </c>
      <c r="F849" s="42">
        <v>5070</v>
      </c>
      <c r="G849" s="42">
        <v>3910</v>
      </c>
      <c r="H849" s="42">
        <v>1160</v>
      </c>
      <c r="I849" s="17"/>
      <c r="J849" s="17"/>
      <c r="K849" s="17">
        <v>127500</v>
      </c>
      <c r="L849" s="17"/>
      <c r="M849" s="17">
        <v>7000</v>
      </c>
      <c r="N849" s="16"/>
      <c r="O849" s="16"/>
    </row>
    <row r="850" spans="1:15">
      <c r="A850" s="38">
        <v>46020</v>
      </c>
      <c r="B850" s="22" t="s">
        <v>316</v>
      </c>
      <c r="C850" s="22" t="s">
        <v>18</v>
      </c>
      <c r="D850" s="23" t="s">
        <v>68</v>
      </c>
      <c r="E850" s="43">
        <v>6</v>
      </c>
      <c r="F850" s="42">
        <v>5960</v>
      </c>
      <c r="G850" s="42">
        <v>3910</v>
      </c>
      <c r="H850" s="42">
        <v>2050</v>
      </c>
      <c r="I850" s="17"/>
      <c r="J850" s="17"/>
      <c r="K850" s="17"/>
      <c r="L850" s="17"/>
      <c r="M850" s="17">
        <v>7000</v>
      </c>
      <c r="N850" s="16"/>
      <c r="O850" s="16"/>
    </row>
    <row r="851" spans="1:15">
      <c r="A851" s="38">
        <v>46020</v>
      </c>
      <c r="B851" s="22" t="s">
        <v>316</v>
      </c>
      <c r="C851" s="22" t="s">
        <v>18</v>
      </c>
      <c r="D851" s="23" t="s">
        <v>68</v>
      </c>
      <c r="E851" s="43">
        <v>6</v>
      </c>
      <c r="F851" s="42">
        <v>5040</v>
      </c>
      <c r="G851" s="42">
        <v>3840</v>
      </c>
      <c r="H851" s="42">
        <v>1200</v>
      </c>
      <c r="I851" s="17"/>
      <c r="J851" s="17"/>
      <c r="K851" s="17"/>
      <c r="L851" s="17"/>
      <c r="M851" s="17">
        <v>7000</v>
      </c>
      <c r="N851" s="16"/>
      <c r="O851" s="16"/>
    </row>
    <row r="852" spans="1:15">
      <c r="A852" s="38">
        <v>46021</v>
      </c>
      <c r="B852" s="22" t="s">
        <v>316</v>
      </c>
      <c r="C852" s="22" t="s">
        <v>18</v>
      </c>
      <c r="D852" s="23" t="s">
        <v>197</v>
      </c>
      <c r="E852" s="43">
        <v>6</v>
      </c>
      <c r="F852" s="42">
        <v>5440</v>
      </c>
      <c r="G852" s="42">
        <v>3900</v>
      </c>
      <c r="H852" s="42">
        <v>1540</v>
      </c>
      <c r="I852" s="17"/>
      <c r="J852" s="17"/>
      <c r="K852" s="17">
        <v>69000</v>
      </c>
      <c r="L852" s="17"/>
      <c r="M852" s="17">
        <v>7000</v>
      </c>
      <c r="N852" s="16"/>
      <c r="O852" s="16"/>
    </row>
    <row r="853" spans="1:15">
      <c r="A853" s="38">
        <v>46021</v>
      </c>
      <c r="B853" s="22" t="s">
        <v>316</v>
      </c>
      <c r="C853" s="22" t="s">
        <v>18</v>
      </c>
      <c r="D853" s="23" t="s">
        <v>68</v>
      </c>
      <c r="E853" s="43">
        <v>6</v>
      </c>
      <c r="F853" s="42">
        <v>6090</v>
      </c>
      <c r="G853" s="42">
        <v>3820</v>
      </c>
      <c r="H853" s="42">
        <v>2270</v>
      </c>
      <c r="I853" s="17"/>
      <c r="J853" s="17"/>
      <c r="K853" s="17"/>
      <c r="L853" s="17"/>
      <c r="M853" s="17">
        <v>7000</v>
      </c>
      <c r="N853" s="16"/>
      <c r="O853" s="16"/>
    </row>
    <row r="854" spans="1:15">
      <c r="A854" s="38">
        <v>46022</v>
      </c>
      <c r="B854" s="22" t="s">
        <v>316</v>
      </c>
      <c r="C854" s="22" t="s">
        <v>18</v>
      </c>
      <c r="D854" s="23" t="s">
        <v>304</v>
      </c>
      <c r="E854" s="43">
        <v>6</v>
      </c>
      <c r="F854" s="42">
        <v>5590</v>
      </c>
      <c r="G854" s="42">
        <v>3820</v>
      </c>
      <c r="H854" s="42">
        <v>1770</v>
      </c>
      <c r="I854" s="17"/>
      <c r="J854" s="17"/>
      <c r="K854" s="17">
        <v>85000</v>
      </c>
      <c r="L854" s="17"/>
      <c r="M854" s="17">
        <v>7000</v>
      </c>
      <c r="N854" s="16"/>
      <c r="O854" s="16"/>
    </row>
    <row r="855" spans="1:15">
      <c r="A855" s="38">
        <v>46022</v>
      </c>
      <c r="B855" s="22" t="s">
        <v>316</v>
      </c>
      <c r="C855" s="22" t="s">
        <v>18</v>
      </c>
      <c r="D855" s="23" t="s">
        <v>68</v>
      </c>
      <c r="E855" s="43"/>
      <c r="F855" s="42"/>
      <c r="G855" s="42"/>
      <c r="H855" s="42">
        <v>0</v>
      </c>
      <c r="I855" s="17"/>
      <c r="J855" s="17"/>
      <c r="K855" s="17"/>
      <c r="L855" s="17"/>
      <c r="M855" s="17">
        <v>7000</v>
      </c>
      <c r="N855" s="16"/>
      <c r="O855" s="16"/>
    </row>
    <row r="856" spans="1:15">
      <c r="A856" s="38">
        <v>46023</v>
      </c>
      <c r="B856" s="22" t="s">
        <v>316</v>
      </c>
      <c r="C856" s="22" t="s">
        <v>18</v>
      </c>
      <c r="D856" s="23" t="s">
        <v>284</v>
      </c>
      <c r="E856" s="43">
        <v>6</v>
      </c>
      <c r="F856" s="42">
        <v>5240</v>
      </c>
      <c r="G856" s="42">
        <v>3840</v>
      </c>
      <c r="H856" s="42">
        <v>1400</v>
      </c>
      <c r="I856" s="17"/>
      <c r="J856" s="17"/>
      <c r="K856" s="17">
        <v>16000</v>
      </c>
      <c r="L856" s="17">
        <v>120000</v>
      </c>
      <c r="M856" s="17">
        <v>7000</v>
      </c>
      <c r="N856" s="16"/>
      <c r="O856" s="16"/>
    </row>
    <row r="857" spans="1:15">
      <c r="A857" s="38">
        <v>46024</v>
      </c>
      <c r="B857" s="22" t="s">
        <v>316</v>
      </c>
      <c r="C857" s="22" t="s">
        <v>18</v>
      </c>
      <c r="D857" s="23" t="s">
        <v>68</v>
      </c>
      <c r="E857" s="43">
        <v>6</v>
      </c>
      <c r="F857" s="42">
        <v>5600</v>
      </c>
      <c r="G857" s="42">
        <v>3680</v>
      </c>
      <c r="H857" s="42">
        <v>1920</v>
      </c>
      <c r="I857" s="17"/>
      <c r="J857" s="17"/>
      <c r="K857" s="17">
        <v>42500</v>
      </c>
      <c r="L857" s="17"/>
      <c r="M857" s="17">
        <v>7000</v>
      </c>
      <c r="N857" s="16"/>
      <c r="O857" s="16"/>
    </row>
    <row r="858" spans="1:15">
      <c r="A858" s="38">
        <v>46024</v>
      </c>
      <c r="B858" s="22" t="s">
        <v>316</v>
      </c>
      <c r="C858" s="22" t="s">
        <v>18</v>
      </c>
      <c r="D858" s="23" t="s">
        <v>52</v>
      </c>
      <c r="E858" s="43">
        <v>6</v>
      </c>
      <c r="F858" s="42">
        <v>5420</v>
      </c>
      <c r="G858" s="42">
        <v>3900</v>
      </c>
      <c r="H858" s="42">
        <v>1520</v>
      </c>
      <c r="I858" s="17"/>
      <c r="J858" s="17"/>
      <c r="K858" s="17"/>
      <c r="L858" s="17"/>
      <c r="M858" s="17">
        <v>7000</v>
      </c>
      <c r="N858" s="16"/>
      <c r="O858" s="16"/>
    </row>
    <row r="859" spans="1:15">
      <c r="A859" s="38">
        <v>46025</v>
      </c>
      <c r="B859" s="22" t="s">
        <v>316</v>
      </c>
      <c r="C859" s="22" t="s">
        <v>18</v>
      </c>
      <c r="D859" s="23" t="s">
        <v>304</v>
      </c>
      <c r="E859" s="43">
        <v>6</v>
      </c>
      <c r="F859" s="42">
        <v>4640</v>
      </c>
      <c r="G859" s="42">
        <v>3810</v>
      </c>
      <c r="H859" s="42">
        <v>830</v>
      </c>
      <c r="I859" s="17"/>
      <c r="J859" s="17"/>
      <c r="K859" s="17">
        <v>85000</v>
      </c>
      <c r="L859" s="17"/>
      <c r="M859" s="17">
        <v>4000</v>
      </c>
      <c r="N859" s="16"/>
      <c r="O859" s="16"/>
    </row>
    <row r="860" spans="1:15">
      <c r="A860" s="38">
        <v>46025</v>
      </c>
      <c r="B860" s="22" t="s">
        <v>316</v>
      </c>
      <c r="C860" s="22" t="s">
        <v>18</v>
      </c>
      <c r="D860" s="23" t="s">
        <v>68</v>
      </c>
      <c r="E860" s="43">
        <v>6</v>
      </c>
      <c r="F860" s="42">
        <v>5240</v>
      </c>
      <c r="G860" s="42">
        <v>3910</v>
      </c>
      <c r="H860" s="42">
        <v>1330</v>
      </c>
      <c r="I860" s="17"/>
      <c r="J860" s="17"/>
      <c r="K860" s="17"/>
      <c r="L860" s="17"/>
      <c r="M860" s="17">
        <v>7000</v>
      </c>
      <c r="N860" s="16"/>
      <c r="O860" s="16"/>
    </row>
    <row r="861" spans="1:15">
      <c r="A861" s="38">
        <v>46026</v>
      </c>
      <c r="B861" s="22" t="s">
        <v>316</v>
      </c>
      <c r="C861" s="22" t="s">
        <v>18</v>
      </c>
      <c r="D861" s="23" t="s">
        <v>284</v>
      </c>
      <c r="E861" s="43">
        <v>6</v>
      </c>
      <c r="F861" s="42">
        <v>4930</v>
      </c>
      <c r="G861" s="42">
        <v>3880</v>
      </c>
      <c r="H861" s="42">
        <v>1050</v>
      </c>
      <c r="I861" s="17"/>
      <c r="J861" s="17"/>
      <c r="K861" s="17">
        <v>16000</v>
      </c>
      <c r="L861" s="17"/>
      <c r="M861" s="17">
        <v>7000</v>
      </c>
      <c r="N861" s="16"/>
      <c r="O861" s="16"/>
    </row>
  </sheetData>
  <dataValidations count="3">
    <dataValidation type="list" sqref="D596:D610" xr:uid="{7B2D4D69-B8E5-4215-A8B0-F08AA7A806F1}">
      <formula1>"Depo Yonif,Depo Japfa,Depo T. Langon 5,Depo T. Bayur,BKA,Depo 4"</formula1>
    </dataValidation>
    <dataValidation type="list" sqref="D611:D624" xr:uid="{C68DEE30-A0D1-4BA4-A2A5-0327E46AE579}">
      <formula1>"Depo Yonif,Depo Japfa,Depo T. Langon 5 (MBB),Depo T. Bayur,BKA,Depo 4"</formula1>
    </dataValidation>
    <dataValidation type="list" sqref="D625:D861" xr:uid="{28F403F5-3CB3-4116-89E0-8821F678D547}">
      <formula1>"Depo Yonif,Depo Japfa,Depo T. Langon,Depo T. Langon 5 (MBB),Depo T. Bayur,BKA,Depo 4,Karet 71"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B849-5214-4CB9-8F8B-1E36E6183F57}">
  <dimension ref="A1:O32"/>
  <sheetViews>
    <sheetView workbookViewId="0">
      <selection activeCell="E14" sqref="E14"/>
    </sheetView>
  </sheetViews>
  <sheetFormatPr defaultColWidth="12.140625" defaultRowHeight="12"/>
  <cols>
    <col min="1" max="12" width="12.140625" style="7" customWidth="1"/>
    <col min="13" max="13" width="14.5703125" style="7" customWidth="1"/>
    <col min="14" max="14" width="12.140625" style="7" customWidth="1"/>
    <col min="15" max="16384" width="12.140625" style="7"/>
  </cols>
  <sheetData>
    <row r="1" spans="1:15" ht="24">
      <c r="A1" s="45" t="s">
        <v>327</v>
      </c>
      <c r="B1" s="45" t="s">
        <v>328</v>
      </c>
      <c r="C1" s="45" t="s">
        <v>329</v>
      </c>
      <c r="D1" s="45"/>
      <c r="E1" s="46" t="s">
        <v>330</v>
      </c>
      <c r="F1" s="45" t="s">
        <v>331</v>
      </c>
      <c r="G1" s="45" t="s">
        <v>332</v>
      </c>
      <c r="H1" s="45" t="s">
        <v>333</v>
      </c>
      <c r="I1" s="47" t="s">
        <v>334</v>
      </c>
      <c r="J1" s="48" t="s">
        <v>335</v>
      </c>
      <c r="K1" s="48" t="s">
        <v>336</v>
      </c>
      <c r="L1" s="48" t="s">
        <v>337</v>
      </c>
      <c r="M1" s="48" t="s">
        <v>338</v>
      </c>
      <c r="N1" s="48" t="s">
        <v>339</v>
      </c>
      <c r="O1" s="45" t="s">
        <v>340</v>
      </c>
    </row>
    <row r="2" spans="1:15">
      <c r="A2" s="49">
        <v>237</v>
      </c>
      <c r="B2" s="50">
        <v>9</v>
      </c>
      <c r="C2" s="50">
        <v>1</v>
      </c>
      <c r="D2" s="49" t="s">
        <v>341</v>
      </c>
      <c r="E2" s="51">
        <v>45903.745868055557</v>
      </c>
      <c r="F2" s="52" t="s">
        <v>342</v>
      </c>
      <c r="G2" s="11" t="s">
        <v>342</v>
      </c>
      <c r="H2" s="53" t="s">
        <v>343</v>
      </c>
      <c r="I2" s="54">
        <v>60</v>
      </c>
      <c r="J2" s="55">
        <v>6800</v>
      </c>
      <c r="K2" s="55">
        <v>408000</v>
      </c>
      <c r="L2" s="12">
        <v>196959</v>
      </c>
      <c r="M2" s="56">
        <v>196557</v>
      </c>
      <c r="N2" s="11" t="s">
        <v>344</v>
      </c>
      <c r="O2" s="50" t="s">
        <v>345</v>
      </c>
    </row>
    <row r="3" spans="1:15">
      <c r="A3" s="49">
        <v>264</v>
      </c>
      <c r="B3" s="50">
        <v>9</v>
      </c>
      <c r="C3" s="50">
        <v>1</v>
      </c>
      <c r="D3" s="49" t="s">
        <v>341</v>
      </c>
      <c r="E3" s="51">
        <v>45909.449201388888</v>
      </c>
      <c r="F3" s="52" t="s">
        <v>342</v>
      </c>
      <c r="G3" s="11" t="s">
        <v>342</v>
      </c>
      <c r="H3" s="53" t="s">
        <v>343</v>
      </c>
      <c r="I3" s="54">
        <v>60</v>
      </c>
      <c r="J3" s="55">
        <v>6800</v>
      </c>
      <c r="K3" s="55">
        <v>408000</v>
      </c>
      <c r="L3" s="12">
        <v>97301</v>
      </c>
      <c r="M3" s="56">
        <v>196959</v>
      </c>
      <c r="N3" s="11" t="s">
        <v>344</v>
      </c>
      <c r="O3" s="50" t="s">
        <v>345</v>
      </c>
    </row>
    <row r="4" spans="1:15">
      <c r="A4" s="49">
        <v>289</v>
      </c>
      <c r="B4" s="50">
        <v>9</v>
      </c>
      <c r="C4" s="50">
        <v>1</v>
      </c>
      <c r="D4" s="49" t="s">
        <v>341</v>
      </c>
      <c r="E4" s="51">
        <v>45913.430567129632</v>
      </c>
      <c r="F4" s="52" t="s">
        <v>342</v>
      </c>
      <c r="G4" s="11" t="s">
        <v>342</v>
      </c>
      <c r="H4" s="53" t="s">
        <v>343</v>
      </c>
      <c r="I4" s="54">
        <v>60</v>
      </c>
      <c r="J4" s="55">
        <v>6800</v>
      </c>
      <c r="K4" s="55">
        <v>408000</v>
      </c>
      <c r="L4" s="12">
        <v>197706</v>
      </c>
      <c r="M4" s="56">
        <v>97301</v>
      </c>
      <c r="N4" s="11" t="s">
        <v>344</v>
      </c>
      <c r="O4" s="50" t="s">
        <v>345</v>
      </c>
    </row>
    <row r="5" spans="1:15">
      <c r="A5" s="49">
        <v>32</v>
      </c>
      <c r="B5" s="50">
        <v>9</v>
      </c>
      <c r="C5" s="50">
        <v>2</v>
      </c>
      <c r="D5" s="49" t="s">
        <v>346</v>
      </c>
      <c r="E5" s="51">
        <v>45917</v>
      </c>
      <c r="F5" s="52" t="s">
        <v>342</v>
      </c>
      <c r="G5" s="11" t="s">
        <v>342</v>
      </c>
      <c r="H5" s="53" t="s">
        <v>343</v>
      </c>
      <c r="I5" s="54">
        <v>33.729999999999997</v>
      </c>
      <c r="J5" s="55">
        <v>6800</v>
      </c>
      <c r="K5" s="55">
        <v>229364</v>
      </c>
      <c r="L5" s="12">
        <v>143661</v>
      </c>
      <c r="M5" s="56">
        <v>197706</v>
      </c>
      <c r="N5" s="11" t="s">
        <v>347</v>
      </c>
      <c r="O5" s="50" t="s">
        <v>348</v>
      </c>
    </row>
    <row r="6" spans="1:15">
      <c r="A6" s="49">
        <v>169</v>
      </c>
      <c r="B6" s="50">
        <v>10</v>
      </c>
      <c r="C6" s="50">
        <v>1</v>
      </c>
      <c r="D6" s="49" t="s">
        <v>349</v>
      </c>
      <c r="E6" s="51">
        <v>45941</v>
      </c>
      <c r="F6" s="52" t="s">
        <v>342</v>
      </c>
      <c r="G6" s="11" t="s">
        <v>342</v>
      </c>
      <c r="H6" s="53" t="s">
        <v>343</v>
      </c>
      <c r="I6" s="54">
        <v>60</v>
      </c>
      <c r="J6" s="55">
        <v>6800</v>
      </c>
      <c r="K6" s="55">
        <v>408000</v>
      </c>
      <c r="L6" s="12">
        <v>200338</v>
      </c>
      <c r="M6" s="56">
        <v>143661</v>
      </c>
      <c r="N6" s="11" t="s">
        <v>347</v>
      </c>
      <c r="O6" s="50" t="s">
        <v>350</v>
      </c>
    </row>
    <row r="7" spans="1:15">
      <c r="A7" s="49">
        <v>256</v>
      </c>
      <c r="B7" s="50">
        <v>9</v>
      </c>
      <c r="C7" s="50">
        <v>2</v>
      </c>
      <c r="D7" s="49" t="s">
        <v>346</v>
      </c>
      <c r="E7" s="51">
        <v>45917.690092592595</v>
      </c>
      <c r="F7" s="52" t="s">
        <v>342</v>
      </c>
      <c r="G7" s="11" t="s">
        <v>342</v>
      </c>
      <c r="H7" s="53" t="s">
        <v>343</v>
      </c>
      <c r="I7" s="54">
        <v>60</v>
      </c>
      <c r="J7" s="55">
        <v>6800</v>
      </c>
      <c r="K7" s="55">
        <v>408000</v>
      </c>
      <c r="L7" s="12">
        <v>198108</v>
      </c>
      <c r="M7" s="56">
        <v>200338</v>
      </c>
      <c r="N7" s="11" t="s">
        <v>344</v>
      </c>
      <c r="O7" s="50" t="s">
        <v>351</v>
      </c>
    </row>
    <row r="8" spans="1:15">
      <c r="A8" s="49">
        <v>271</v>
      </c>
      <c r="B8" s="50">
        <v>9</v>
      </c>
      <c r="C8" s="50">
        <v>2</v>
      </c>
      <c r="D8" s="49" t="s">
        <v>346</v>
      </c>
      <c r="E8" s="51">
        <v>45921.383703703701</v>
      </c>
      <c r="F8" s="52" t="s">
        <v>342</v>
      </c>
      <c r="G8" s="11" t="s">
        <v>342</v>
      </c>
      <c r="H8" s="53" t="s">
        <v>343</v>
      </c>
      <c r="I8" s="54">
        <v>60</v>
      </c>
      <c r="J8" s="55">
        <v>6800</v>
      </c>
      <c r="K8" s="55">
        <v>408000</v>
      </c>
      <c r="L8" s="12">
        <v>198477</v>
      </c>
      <c r="M8" s="56">
        <v>198108</v>
      </c>
      <c r="N8" s="11" t="s">
        <v>344</v>
      </c>
      <c r="O8" s="50" t="s">
        <v>351</v>
      </c>
    </row>
    <row r="9" spans="1:15">
      <c r="A9" s="49">
        <v>292</v>
      </c>
      <c r="B9" s="50">
        <v>9</v>
      </c>
      <c r="C9" s="50">
        <v>2</v>
      </c>
      <c r="D9" s="49" t="s">
        <v>346</v>
      </c>
      <c r="E9" s="51">
        <v>45925.495833217596</v>
      </c>
      <c r="F9" s="52" t="s">
        <v>342</v>
      </c>
      <c r="G9" s="11" t="s">
        <v>342</v>
      </c>
      <c r="H9" s="53" t="s">
        <v>343</v>
      </c>
      <c r="I9" s="54">
        <v>60</v>
      </c>
      <c r="J9" s="55">
        <v>6800</v>
      </c>
      <c r="K9" s="55">
        <v>408000</v>
      </c>
      <c r="L9" s="12">
        <v>198869</v>
      </c>
      <c r="M9" s="56">
        <v>198477</v>
      </c>
      <c r="N9" s="11" t="s">
        <v>344</v>
      </c>
      <c r="O9" s="50" t="s">
        <v>351</v>
      </c>
    </row>
    <row r="10" spans="1:15">
      <c r="A10" s="49">
        <v>316</v>
      </c>
      <c r="B10" s="50">
        <v>9</v>
      </c>
      <c r="C10" s="50">
        <v>2</v>
      </c>
      <c r="D10" s="49" t="s">
        <v>346</v>
      </c>
      <c r="E10" s="51">
        <v>45929.687696643516</v>
      </c>
      <c r="F10" s="52" t="s">
        <v>342</v>
      </c>
      <c r="G10" s="11" t="s">
        <v>342</v>
      </c>
      <c r="H10" s="53" t="s">
        <v>343</v>
      </c>
      <c r="I10" s="54">
        <v>60</v>
      </c>
      <c r="J10" s="55">
        <v>6800</v>
      </c>
      <c r="K10" s="55">
        <v>408000</v>
      </c>
      <c r="L10" s="12">
        <v>199284</v>
      </c>
      <c r="M10" s="56">
        <v>198869</v>
      </c>
      <c r="N10" s="11" t="s">
        <v>344</v>
      </c>
      <c r="O10" s="50" t="s">
        <v>351</v>
      </c>
    </row>
    <row r="11" spans="1:15">
      <c r="A11" s="49">
        <v>249</v>
      </c>
      <c r="B11" s="50">
        <v>10</v>
      </c>
      <c r="C11" s="50">
        <v>1</v>
      </c>
      <c r="D11" s="49" t="s">
        <v>349</v>
      </c>
      <c r="E11" s="51">
        <v>45932.655497569445</v>
      </c>
      <c r="F11" s="52" t="s">
        <v>342</v>
      </c>
      <c r="G11" s="11" t="s">
        <v>342</v>
      </c>
      <c r="H11" s="53" t="s">
        <v>343</v>
      </c>
      <c r="I11" s="54">
        <v>60</v>
      </c>
      <c r="J11" s="55">
        <v>6800</v>
      </c>
      <c r="K11" s="55">
        <v>408000</v>
      </c>
      <c r="L11" s="12">
        <v>199551</v>
      </c>
      <c r="M11" s="56">
        <v>199284</v>
      </c>
      <c r="N11" s="11" t="s">
        <v>344</v>
      </c>
      <c r="O11" s="50" t="s">
        <v>352</v>
      </c>
    </row>
    <row r="12" spans="1:15">
      <c r="A12" s="49">
        <v>264</v>
      </c>
      <c r="B12" s="50">
        <v>10</v>
      </c>
      <c r="C12" s="50">
        <v>1</v>
      </c>
      <c r="D12" s="49" t="s">
        <v>349</v>
      </c>
      <c r="E12" s="51">
        <v>45936.658854166664</v>
      </c>
      <c r="F12" s="52" t="s">
        <v>342</v>
      </c>
      <c r="G12" s="11" t="s">
        <v>342</v>
      </c>
      <c r="H12" s="53" t="s">
        <v>343</v>
      </c>
      <c r="I12" s="54">
        <v>60</v>
      </c>
      <c r="J12" s="55">
        <v>6800</v>
      </c>
      <c r="K12" s="55">
        <v>408000</v>
      </c>
      <c r="L12" s="12">
        <v>199926</v>
      </c>
      <c r="M12" s="56">
        <v>199551</v>
      </c>
      <c r="N12" s="11" t="s">
        <v>344</v>
      </c>
      <c r="O12" s="50" t="s">
        <v>352</v>
      </c>
    </row>
    <row r="13" spans="1:15">
      <c r="A13" s="49">
        <v>322</v>
      </c>
      <c r="B13" s="50">
        <v>10</v>
      </c>
      <c r="C13" s="50">
        <v>1</v>
      </c>
      <c r="D13" s="49" t="s">
        <v>349</v>
      </c>
      <c r="E13" s="51">
        <v>45945.499351851853</v>
      </c>
      <c r="F13" s="52" t="s">
        <v>342</v>
      </c>
      <c r="G13" s="11" t="s">
        <v>342</v>
      </c>
      <c r="H13" s="53" t="s">
        <v>343</v>
      </c>
      <c r="I13" s="54">
        <v>60</v>
      </c>
      <c r="J13" s="55">
        <v>6800</v>
      </c>
      <c r="K13" s="55">
        <v>408000</v>
      </c>
      <c r="L13" s="12">
        <v>200713</v>
      </c>
      <c r="M13" s="56">
        <v>199926</v>
      </c>
      <c r="N13" s="11" t="s">
        <v>344</v>
      </c>
      <c r="O13" s="50" t="s">
        <v>352</v>
      </c>
    </row>
    <row r="14" spans="1:15">
      <c r="A14" s="49">
        <v>275</v>
      </c>
      <c r="B14" s="50">
        <v>10</v>
      </c>
      <c r="C14" s="50">
        <v>2</v>
      </c>
      <c r="D14" s="49" t="s">
        <v>353</v>
      </c>
      <c r="E14" s="51">
        <v>45949.687291640628</v>
      </c>
      <c r="F14" s="52" t="s">
        <v>342</v>
      </c>
      <c r="G14" s="11" t="s">
        <v>342</v>
      </c>
      <c r="H14" s="53" t="s">
        <v>343</v>
      </c>
      <c r="I14" s="54">
        <v>60</v>
      </c>
      <c r="J14" s="55">
        <v>6800</v>
      </c>
      <c r="K14" s="55">
        <v>408000</v>
      </c>
      <c r="L14" s="12">
        <v>201031</v>
      </c>
      <c r="M14" s="56">
        <v>200713</v>
      </c>
      <c r="N14" s="11" t="s">
        <v>344</v>
      </c>
      <c r="O14" s="50" t="s">
        <v>354</v>
      </c>
    </row>
    <row r="15" spans="1:15">
      <c r="A15" s="49">
        <v>303</v>
      </c>
      <c r="B15" s="50">
        <v>10</v>
      </c>
      <c r="C15" s="50">
        <v>2</v>
      </c>
      <c r="D15" s="49" t="s">
        <v>353</v>
      </c>
      <c r="E15" s="51">
        <v>45953.484814765623</v>
      </c>
      <c r="F15" s="52" t="s">
        <v>342</v>
      </c>
      <c r="G15" s="11" t="s">
        <v>342</v>
      </c>
      <c r="H15" s="53" t="s">
        <v>343</v>
      </c>
      <c r="I15" s="54">
        <v>60</v>
      </c>
      <c r="J15" s="55">
        <v>6800</v>
      </c>
      <c r="K15" s="55">
        <v>408000</v>
      </c>
      <c r="L15" s="12">
        <v>201368</v>
      </c>
      <c r="M15" s="56">
        <v>201031</v>
      </c>
      <c r="N15" s="11" t="s">
        <v>344</v>
      </c>
      <c r="O15" s="50" t="s">
        <v>354</v>
      </c>
    </row>
    <row r="16" spans="1:15">
      <c r="A16" s="49">
        <v>320</v>
      </c>
      <c r="B16" s="50">
        <v>10</v>
      </c>
      <c r="C16" s="50">
        <v>2</v>
      </c>
      <c r="D16" s="49" t="s">
        <v>353</v>
      </c>
      <c r="E16" s="51">
        <v>45957.459571718748</v>
      </c>
      <c r="F16" s="52" t="s">
        <v>342</v>
      </c>
      <c r="G16" s="11" t="s">
        <v>342</v>
      </c>
      <c r="H16" s="53" t="s">
        <v>343</v>
      </c>
      <c r="I16" s="54">
        <v>58.4</v>
      </c>
      <c r="J16" s="55">
        <v>6800</v>
      </c>
      <c r="K16" s="55">
        <v>397120</v>
      </c>
      <c r="L16" s="12">
        <v>201739</v>
      </c>
      <c r="M16" s="56">
        <v>201368</v>
      </c>
      <c r="N16" s="11" t="s">
        <v>344</v>
      </c>
      <c r="O16" s="50" t="s">
        <v>354</v>
      </c>
    </row>
    <row r="17" spans="1:15">
      <c r="A17" s="49">
        <v>345</v>
      </c>
      <c r="B17" s="50">
        <v>10</v>
      </c>
      <c r="C17" s="50">
        <v>2</v>
      </c>
      <c r="D17" s="49" t="s">
        <v>353</v>
      </c>
      <c r="E17" s="51">
        <v>45960.803634218748</v>
      </c>
      <c r="F17" s="52" t="s">
        <v>342</v>
      </c>
      <c r="G17" s="11" t="s">
        <v>342</v>
      </c>
      <c r="H17" s="53" t="s">
        <v>343</v>
      </c>
      <c r="I17" s="54">
        <v>56.76</v>
      </c>
      <c r="J17" s="55">
        <v>6800</v>
      </c>
      <c r="K17" s="55">
        <v>385968</v>
      </c>
      <c r="L17" s="12">
        <v>202092</v>
      </c>
      <c r="M17" s="56">
        <v>201739</v>
      </c>
      <c r="N17" s="11" t="s">
        <v>344</v>
      </c>
      <c r="O17" s="50" t="s">
        <v>354</v>
      </c>
    </row>
    <row r="18" spans="1:15">
      <c r="A18" s="49">
        <v>250</v>
      </c>
      <c r="B18" s="50">
        <v>11</v>
      </c>
      <c r="C18" s="50">
        <v>1</v>
      </c>
      <c r="D18" s="49" t="s">
        <v>355</v>
      </c>
      <c r="E18" s="51">
        <v>45965.662881875003</v>
      </c>
      <c r="F18" s="52" t="s">
        <v>342</v>
      </c>
      <c r="G18" s="11" t="s">
        <v>342</v>
      </c>
      <c r="H18" s="53" t="s">
        <v>343</v>
      </c>
      <c r="I18" s="54">
        <v>56.6</v>
      </c>
      <c r="J18" s="55">
        <v>6800</v>
      </c>
      <c r="K18" s="55">
        <v>384880</v>
      </c>
      <c r="L18" s="12">
        <v>202465</v>
      </c>
      <c r="M18" s="57">
        <v>202092</v>
      </c>
      <c r="N18" s="11" t="s">
        <v>344</v>
      </c>
      <c r="O18" s="50" t="s">
        <v>356</v>
      </c>
    </row>
    <row r="19" spans="1:15">
      <c r="A19" s="49">
        <v>276</v>
      </c>
      <c r="B19" s="50">
        <v>11</v>
      </c>
      <c r="C19" s="50">
        <v>1</v>
      </c>
      <c r="D19" s="49" t="s">
        <v>355</v>
      </c>
      <c r="E19" s="51">
        <v>45970.579155078121</v>
      </c>
      <c r="F19" s="52" t="s">
        <v>342</v>
      </c>
      <c r="G19" s="11" t="s">
        <v>342</v>
      </c>
      <c r="H19" s="53" t="s">
        <v>343</v>
      </c>
      <c r="I19" s="54">
        <v>70.760000000000005</v>
      </c>
      <c r="J19" s="55">
        <v>6800</v>
      </c>
      <c r="K19" s="55">
        <v>481168</v>
      </c>
      <c r="L19" s="12">
        <v>202888</v>
      </c>
      <c r="M19" s="57">
        <v>202465</v>
      </c>
      <c r="N19" s="11" t="s">
        <v>344</v>
      </c>
      <c r="O19" s="50" t="s">
        <v>356</v>
      </c>
    </row>
    <row r="20" spans="1:15">
      <c r="A20" s="49">
        <v>301</v>
      </c>
      <c r="B20" s="50">
        <v>11</v>
      </c>
      <c r="C20" s="50">
        <v>1</v>
      </c>
      <c r="D20" s="49" t="s">
        <v>355</v>
      </c>
      <c r="E20" s="51">
        <v>45973.693217578126</v>
      </c>
      <c r="F20" s="52" t="s">
        <v>342</v>
      </c>
      <c r="G20" s="11" t="s">
        <v>342</v>
      </c>
      <c r="H20" s="53" t="s">
        <v>343</v>
      </c>
      <c r="I20" s="54">
        <v>61.82</v>
      </c>
      <c r="J20" s="55">
        <v>6800</v>
      </c>
      <c r="K20" s="55">
        <v>420376</v>
      </c>
      <c r="L20" s="12">
        <v>303265</v>
      </c>
      <c r="M20" s="57">
        <v>202888</v>
      </c>
      <c r="N20" s="11" t="s">
        <v>344</v>
      </c>
      <c r="O20" s="50" t="s">
        <v>356</v>
      </c>
    </row>
    <row r="21" spans="1:15">
      <c r="A21" s="49">
        <v>230</v>
      </c>
      <c r="B21" s="50">
        <v>11</v>
      </c>
      <c r="C21" s="50">
        <v>2</v>
      </c>
      <c r="D21" s="49" t="s">
        <v>357</v>
      </c>
      <c r="E21" s="51">
        <v>45978.531238359377</v>
      </c>
      <c r="F21" s="52" t="s">
        <v>342</v>
      </c>
      <c r="G21" s="11" t="s">
        <v>342</v>
      </c>
      <c r="H21" s="53" t="s">
        <v>343</v>
      </c>
      <c r="I21" s="54">
        <v>62.81</v>
      </c>
      <c r="J21" s="55">
        <v>6800</v>
      </c>
      <c r="K21" s="55">
        <v>427108</v>
      </c>
      <c r="L21" s="12">
        <v>203639</v>
      </c>
      <c r="M21" s="57">
        <v>303265</v>
      </c>
      <c r="N21" s="11" t="s">
        <v>344</v>
      </c>
      <c r="O21" s="50" t="s">
        <v>358</v>
      </c>
    </row>
    <row r="22" spans="1:15">
      <c r="A22" s="49">
        <v>246</v>
      </c>
      <c r="B22" s="50">
        <v>11</v>
      </c>
      <c r="C22" s="50">
        <v>2</v>
      </c>
      <c r="D22" s="49" t="s">
        <v>357</v>
      </c>
      <c r="E22" s="51">
        <v>45981.506342578126</v>
      </c>
      <c r="F22" s="52" t="s">
        <v>342</v>
      </c>
      <c r="G22" s="11" t="s">
        <v>342</v>
      </c>
      <c r="H22" s="53" t="s">
        <v>343</v>
      </c>
      <c r="I22" s="54">
        <v>63.69</v>
      </c>
      <c r="J22" s="55">
        <v>6800</v>
      </c>
      <c r="K22" s="55">
        <v>433092</v>
      </c>
      <c r="L22" s="12">
        <v>203910</v>
      </c>
      <c r="M22" s="57">
        <v>203639</v>
      </c>
      <c r="N22" s="11" t="s">
        <v>344</v>
      </c>
      <c r="O22" s="50" t="s">
        <v>358</v>
      </c>
    </row>
    <row r="23" spans="1:15">
      <c r="A23" s="49">
        <v>262</v>
      </c>
      <c r="B23" s="50">
        <v>11</v>
      </c>
      <c r="C23" s="50">
        <v>2</v>
      </c>
      <c r="D23" s="49" t="s">
        <v>357</v>
      </c>
      <c r="E23" s="51">
        <v>45984.70921296296</v>
      </c>
      <c r="F23" s="52" t="s">
        <v>342</v>
      </c>
      <c r="G23" s="11" t="s">
        <v>342</v>
      </c>
      <c r="H23" s="53" t="s">
        <v>343</v>
      </c>
      <c r="I23" s="54">
        <v>62.41</v>
      </c>
      <c r="J23" s="55">
        <v>6800</v>
      </c>
      <c r="K23" s="55">
        <v>424388</v>
      </c>
      <c r="L23" s="12">
        <v>204141</v>
      </c>
      <c r="M23" s="57">
        <v>203910</v>
      </c>
      <c r="N23" s="11" t="s">
        <v>344</v>
      </c>
      <c r="O23" s="50" t="s">
        <v>358</v>
      </c>
    </row>
    <row r="24" spans="1:15">
      <c r="A24" s="49">
        <v>288</v>
      </c>
      <c r="B24" s="50">
        <v>11</v>
      </c>
      <c r="C24" s="50">
        <v>2</v>
      </c>
      <c r="D24" s="49" t="s">
        <v>357</v>
      </c>
      <c r="E24" s="51">
        <v>45988.657650462963</v>
      </c>
      <c r="F24" s="52" t="s">
        <v>342</v>
      </c>
      <c r="G24" s="11" t="s">
        <v>342</v>
      </c>
      <c r="H24" s="53" t="s">
        <v>343</v>
      </c>
      <c r="I24" s="54">
        <v>61.26</v>
      </c>
      <c r="J24" s="55">
        <v>6800</v>
      </c>
      <c r="K24" s="55">
        <v>416568</v>
      </c>
      <c r="L24" s="12">
        <v>204505</v>
      </c>
      <c r="M24" s="57">
        <v>204141</v>
      </c>
      <c r="N24" s="11" t="s">
        <v>344</v>
      </c>
      <c r="O24" s="50" t="s">
        <v>358</v>
      </c>
    </row>
    <row r="25" spans="1:15">
      <c r="A25" s="49">
        <v>145</v>
      </c>
      <c r="B25" s="50">
        <v>12</v>
      </c>
      <c r="C25" s="50">
        <v>1</v>
      </c>
      <c r="D25" s="49" t="s">
        <v>359</v>
      </c>
      <c r="E25" s="51">
        <v>46000</v>
      </c>
      <c r="F25" s="52" t="s">
        <v>342</v>
      </c>
      <c r="G25" s="11" t="s">
        <v>342</v>
      </c>
      <c r="H25" s="53" t="s">
        <v>343</v>
      </c>
      <c r="I25" s="54">
        <v>60</v>
      </c>
      <c r="J25" s="55">
        <v>6800</v>
      </c>
      <c r="K25" s="55">
        <v>408000</v>
      </c>
      <c r="L25" s="58" t="s">
        <v>360</v>
      </c>
      <c r="M25" s="57">
        <v>204505</v>
      </c>
      <c r="N25" s="11" t="s">
        <v>347</v>
      </c>
      <c r="O25" s="50" t="s">
        <v>361</v>
      </c>
    </row>
    <row r="26" spans="1:15">
      <c r="A26" s="49">
        <v>266</v>
      </c>
      <c r="B26" s="50">
        <v>12</v>
      </c>
      <c r="C26" s="50">
        <v>1</v>
      </c>
      <c r="D26" s="49" t="s">
        <v>359</v>
      </c>
      <c r="E26" s="51">
        <v>45993.503287037034</v>
      </c>
      <c r="F26" s="52" t="s">
        <v>342</v>
      </c>
      <c r="G26" s="11" t="s">
        <v>342</v>
      </c>
      <c r="H26" s="53" t="s">
        <v>343</v>
      </c>
      <c r="I26" s="54">
        <v>61.19</v>
      </c>
      <c r="J26" s="55">
        <v>6800</v>
      </c>
      <c r="K26" s="55">
        <v>416092</v>
      </c>
      <c r="L26" s="12">
        <v>204903</v>
      </c>
      <c r="M26" s="57" t="s">
        <v>360</v>
      </c>
      <c r="N26" s="11" t="s">
        <v>344</v>
      </c>
      <c r="O26" s="50" t="s">
        <v>362</v>
      </c>
    </row>
    <row r="27" spans="1:15">
      <c r="A27" s="49">
        <v>286</v>
      </c>
      <c r="B27" s="50">
        <v>12</v>
      </c>
      <c r="C27" s="50">
        <v>1</v>
      </c>
      <c r="D27" s="49" t="s">
        <v>359</v>
      </c>
      <c r="E27" s="51">
        <v>45996.484965234376</v>
      </c>
      <c r="F27" s="52" t="s">
        <v>342</v>
      </c>
      <c r="G27" s="11" t="s">
        <v>342</v>
      </c>
      <c r="H27" s="53" t="s">
        <v>343</v>
      </c>
      <c r="I27" s="54">
        <v>61.38</v>
      </c>
      <c r="J27" s="55">
        <v>6800</v>
      </c>
      <c r="K27" s="55">
        <v>417384</v>
      </c>
      <c r="L27" s="12">
        <v>205175</v>
      </c>
      <c r="M27" s="57">
        <v>204903</v>
      </c>
      <c r="N27" s="11" t="s">
        <v>344</v>
      </c>
      <c r="O27" s="50" t="s">
        <v>362</v>
      </c>
    </row>
    <row r="28" spans="1:15">
      <c r="A28" s="49">
        <v>331</v>
      </c>
      <c r="B28" s="50">
        <v>12</v>
      </c>
      <c r="C28" s="50">
        <v>1</v>
      </c>
      <c r="D28" s="49" t="s">
        <v>359</v>
      </c>
      <c r="E28" s="51">
        <v>46004.690578671878</v>
      </c>
      <c r="F28" s="52" t="s">
        <v>342</v>
      </c>
      <c r="G28" s="11" t="s">
        <v>342</v>
      </c>
      <c r="H28" s="53" t="s">
        <v>343</v>
      </c>
      <c r="I28" s="54">
        <v>69.17</v>
      </c>
      <c r="J28" s="55">
        <v>6800</v>
      </c>
      <c r="K28" s="55">
        <v>470356</v>
      </c>
      <c r="L28" s="12">
        <v>205964</v>
      </c>
      <c r="M28" s="57">
        <v>205175</v>
      </c>
      <c r="N28" s="11" t="s">
        <v>344</v>
      </c>
      <c r="O28" s="50" t="s">
        <v>362</v>
      </c>
    </row>
    <row r="29" spans="1:15">
      <c r="A29" s="49">
        <v>249</v>
      </c>
      <c r="B29" s="50">
        <v>12</v>
      </c>
      <c r="C29" s="50">
        <v>2</v>
      </c>
      <c r="D29" s="49" t="s">
        <v>363</v>
      </c>
      <c r="E29" s="51">
        <v>46009.658506874999</v>
      </c>
      <c r="F29" s="52" t="s">
        <v>342</v>
      </c>
      <c r="G29" s="11" t="s">
        <v>342</v>
      </c>
      <c r="H29" s="53" t="s">
        <v>343</v>
      </c>
      <c r="I29" s="54">
        <v>59.56</v>
      </c>
      <c r="J29" s="55">
        <v>6800</v>
      </c>
      <c r="K29" s="55">
        <v>405008</v>
      </c>
      <c r="L29" s="12">
        <v>206332</v>
      </c>
      <c r="M29" s="57">
        <v>205964</v>
      </c>
      <c r="N29" s="11" t="s">
        <v>344</v>
      </c>
      <c r="O29" s="50" t="s">
        <v>364</v>
      </c>
    </row>
    <row r="30" spans="1:15">
      <c r="A30" s="49">
        <v>275</v>
      </c>
      <c r="B30" s="50">
        <v>12</v>
      </c>
      <c r="C30" s="50">
        <v>2</v>
      </c>
      <c r="D30" s="49" t="s">
        <v>363</v>
      </c>
      <c r="E30" s="51">
        <v>46013.506863359376</v>
      </c>
      <c r="F30" s="52" t="s">
        <v>342</v>
      </c>
      <c r="G30" s="11" t="s">
        <v>342</v>
      </c>
      <c r="H30" s="53" t="s">
        <v>343</v>
      </c>
      <c r="I30" s="54">
        <v>64.930000000000007</v>
      </c>
      <c r="J30" s="55">
        <v>6800</v>
      </c>
      <c r="K30" s="55">
        <v>441524</v>
      </c>
      <c r="L30" s="12">
        <v>206653</v>
      </c>
      <c r="M30" s="57">
        <v>206332</v>
      </c>
      <c r="N30" s="11" t="s">
        <v>344</v>
      </c>
      <c r="O30" s="50" t="s">
        <v>364</v>
      </c>
    </row>
    <row r="31" spans="1:15">
      <c r="A31" s="49">
        <v>291</v>
      </c>
      <c r="B31" s="50">
        <v>12</v>
      </c>
      <c r="C31" s="50">
        <v>2</v>
      </c>
      <c r="D31" s="49" t="s">
        <v>363</v>
      </c>
      <c r="E31" s="51">
        <v>46017.504988359375</v>
      </c>
      <c r="F31" s="52" t="s">
        <v>342</v>
      </c>
      <c r="G31" s="11" t="s">
        <v>342</v>
      </c>
      <c r="H31" s="53" t="s">
        <v>343</v>
      </c>
      <c r="I31" s="54">
        <v>58.47</v>
      </c>
      <c r="J31" s="55">
        <v>6800</v>
      </c>
      <c r="K31" s="55">
        <v>397596</v>
      </c>
      <c r="L31" s="12">
        <v>207018</v>
      </c>
      <c r="M31" s="57">
        <v>206653</v>
      </c>
      <c r="N31" s="11" t="s">
        <v>344</v>
      </c>
      <c r="O31" s="50" t="s">
        <v>364</v>
      </c>
    </row>
    <row r="32" spans="1:15">
      <c r="A32" s="49">
        <v>309</v>
      </c>
      <c r="B32" s="50">
        <v>12</v>
      </c>
      <c r="C32" s="50">
        <v>2</v>
      </c>
      <c r="D32" s="49" t="s">
        <v>363</v>
      </c>
      <c r="E32" s="51">
        <v>46021.68986109375</v>
      </c>
      <c r="F32" s="52" t="s">
        <v>342</v>
      </c>
      <c r="G32" s="11" t="s">
        <v>342</v>
      </c>
      <c r="H32" s="53" t="s">
        <v>343</v>
      </c>
      <c r="I32" s="54">
        <v>58.97</v>
      </c>
      <c r="J32" s="55">
        <v>6800</v>
      </c>
      <c r="K32" s="55">
        <v>400996</v>
      </c>
      <c r="L32" s="12">
        <v>207397</v>
      </c>
      <c r="M32" s="57">
        <v>207018</v>
      </c>
      <c r="N32" s="11" t="s">
        <v>344</v>
      </c>
      <c r="O32" s="50" t="s">
        <v>364</v>
      </c>
    </row>
  </sheetData>
  <dataValidations count="1">
    <dataValidation type="list" showErrorMessage="1" sqref="N2:N32" xr:uid="{12084E23-2DFB-404D-8CA8-83ED9A9FEF67}">
      <formula1>"SPBU BKA,SPBU RAJAWALI"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D1CF5-70F5-4200-80C5-A8B26BE180E4}">
  <dimension ref="A1:P6"/>
  <sheetViews>
    <sheetView workbookViewId="0"/>
  </sheetViews>
  <sheetFormatPr defaultRowHeight="12.75"/>
  <cols>
    <col min="1" max="1" width="14.140625" customWidth="1"/>
    <col min="2" max="2" width="16" customWidth="1"/>
    <col min="3" max="3" width="14.7109375" customWidth="1"/>
    <col min="4" max="4" width="18.140625" customWidth="1"/>
    <col min="5" max="5" width="19.42578125" customWidth="1"/>
    <col min="6" max="6" width="14.28515625" customWidth="1"/>
    <col min="7" max="7" width="21.85546875" customWidth="1"/>
    <col min="8" max="8" width="21.7109375" customWidth="1"/>
    <col min="9" max="9" width="25.5703125" customWidth="1"/>
    <col min="10" max="10" width="37.85546875" customWidth="1"/>
    <col min="11" max="11" width="26.42578125" customWidth="1"/>
    <col min="12" max="12" width="17.28515625" customWidth="1"/>
    <col min="13" max="13" width="13.7109375" customWidth="1"/>
    <col min="14" max="14" width="15.42578125" customWidth="1"/>
    <col min="15" max="15" width="15.5703125" customWidth="1"/>
    <col min="16" max="16" width="12.85546875" customWidth="1"/>
  </cols>
  <sheetData>
    <row r="1" spans="1:16" ht="30">
      <c r="A1" s="59" t="s">
        <v>365</v>
      </c>
      <c r="B1" s="59" t="s">
        <v>340</v>
      </c>
      <c r="C1" s="60" t="s">
        <v>366</v>
      </c>
      <c r="D1" s="59" t="s">
        <v>367</v>
      </c>
      <c r="E1" s="59" t="s">
        <v>368</v>
      </c>
      <c r="F1" s="59" t="s">
        <v>369</v>
      </c>
      <c r="G1" s="59" t="s">
        <v>370</v>
      </c>
      <c r="H1" s="59" t="s">
        <v>371</v>
      </c>
      <c r="I1" s="59" t="s">
        <v>372</v>
      </c>
      <c r="J1" s="61" t="s">
        <v>373</v>
      </c>
      <c r="K1" s="59" t="s">
        <v>374</v>
      </c>
      <c r="L1" s="59" t="s">
        <v>375</v>
      </c>
      <c r="M1" s="62" t="s">
        <v>376</v>
      </c>
      <c r="N1" s="63" t="s">
        <v>377</v>
      </c>
      <c r="O1" s="63" t="s">
        <v>378</v>
      </c>
      <c r="P1" s="63" t="s">
        <v>379</v>
      </c>
    </row>
    <row r="2" spans="1:16" ht="28.5">
      <c r="A2" s="64" t="s">
        <v>342</v>
      </c>
      <c r="B2" s="65" t="s">
        <v>380</v>
      </c>
      <c r="C2" s="66">
        <v>44441</v>
      </c>
      <c r="D2" s="64" t="s">
        <v>381</v>
      </c>
      <c r="E2" s="67" t="s">
        <v>382</v>
      </c>
      <c r="F2" s="68" t="s">
        <v>383</v>
      </c>
      <c r="G2" s="68" t="s">
        <v>384</v>
      </c>
      <c r="H2" s="65" t="s">
        <v>385</v>
      </c>
      <c r="I2" s="69" t="s">
        <v>386</v>
      </c>
      <c r="J2" s="70" t="s">
        <v>387</v>
      </c>
      <c r="K2" s="71" t="s">
        <v>388</v>
      </c>
      <c r="L2" s="72" t="s">
        <v>389</v>
      </c>
      <c r="M2" s="73">
        <v>250000</v>
      </c>
      <c r="N2" s="74">
        <v>191719</v>
      </c>
      <c r="O2" s="74">
        <v>196381</v>
      </c>
      <c r="P2" s="74">
        <v>4662</v>
      </c>
    </row>
    <row r="3" spans="1:16" ht="28.5">
      <c r="A3" s="64" t="s">
        <v>342</v>
      </c>
      <c r="B3" s="65" t="s">
        <v>390</v>
      </c>
      <c r="C3" s="66">
        <v>44453</v>
      </c>
      <c r="D3" s="64" t="s">
        <v>391</v>
      </c>
      <c r="E3" s="67" t="s">
        <v>382</v>
      </c>
      <c r="F3" s="68" t="s">
        <v>383</v>
      </c>
      <c r="G3" s="68" t="s">
        <v>384</v>
      </c>
      <c r="H3" s="65" t="s">
        <v>392</v>
      </c>
      <c r="I3" s="69" t="s">
        <v>393</v>
      </c>
      <c r="J3" s="70" t="s">
        <v>394</v>
      </c>
      <c r="K3" s="71" t="s">
        <v>395</v>
      </c>
      <c r="L3" s="72" t="s">
        <v>389</v>
      </c>
      <c r="M3" s="73">
        <v>7245000</v>
      </c>
      <c r="N3" s="74">
        <v>196381</v>
      </c>
      <c r="O3" s="74">
        <v>197246</v>
      </c>
      <c r="P3" s="74">
        <v>865</v>
      </c>
    </row>
    <row r="4" spans="1:16" ht="28.5">
      <c r="A4" s="64" t="s">
        <v>342</v>
      </c>
      <c r="B4" s="65" t="s">
        <v>396</v>
      </c>
      <c r="C4" s="66">
        <v>44461</v>
      </c>
      <c r="D4" s="64" t="s">
        <v>397</v>
      </c>
      <c r="E4" s="67" t="s">
        <v>382</v>
      </c>
      <c r="F4" s="68" t="s">
        <v>383</v>
      </c>
      <c r="G4" s="68" t="s">
        <v>384</v>
      </c>
      <c r="H4" s="65" t="s">
        <v>398</v>
      </c>
      <c r="I4" s="69" t="s">
        <v>399</v>
      </c>
      <c r="J4" s="70" t="s">
        <v>400</v>
      </c>
      <c r="K4" s="71" t="s">
        <v>401</v>
      </c>
      <c r="L4" s="72" t="s">
        <v>402</v>
      </c>
      <c r="M4" s="73">
        <v>1020000</v>
      </c>
      <c r="N4" s="74">
        <v>197246</v>
      </c>
      <c r="O4" s="74">
        <v>198459</v>
      </c>
      <c r="P4" s="74">
        <v>1213</v>
      </c>
    </row>
    <row r="5" spans="1:16" ht="28.5">
      <c r="A5" s="64" t="s">
        <v>342</v>
      </c>
      <c r="B5" s="65" t="s">
        <v>403</v>
      </c>
      <c r="C5" s="66">
        <v>44440</v>
      </c>
      <c r="D5" s="64" t="s">
        <v>391</v>
      </c>
      <c r="E5" s="67" t="s">
        <v>382</v>
      </c>
      <c r="F5" s="68" t="s">
        <v>383</v>
      </c>
      <c r="G5" s="68" t="s">
        <v>384</v>
      </c>
      <c r="H5" s="65" t="s">
        <v>404</v>
      </c>
      <c r="I5" s="69" t="s">
        <v>405</v>
      </c>
      <c r="J5" s="70" t="s">
        <v>406</v>
      </c>
      <c r="K5" s="71" t="s">
        <v>407</v>
      </c>
      <c r="L5" s="72" t="s">
        <v>389</v>
      </c>
      <c r="M5" s="73">
        <v>6024000</v>
      </c>
      <c r="N5" s="74">
        <v>198459</v>
      </c>
      <c r="O5" s="74">
        <v>196402</v>
      </c>
      <c r="P5" s="74">
        <v>-2057</v>
      </c>
    </row>
    <row r="6" spans="1:16" ht="28.5">
      <c r="A6" s="64" t="s">
        <v>342</v>
      </c>
      <c r="B6" s="65" t="s">
        <v>408</v>
      </c>
      <c r="C6" s="66">
        <v>44534</v>
      </c>
      <c r="D6" s="64" t="s">
        <v>391</v>
      </c>
      <c r="E6" s="67" t="s">
        <v>382</v>
      </c>
      <c r="F6" s="68" t="s">
        <v>383</v>
      </c>
      <c r="G6" s="68" t="s">
        <v>384</v>
      </c>
      <c r="H6" s="65" t="s">
        <v>409</v>
      </c>
      <c r="I6" s="69" t="s">
        <v>410</v>
      </c>
      <c r="J6" s="70" t="s">
        <v>411</v>
      </c>
      <c r="K6" s="70" t="s">
        <v>412</v>
      </c>
      <c r="L6" s="72" t="s">
        <v>402</v>
      </c>
      <c r="M6" s="73">
        <v>1160000</v>
      </c>
      <c r="N6" s="74">
        <v>196402</v>
      </c>
      <c r="O6" s="74">
        <v>204754</v>
      </c>
      <c r="P6" s="74">
        <v>8352</v>
      </c>
    </row>
  </sheetData>
  <dataValidations count="1">
    <dataValidation type="list" showErrorMessage="1" sqref="A2:A6" xr:uid="{867BA853-1670-481A-B680-36A249942842}">
      <formula1>$C$5:$C$1000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xr:uid="{08998E68-479C-4C83-9254-65F1A5443123}">
          <x14:formula1>
            <xm:f>Internal!$B$4:$B$50</xm:f>
          </x14:formula1>
          <xm:sqref>L2:L6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A24AA-44BF-4547-80E5-306A5B4CDA9E}">
  <dimension ref="A1:Q6007"/>
  <sheetViews>
    <sheetView tabSelected="1" topLeftCell="A160" workbookViewId="0">
      <selection activeCell="L169" sqref="L169"/>
    </sheetView>
  </sheetViews>
  <sheetFormatPr defaultRowHeight="12.75"/>
  <cols>
    <col min="1" max="1" width="2.42578125" style="75" customWidth="1"/>
    <col min="2" max="2" width="7.28515625" style="76" customWidth="1"/>
    <col min="3" max="3" width="25.7109375" style="7" customWidth="1"/>
    <col min="4" max="4" width="7.28515625" style="76" customWidth="1"/>
    <col min="5" max="5" width="14.5703125" style="77" customWidth="1"/>
    <col min="6" max="6" width="10.140625" style="95" customWidth="1"/>
    <col min="7" max="8" width="9.7109375" style="78" customWidth="1"/>
    <col min="9" max="9" width="26.85546875" style="7" customWidth="1"/>
    <col min="10" max="10" width="14.5703125" style="76" customWidth="1"/>
    <col min="11" max="11" width="12.140625" style="7" customWidth="1"/>
    <col min="12" max="12" width="36.140625" style="7" customWidth="1"/>
    <col min="13" max="17" width="12.140625" style="7" customWidth="1"/>
  </cols>
  <sheetData>
    <row r="1" spans="1:17" ht="10.7" customHeight="1">
      <c r="F1" s="78"/>
    </row>
    <row r="2" spans="1:17" ht="15.75">
      <c r="C2" s="79" t="s">
        <v>413</v>
      </c>
      <c r="E2" s="134">
        <f>F7*350000</f>
        <v>14700000</v>
      </c>
      <c r="F2" s="134"/>
    </row>
    <row r="3" spans="1:17">
      <c r="C3" s="80" t="s">
        <v>414</v>
      </c>
      <c r="D3" s="76" t="s">
        <v>415</v>
      </c>
      <c r="E3" s="135" t="s">
        <v>416</v>
      </c>
      <c r="F3" s="135"/>
      <c r="N3" s="82"/>
    </row>
    <row r="4" spans="1:17">
      <c r="C4" s="80" t="s">
        <v>329</v>
      </c>
      <c r="D4" s="76" t="s">
        <v>415</v>
      </c>
      <c r="E4" s="135">
        <v>11</v>
      </c>
      <c r="F4" s="135"/>
    </row>
    <row r="5" spans="1:17">
      <c r="C5" s="80" t="s">
        <v>340</v>
      </c>
      <c r="D5" s="76" t="s">
        <v>415</v>
      </c>
      <c r="E5" s="135" t="str">
        <f>VLOOKUP(E4,D10:J10000,6,0)</f>
        <v>Depo Tambak Langon</v>
      </c>
      <c r="F5" s="135"/>
    </row>
    <row r="6" spans="1:17">
      <c r="C6" s="80" t="s">
        <v>417</v>
      </c>
      <c r="D6" s="76" t="s">
        <v>415</v>
      </c>
      <c r="E6" s="136">
        <f>IF(AND(E3&lt;&gt;"ALL",E4&lt;&gt;"ALL"),SUMIFS(F11:F10002,D11:D10002,E4,I11:I10002,E3),IF(AND(E3="ALL",E4&lt;&gt;"ALL"),SUMIFS(F11:F10002,A11:A10002,E4),IF(AND(E3&lt;&gt;"ALL",E4="ALL"),SUMIFS(F11:F10002,A11:A10002,E3),"")))</f>
        <v>168</v>
      </c>
      <c r="F6" s="136"/>
    </row>
    <row r="7" spans="1:17">
      <c r="C7" s="80" t="s">
        <v>418</v>
      </c>
      <c r="D7" s="76" t="s">
        <v>415</v>
      </c>
      <c r="E7" s="81"/>
      <c r="F7" s="83">
        <f>E6/4</f>
        <v>42</v>
      </c>
      <c r="G7" s="84"/>
      <c r="H7" s="84"/>
    </row>
    <row r="8" spans="1:17" ht="8.25" customHeight="1">
      <c r="F8" s="78"/>
    </row>
    <row r="9" spans="1:17">
      <c r="B9" s="85" t="s">
        <v>419</v>
      </c>
      <c r="C9" s="85" t="s">
        <v>366</v>
      </c>
      <c r="D9" s="85" t="s">
        <v>328</v>
      </c>
      <c r="E9" s="85" t="s">
        <v>420</v>
      </c>
      <c r="F9" s="85" t="s">
        <v>421</v>
      </c>
      <c r="G9" s="85" t="s">
        <v>422</v>
      </c>
      <c r="H9" s="85" t="s">
        <v>423</v>
      </c>
      <c r="I9" s="85" t="s">
        <v>370</v>
      </c>
      <c r="J9" s="85" t="s">
        <v>340</v>
      </c>
      <c r="L9" s="86"/>
      <c r="M9" s="86"/>
      <c r="N9" s="86"/>
      <c r="O9" s="86"/>
      <c r="P9" s="86"/>
      <c r="Q9" s="86"/>
    </row>
    <row r="10" spans="1:17">
      <c r="F10" s="78"/>
      <c r="L10" s="86"/>
      <c r="M10" s="86"/>
      <c r="N10" s="86"/>
      <c r="O10" s="86"/>
      <c r="P10" s="86"/>
      <c r="Q10" s="86"/>
    </row>
    <row r="11" spans="1:17">
      <c r="A11" s="75" t="str">
        <f t="shared" ref="A11:A74" si="0">IF(AND($E$3="ALL",$E$4="ALL"),"ALL",IF(AND($E$3="ALL",$E$4&lt;&gt;"ALL"),IF(D11=$E$4,D11,""),IF(AND($E$3&lt;&gt;"ALL",$E$4="ALL"),IF(I11=$E$3,I11,""),"")))</f>
        <v/>
      </c>
      <c r="B11" s="87">
        <f>IF(D11="","",COUNTIF($D$10:D11,D11))</f>
        <v>1</v>
      </c>
      <c r="C11" s="88">
        <v>45754</v>
      </c>
      <c r="D11" s="87">
        <v>4</v>
      </c>
      <c r="E11" s="89" t="s">
        <v>424</v>
      </c>
      <c r="F11" s="90">
        <v>4</v>
      </c>
      <c r="G11" s="91" t="s">
        <v>425</v>
      </c>
      <c r="H11" s="91">
        <f t="shared" ref="H11:H39" si="1">YEAR(C11)</f>
        <v>2025</v>
      </c>
      <c r="I11" s="92" t="s">
        <v>426</v>
      </c>
      <c r="J11" s="87" t="s">
        <v>427</v>
      </c>
      <c r="L11" s="86"/>
      <c r="M11" s="86"/>
      <c r="N11" s="86"/>
      <c r="O11" s="86"/>
      <c r="P11" s="86"/>
      <c r="Q11" s="86"/>
    </row>
    <row r="12" spans="1:17">
      <c r="A12" s="75" t="str">
        <f t="shared" si="0"/>
        <v/>
      </c>
      <c r="B12" s="87">
        <f>IF(D12="","",COUNTIF($D$10:D12,D12))</f>
        <v>2</v>
      </c>
      <c r="C12" s="88">
        <v>45754</v>
      </c>
      <c r="D12" s="87">
        <v>4</v>
      </c>
      <c r="E12" s="89" t="s">
        <v>428</v>
      </c>
      <c r="F12" s="90">
        <v>4</v>
      </c>
      <c r="G12" s="91" t="s">
        <v>429</v>
      </c>
      <c r="H12" s="91">
        <f t="shared" si="1"/>
        <v>2025</v>
      </c>
      <c r="I12" s="92" t="s">
        <v>426</v>
      </c>
      <c r="J12" s="87" t="s">
        <v>427</v>
      </c>
      <c r="L12" s="86"/>
      <c r="M12" s="86"/>
      <c r="N12" s="86"/>
      <c r="O12" s="86"/>
      <c r="P12" s="86"/>
      <c r="Q12" s="86"/>
    </row>
    <row r="13" spans="1:17">
      <c r="A13" s="75" t="str">
        <f t="shared" si="0"/>
        <v/>
      </c>
      <c r="B13" s="87">
        <f>IF(D13="","",COUNTIF($D$10:D13,D13))</f>
        <v>3</v>
      </c>
      <c r="C13" s="88">
        <v>45757</v>
      </c>
      <c r="D13" s="87">
        <v>4</v>
      </c>
      <c r="E13" s="89" t="s">
        <v>424</v>
      </c>
      <c r="F13" s="90">
        <v>4</v>
      </c>
      <c r="G13" s="91" t="s">
        <v>430</v>
      </c>
      <c r="H13" s="91">
        <f t="shared" si="1"/>
        <v>2025</v>
      </c>
      <c r="I13" s="92" t="s">
        <v>426</v>
      </c>
      <c r="J13" s="87" t="s">
        <v>427</v>
      </c>
      <c r="L13" s="86"/>
      <c r="M13" s="86"/>
      <c r="N13" s="86"/>
      <c r="O13" s="86"/>
      <c r="P13" s="86"/>
      <c r="Q13" s="86"/>
    </row>
    <row r="14" spans="1:17">
      <c r="A14" s="75" t="str">
        <f t="shared" si="0"/>
        <v/>
      </c>
      <c r="B14" s="87">
        <f>IF(D14="","",COUNTIF($D$10:D14,D14))</f>
        <v>4</v>
      </c>
      <c r="C14" s="88">
        <v>45758</v>
      </c>
      <c r="D14" s="87">
        <v>4</v>
      </c>
      <c r="E14" s="89" t="s">
        <v>431</v>
      </c>
      <c r="F14" s="90">
        <v>4</v>
      </c>
      <c r="G14" s="91" t="s">
        <v>432</v>
      </c>
      <c r="H14" s="91">
        <f t="shared" si="1"/>
        <v>2025</v>
      </c>
      <c r="I14" s="92" t="s">
        <v>426</v>
      </c>
      <c r="J14" s="87" t="s">
        <v>427</v>
      </c>
      <c r="L14" s="86"/>
      <c r="M14" s="86"/>
      <c r="N14" s="86"/>
      <c r="O14" s="86"/>
      <c r="P14" s="86"/>
      <c r="Q14" s="86"/>
    </row>
    <row r="15" spans="1:17">
      <c r="A15" s="75" t="str">
        <f t="shared" si="0"/>
        <v/>
      </c>
      <c r="B15" s="87">
        <f>IF(D15="","",COUNTIF($D$10:D15,D15))</f>
        <v>5</v>
      </c>
      <c r="C15" s="88">
        <v>45759</v>
      </c>
      <c r="D15" s="87">
        <v>4</v>
      </c>
      <c r="E15" s="89" t="s">
        <v>433</v>
      </c>
      <c r="F15" s="90">
        <v>4</v>
      </c>
      <c r="G15" s="91" t="s">
        <v>434</v>
      </c>
      <c r="H15" s="91">
        <f t="shared" si="1"/>
        <v>2025</v>
      </c>
      <c r="I15" s="92" t="s">
        <v>426</v>
      </c>
      <c r="J15" s="87" t="s">
        <v>427</v>
      </c>
      <c r="L15" s="86"/>
      <c r="M15" s="86"/>
      <c r="N15" s="86"/>
      <c r="O15" s="86"/>
      <c r="P15" s="86"/>
      <c r="Q15" s="86"/>
    </row>
    <row r="16" spans="1:17">
      <c r="A16" s="75" t="str">
        <f t="shared" si="0"/>
        <v/>
      </c>
      <c r="B16" s="87">
        <f>IF(D16="","",COUNTIF($D$10:D16,D16))</f>
        <v>6</v>
      </c>
      <c r="C16" s="88">
        <v>45759</v>
      </c>
      <c r="D16" s="87">
        <v>4</v>
      </c>
      <c r="E16" s="89" t="s">
        <v>435</v>
      </c>
      <c r="F16" s="90">
        <v>4</v>
      </c>
      <c r="G16" s="91" t="s">
        <v>436</v>
      </c>
      <c r="H16" s="91">
        <f t="shared" si="1"/>
        <v>2025</v>
      </c>
      <c r="I16" s="92" t="s">
        <v>426</v>
      </c>
      <c r="J16" s="87" t="s">
        <v>427</v>
      </c>
      <c r="L16" s="86"/>
      <c r="M16" s="86"/>
      <c r="N16" s="86"/>
      <c r="O16" s="86"/>
      <c r="P16" s="86"/>
      <c r="Q16" s="86"/>
    </row>
    <row r="17" spans="1:17">
      <c r="A17" s="75" t="str">
        <f t="shared" si="0"/>
        <v/>
      </c>
      <c r="B17" s="87">
        <f>IF(D17="","",COUNTIF($D$10:D17,D17))</f>
        <v>7</v>
      </c>
      <c r="C17" s="88">
        <v>45759</v>
      </c>
      <c r="D17" s="87">
        <v>4</v>
      </c>
      <c r="E17" s="89" t="s">
        <v>428</v>
      </c>
      <c r="F17" s="90">
        <v>4</v>
      </c>
      <c r="G17" s="91" t="s">
        <v>437</v>
      </c>
      <c r="H17" s="91">
        <f t="shared" si="1"/>
        <v>2025</v>
      </c>
      <c r="I17" s="92" t="s">
        <v>426</v>
      </c>
      <c r="J17" s="87" t="s">
        <v>427</v>
      </c>
      <c r="L17" s="86"/>
      <c r="M17" s="86"/>
      <c r="N17" s="86"/>
      <c r="O17" s="86"/>
      <c r="P17" s="86"/>
      <c r="Q17" s="86"/>
    </row>
    <row r="18" spans="1:17">
      <c r="A18" s="75" t="str">
        <f t="shared" si="0"/>
        <v/>
      </c>
      <c r="B18" s="87">
        <f>IF(D18="","",COUNTIF($D$10:D18,D18))</f>
        <v>8</v>
      </c>
      <c r="C18" s="88">
        <v>45761</v>
      </c>
      <c r="D18" s="87">
        <v>4</v>
      </c>
      <c r="E18" s="89" t="s">
        <v>438</v>
      </c>
      <c r="F18" s="90">
        <v>4</v>
      </c>
      <c r="G18" s="91" t="s">
        <v>429</v>
      </c>
      <c r="H18" s="91">
        <f t="shared" si="1"/>
        <v>2025</v>
      </c>
      <c r="I18" s="92" t="s">
        <v>426</v>
      </c>
      <c r="J18" s="87" t="s">
        <v>427</v>
      </c>
      <c r="L18" s="86"/>
      <c r="M18" s="86"/>
      <c r="N18" s="86"/>
      <c r="O18" s="86"/>
      <c r="P18" s="86"/>
      <c r="Q18" s="86"/>
    </row>
    <row r="19" spans="1:17">
      <c r="A19" s="75" t="str">
        <f t="shared" si="0"/>
        <v/>
      </c>
      <c r="B19" s="87">
        <f>IF(D19="","",COUNTIF($D$10:D19,D19))</f>
        <v>9</v>
      </c>
      <c r="C19" s="88">
        <v>45762</v>
      </c>
      <c r="D19" s="87">
        <v>4</v>
      </c>
      <c r="E19" s="89" t="s">
        <v>435</v>
      </c>
      <c r="F19" s="90">
        <v>4</v>
      </c>
      <c r="G19" s="91" t="s">
        <v>439</v>
      </c>
      <c r="H19" s="91">
        <f t="shared" si="1"/>
        <v>2025</v>
      </c>
      <c r="I19" s="92" t="s">
        <v>426</v>
      </c>
      <c r="J19" s="87" t="s">
        <v>427</v>
      </c>
      <c r="L19" s="86"/>
      <c r="M19" s="86"/>
      <c r="N19" s="86"/>
      <c r="O19" s="86"/>
      <c r="P19" s="86"/>
      <c r="Q19" s="86"/>
    </row>
    <row r="20" spans="1:17">
      <c r="A20" s="75" t="str">
        <f t="shared" si="0"/>
        <v/>
      </c>
      <c r="B20" s="87">
        <f>IF(D20="","",COUNTIF($D$10:D20,D20))</f>
        <v>10</v>
      </c>
      <c r="C20" s="88">
        <v>45762</v>
      </c>
      <c r="D20" s="87">
        <v>4</v>
      </c>
      <c r="E20" s="89" t="s">
        <v>428</v>
      </c>
      <c r="F20" s="90">
        <v>4</v>
      </c>
      <c r="G20" s="91" t="s">
        <v>440</v>
      </c>
      <c r="H20" s="91">
        <f t="shared" si="1"/>
        <v>2025</v>
      </c>
      <c r="I20" s="92" t="s">
        <v>426</v>
      </c>
      <c r="J20" s="87" t="s">
        <v>427</v>
      </c>
      <c r="L20" s="86"/>
      <c r="M20" s="86"/>
      <c r="N20" s="86"/>
      <c r="O20" s="86"/>
      <c r="P20" s="86"/>
      <c r="Q20" s="86"/>
    </row>
    <row r="21" spans="1:17">
      <c r="A21" s="75" t="str">
        <f t="shared" si="0"/>
        <v/>
      </c>
      <c r="B21" s="87">
        <f>IF(D21="","",COUNTIF($D$10:D21,D21))</f>
        <v>11</v>
      </c>
      <c r="C21" s="88">
        <v>45763</v>
      </c>
      <c r="D21" s="87">
        <v>4</v>
      </c>
      <c r="E21" s="89" t="s">
        <v>433</v>
      </c>
      <c r="F21" s="90">
        <v>4</v>
      </c>
      <c r="G21" s="91" t="s">
        <v>441</v>
      </c>
      <c r="H21" s="91">
        <f t="shared" si="1"/>
        <v>2025</v>
      </c>
      <c r="I21" s="92" t="s">
        <v>426</v>
      </c>
      <c r="J21" s="87" t="s">
        <v>427</v>
      </c>
      <c r="L21" s="86"/>
      <c r="M21" s="86"/>
      <c r="N21" s="86"/>
      <c r="O21" s="86"/>
      <c r="P21" s="86"/>
      <c r="Q21" s="86"/>
    </row>
    <row r="22" spans="1:17">
      <c r="A22" s="75" t="str">
        <f t="shared" si="0"/>
        <v/>
      </c>
      <c r="B22" s="87">
        <f>IF(D22="","",COUNTIF($D$10:D22,D22))</f>
        <v>12</v>
      </c>
      <c r="C22" s="88">
        <v>45763</v>
      </c>
      <c r="D22" s="87">
        <v>4</v>
      </c>
      <c r="E22" s="89" t="s">
        <v>424</v>
      </c>
      <c r="F22" s="90">
        <v>4</v>
      </c>
      <c r="G22" s="91" t="s">
        <v>442</v>
      </c>
      <c r="H22" s="91">
        <f t="shared" si="1"/>
        <v>2025</v>
      </c>
      <c r="I22" s="92" t="s">
        <v>426</v>
      </c>
      <c r="J22" s="87" t="s">
        <v>427</v>
      </c>
      <c r="L22" s="86"/>
      <c r="M22" s="86"/>
      <c r="N22" s="86"/>
      <c r="O22" s="86"/>
      <c r="P22" s="86"/>
      <c r="Q22" s="86"/>
    </row>
    <row r="23" spans="1:17">
      <c r="A23" s="75" t="str">
        <f t="shared" si="0"/>
        <v/>
      </c>
      <c r="B23" s="87">
        <f>IF(D23="","",COUNTIF($D$10:D23,D23))</f>
        <v>13</v>
      </c>
      <c r="C23" s="88">
        <v>45764</v>
      </c>
      <c r="D23" s="87">
        <v>4</v>
      </c>
      <c r="E23" s="89" t="s">
        <v>431</v>
      </c>
      <c r="F23" s="90">
        <v>4</v>
      </c>
      <c r="G23" s="91" t="s">
        <v>443</v>
      </c>
      <c r="H23" s="91">
        <f t="shared" si="1"/>
        <v>2025</v>
      </c>
      <c r="I23" s="92" t="s">
        <v>426</v>
      </c>
      <c r="J23" s="87" t="s">
        <v>427</v>
      </c>
      <c r="L23" s="86"/>
      <c r="M23" s="86"/>
      <c r="N23" s="86"/>
      <c r="O23" s="86"/>
      <c r="P23" s="86"/>
      <c r="Q23" s="86"/>
    </row>
    <row r="24" spans="1:17">
      <c r="A24" s="75" t="str">
        <f t="shared" si="0"/>
        <v/>
      </c>
      <c r="B24" s="87">
        <f>IF(D24="","",COUNTIF($D$10:D24,D24))</f>
        <v>14</v>
      </c>
      <c r="C24" s="88">
        <v>45765</v>
      </c>
      <c r="D24" s="87">
        <v>4</v>
      </c>
      <c r="E24" s="89" t="s">
        <v>431</v>
      </c>
      <c r="F24" s="90">
        <v>4</v>
      </c>
      <c r="G24" s="91" t="s">
        <v>444</v>
      </c>
      <c r="H24" s="91">
        <f t="shared" si="1"/>
        <v>2025</v>
      </c>
      <c r="I24" s="92" t="s">
        <v>426</v>
      </c>
      <c r="J24" s="87" t="s">
        <v>427</v>
      </c>
      <c r="L24" s="86"/>
      <c r="M24" s="86"/>
      <c r="N24" s="86"/>
      <c r="O24" s="86"/>
      <c r="P24" s="86"/>
      <c r="Q24" s="86"/>
    </row>
    <row r="25" spans="1:17">
      <c r="A25" s="75" t="str">
        <f t="shared" si="0"/>
        <v/>
      </c>
      <c r="B25" s="87">
        <f>IF(D25="","",COUNTIF($D$10:D25,D25))</f>
        <v>15</v>
      </c>
      <c r="C25" s="88">
        <v>45765</v>
      </c>
      <c r="D25" s="87">
        <v>4</v>
      </c>
      <c r="E25" s="89" t="s">
        <v>435</v>
      </c>
      <c r="F25" s="90">
        <v>4</v>
      </c>
      <c r="G25" s="91" t="s">
        <v>437</v>
      </c>
      <c r="H25" s="91">
        <f t="shared" si="1"/>
        <v>2025</v>
      </c>
      <c r="I25" s="92" t="s">
        <v>426</v>
      </c>
      <c r="J25" s="87" t="s">
        <v>427</v>
      </c>
      <c r="L25" s="86"/>
      <c r="M25" s="86"/>
      <c r="N25" s="86"/>
      <c r="O25" s="86"/>
      <c r="P25" s="86"/>
      <c r="Q25" s="86"/>
    </row>
    <row r="26" spans="1:17">
      <c r="A26" s="75" t="str">
        <f t="shared" si="0"/>
        <v/>
      </c>
      <c r="B26" s="87">
        <f>IF(D26="","",COUNTIF($D$10:D26,D26))</f>
        <v>16</v>
      </c>
      <c r="C26" s="88">
        <v>45766</v>
      </c>
      <c r="D26" s="87">
        <v>4</v>
      </c>
      <c r="E26" s="89" t="s">
        <v>424</v>
      </c>
      <c r="F26" s="90">
        <v>4</v>
      </c>
      <c r="G26" s="91" t="s">
        <v>445</v>
      </c>
      <c r="H26" s="91">
        <f t="shared" si="1"/>
        <v>2025</v>
      </c>
      <c r="I26" s="92" t="s">
        <v>426</v>
      </c>
      <c r="J26" s="87" t="s">
        <v>427</v>
      </c>
      <c r="L26" s="86"/>
      <c r="M26" s="86"/>
      <c r="N26" s="86"/>
      <c r="O26" s="86"/>
      <c r="P26" s="86"/>
      <c r="Q26" s="86"/>
    </row>
    <row r="27" spans="1:17">
      <c r="A27" s="75" t="str">
        <f t="shared" si="0"/>
        <v/>
      </c>
      <c r="B27" s="87">
        <f>IF(D27="","",COUNTIF($D$10:D27,D27))</f>
        <v>17</v>
      </c>
      <c r="C27" s="88">
        <v>45766</v>
      </c>
      <c r="D27" s="87">
        <v>4</v>
      </c>
      <c r="E27" s="89" t="s">
        <v>433</v>
      </c>
      <c r="F27" s="90">
        <v>4</v>
      </c>
      <c r="G27" s="91" t="s">
        <v>446</v>
      </c>
      <c r="H27" s="91">
        <f t="shared" si="1"/>
        <v>2025</v>
      </c>
      <c r="I27" s="92" t="s">
        <v>426</v>
      </c>
      <c r="J27" s="87" t="s">
        <v>427</v>
      </c>
      <c r="L27" s="86"/>
      <c r="M27" s="86"/>
      <c r="N27" s="86"/>
      <c r="O27" s="86"/>
      <c r="P27" s="86"/>
      <c r="Q27" s="86"/>
    </row>
    <row r="28" spans="1:17">
      <c r="A28" s="75" t="str">
        <f t="shared" si="0"/>
        <v/>
      </c>
      <c r="B28" s="87">
        <f>IF(D28="","",COUNTIF($D$10:D28,D28))</f>
        <v>18</v>
      </c>
      <c r="C28" s="88">
        <v>45768</v>
      </c>
      <c r="D28" s="87">
        <v>4</v>
      </c>
      <c r="E28" s="89" t="s">
        <v>447</v>
      </c>
      <c r="F28" s="90">
        <v>2</v>
      </c>
      <c r="G28" s="91" t="s">
        <v>448</v>
      </c>
      <c r="H28" s="91">
        <f t="shared" si="1"/>
        <v>2025</v>
      </c>
      <c r="I28" s="92" t="s">
        <v>426</v>
      </c>
      <c r="J28" s="87" t="s">
        <v>427</v>
      </c>
      <c r="L28" s="86"/>
      <c r="M28" s="86"/>
      <c r="N28" s="86"/>
      <c r="O28" s="86"/>
      <c r="P28" s="86"/>
      <c r="Q28" s="86"/>
    </row>
    <row r="29" spans="1:17">
      <c r="A29" s="75" t="str">
        <f t="shared" si="0"/>
        <v/>
      </c>
      <c r="B29" s="87">
        <f>IF(D29="","",COUNTIF($D$10:D29,D29))</f>
        <v>19</v>
      </c>
      <c r="C29" s="88">
        <v>45768</v>
      </c>
      <c r="D29" s="87">
        <v>4</v>
      </c>
      <c r="E29" s="89" t="s">
        <v>449</v>
      </c>
      <c r="F29" s="90">
        <v>2</v>
      </c>
      <c r="G29" s="91" t="s">
        <v>450</v>
      </c>
      <c r="H29" s="91">
        <f t="shared" si="1"/>
        <v>2025</v>
      </c>
      <c r="I29" s="92" t="s">
        <v>426</v>
      </c>
      <c r="J29" s="87" t="s">
        <v>427</v>
      </c>
      <c r="L29" s="86"/>
      <c r="M29" s="86"/>
      <c r="N29" s="86"/>
      <c r="O29" s="86"/>
      <c r="P29" s="86"/>
      <c r="Q29" s="86"/>
    </row>
    <row r="30" spans="1:17">
      <c r="A30" s="75" t="str">
        <f t="shared" si="0"/>
        <v/>
      </c>
      <c r="B30" s="87">
        <f>IF(D30="","",COUNTIF($D$10:D30,D30))</f>
        <v>20</v>
      </c>
      <c r="C30" s="88">
        <v>45769</v>
      </c>
      <c r="D30" s="87">
        <v>4</v>
      </c>
      <c r="E30" s="89" t="s">
        <v>431</v>
      </c>
      <c r="F30" s="90">
        <v>4</v>
      </c>
      <c r="G30" s="91" t="s">
        <v>451</v>
      </c>
      <c r="H30" s="91">
        <f t="shared" si="1"/>
        <v>2025</v>
      </c>
      <c r="I30" s="92" t="s">
        <v>426</v>
      </c>
      <c r="J30" s="87" t="s">
        <v>427</v>
      </c>
      <c r="L30" s="86"/>
      <c r="M30" s="86"/>
      <c r="N30" s="86"/>
      <c r="O30" s="86"/>
      <c r="P30" s="86"/>
      <c r="Q30" s="86"/>
    </row>
    <row r="31" spans="1:17">
      <c r="A31" s="75" t="str">
        <f t="shared" si="0"/>
        <v/>
      </c>
      <c r="B31" s="87">
        <f>IF(D31="","",COUNTIF($D$10:D31,D31))</f>
        <v>21</v>
      </c>
      <c r="C31" s="88">
        <v>45769</v>
      </c>
      <c r="D31" s="87">
        <v>4</v>
      </c>
      <c r="E31" s="89" t="s">
        <v>449</v>
      </c>
      <c r="F31" s="90">
        <v>2</v>
      </c>
      <c r="G31" s="91" t="s">
        <v>452</v>
      </c>
      <c r="H31" s="91">
        <f t="shared" si="1"/>
        <v>2025</v>
      </c>
      <c r="I31" s="92" t="s">
        <v>426</v>
      </c>
      <c r="J31" s="87" t="s">
        <v>427</v>
      </c>
      <c r="L31" s="86"/>
      <c r="M31" s="86"/>
      <c r="N31" s="86"/>
      <c r="O31" s="86"/>
      <c r="P31" s="86"/>
      <c r="Q31" s="86"/>
    </row>
    <row r="32" spans="1:17">
      <c r="A32" s="75" t="str">
        <f t="shared" si="0"/>
        <v/>
      </c>
      <c r="B32" s="87">
        <f>IF(D32="","",COUNTIF($D$10:D32,D32))</f>
        <v>22</v>
      </c>
      <c r="C32" s="88">
        <v>45769</v>
      </c>
      <c r="D32" s="87">
        <v>4</v>
      </c>
      <c r="E32" s="89" t="s">
        <v>449</v>
      </c>
      <c r="F32" s="90">
        <v>2</v>
      </c>
      <c r="G32" s="91" t="s">
        <v>452</v>
      </c>
      <c r="H32" s="91">
        <f t="shared" si="1"/>
        <v>2025</v>
      </c>
      <c r="I32" s="92" t="s">
        <v>426</v>
      </c>
      <c r="J32" s="87" t="s">
        <v>427</v>
      </c>
      <c r="L32" s="93"/>
    </row>
    <row r="33" spans="1:12">
      <c r="A33" s="75" t="str">
        <f t="shared" si="0"/>
        <v/>
      </c>
      <c r="B33" s="87">
        <f>IF(D33="","",COUNTIF($D$10:D33,D33))</f>
        <v>23</v>
      </c>
      <c r="C33" s="88">
        <v>45770</v>
      </c>
      <c r="D33" s="87">
        <v>4</v>
      </c>
      <c r="E33" s="89" t="s">
        <v>453</v>
      </c>
      <c r="F33" s="90">
        <v>4</v>
      </c>
      <c r="G33" s="91" t="s">
        <v>429</v>
      </c>
      <c r="H33" s="91">
        <f t="shared" si="1"/>
        <v>2025</v>
      </c>
      <c r="I33" s="92" t="s">
        <v>426</v>
      </c>
      <c r="J33" s="87" t="s">
        <v>427</v>
      </c>
      <c r="L33" s="93"/>
    </row>
    <row r="34" spans="1:12">
      <c r="A34" s="75" t="str">
        <f t="shared" si="0"/>
        <v/>
      </c>
      <c r="B34" s="87">
        <f>IF(D34="","",COUNTIF($D$10:D34,D34))</f>
        <v>24</v>
      </c>
      <c r="C34" s="88">
        <v>45770</v>
      </c>
      <c r="D34" s="87">
        <v>4</v>
      </c>
      <c r="E34" s="89" t="s">
        <v>454</v>
      </c>
      <c r="F34" s="90">
        <v>2</v>
      </c>
      <c r="G34" s="91" t="s">
        <v>455</v>
      </c>
      <c r="H34" s="91">
        <f t="shared" si="1"/>
        <v>2025</v>
      </c>
      <c r="I34" s="92" t="s">
        <v>426</v>
      </c>
      <c r="J34" s="87" t="s">
        <v>427</v>
      </c>
      <c r="L34" s="93"/>
    </row>
    <row r="35" spans="1:12">
      <c r="A35" s="75" t="str">
        <f t="shared" si="0"/>
        <v/>
      </c>
      <c r="B35" s="87">
        <f>IF(D35="","",COUNTIF($D$10:D35,D35))</f>
        <v>25</v>
      </c>
      <c r="C35" s="88">
        <v>45770</v>
      </c>
      <c r="D35" s="87">
        <v>4</v>
      </c>
      <c r="E35" s="89" t="s">
        <v>454</v>
      </c>
      <c r="F35" s="90">
        <v>2</v>
      </c>
      <c r="G35" s="91" t="s">
        <v>456</v>
      </c>
      <c r="H35" s="91">
        <f t="shared" si="1"/>
        <v>2025</v>
      </c>
      <c r="I35" s="92" t="s">
        <v>426</v>
      </c>
      <c r="J35" s="87" t="s">
        <v>427</v>
      </c>
      <c r="L35" s="93"/>
    </row>
    <row r="36" spans="1:12">
      <c r="A36" s="75" t="str">
        <f t="shared" si="0"/>
        <v/>
      </c>
      <c r="B36" s="87">
        <f>IF(D36="","",COUNTIF($D$10:D36,D36))</f>
        <v>26</v>
      </c>
      <c r="C36" s="88">
        <v>45771</v>
      </c>
      <c r="D36" s="87">
        <v>4</v>
      </c>
      <c r="E36" s="89" t="s">
        <v>424</v>
      </c>
      <c r="F36" s="90">
        <v>4</v>
      </c>
      <c r="G36" s="91" t="s">
        <v>457</v>
      </c>
      <c r="H36" s="91">
        <f t="shared" si="1"/>
        <v>2025</v>
      </c>
      <c r="I36" s="92" t="s">
        <v>426</v>
      </c>
      <c r="J36" s="87" t="s">
        <v>427</v>
      </c>
      <c r="L36" s="93"/>
    </row>
    <row r="37" spans="1:12">
      <c r="A37" s="75" t="str">
        <f t="shared" si="0"/>
        <v/>
      </c>
      <c r="B37" s="87">
        <f>IF(D37="","",COUNTIF($D$10:D37,D37))</f>
        <v>27</v>
      </c>
      <c r="C37" s="88">
        <v>45771</v>
      </c>
      <c r="D37" s="87">
        <v>4</v>
      </c>
      <c r="E37" s="89" t="s">
        <v>438</v>
      </c>
      <c r="F37" s="90">
        <v>4</v>
      </c>
      <c r="G37" s="91" t="s">
        <v>458</v>
      </c>
      <c r="H37" s="91">
        <f t="shared" si="1"/>
        <v>2025</v>
      </c>
      <c r="I37" s="92" t="s">
        <v>426</v>
      </c>
      <c r="J37" s="87" t="s">
        <v>427</v>
      </c>
      <c r="L37" s="93"/>
    </row>
    <row r="38" spans="1:12">
      <c r="A38" s="75" t="str">
        <f t="shared" si="0"/>
        <v/>
      </c>
      <c r="B38" s="87">
        <f>IF(D38="","",COUNTIF($D$10:D38,D38))</f>
        <v>28</v>
      </c>
      <c r="C38" s="88">
        <v>45772</v>
      </c>
      <c r="D38" s="87">
        <v>4</v>
      </c>
      <c r="E38" s="89" t="s">
        <v>453</v>
      </c>
      <c r="F38" s="90">
        <v>4</v>
      </c>
      <c r="G38" s="91" t="s">
        <v>458</v>
      </c>
      <c r="H38" s="91">
        <f t="shared" si="1"/>
        <v>2025</v>
      </c>
      <c r="I38" s="92" t="s">
        <v>426</v>
      </c>
      <c r="J38" s="87" t="s">
        <v>427</v>
      </c>
      <c r="L38" s="93"/>
    </row>
    <row r="39" spans="1:12">
      <c r="A39" s="75" t="str">
        <f t="shared" si="0"/>
        <v/>
      </c>
      <c r="B39" s="87">
        <f>IF(D39="","",COUNTIF($D$10:D39,D39))</f>
        <v>29</v>
      </c>
      <c r="C39" s="88">
        <v>45772</v>
      </c>
      <c r="D39" s="87">
        <v>4</v>
      </c>
      <c r="E39" s="89" t="s">
        <v>431</v>
      </c>
      <c r="F39" s="90">
        <v>4</v>
      </c>
      <c r="G39" s="91" t="s">
        <v>457</v>
      </c>
      <c r="H39" s="91">
        <f t="shared" si="1"/>
        <v>2025</v>
      </c>
      <c r="I39" s="92" t="s">
        <v>426</v>
      </c>
      <c r="J39" s="87" t="s">
        <v>427</v>
      </c>
      <c r="L39" s="93"/>
    </row>
    <row r="40" spans="1:12">
      <c r="A40" s="75" t="str">
        <f t="shared" si="0"/>
        <v/>
      </c>
      <c r="B40" s="87" t="str">
        <f>IF(D40="","",COUNTIF($D$10:D40,D40))</f>
        <v/>
      </c>
      <c r="C40" s="92"/>
      <c r="D40" s="87"/>
      <c r="E40" s="89"/>
      <c r="F40" s="90"/>
      <c r="G40" s="91"/>
      <c r="H40" s="91"/>
      <c r="I40" s="92"/>
      <c r="J40" s="87"/>
    </row>
    <row r="41" spans="1:12">
      <c r="A41" s="75" t="str">
        <f t="shared" si="0"/>
        <v/>
      </c>
      <c r="B41" s="87">
        <f>IF(D41="","",COUNTIF($D$10:D41,D41))</f>
        <v>1</v>
      </c>
      <c r="C41" s="88">
        <v>45773</v>
      </c>
      <c r="D41" s="87">
        <v>5</v>
      </c>
      <c r="E41" s="94" t="s">
        <v>428</v>
      </c>
      <c r="F41" s="90">
        <v>4</v>
      </c>
      <c r="G41" s="91" t="s">
        <v>459</v>
      </c>
      <c r="H41" s="91">
        <f t="shared" ref="H41:H70" si="2">YEAR(C41)</f>
        <v>2025</v>
      </c>
      <c r="I41" s="92" t="s">
        <v>426</v>
      </c>
      <c r="J41" s="87" t="s">
        <v>460</v>
      </c>
      <c r="L41" s="93"/>
    </row>
    <row r="42" spans="1:12">
      <c r="A42" s="75" t="str">
        <f t="shared" si="0"/>
        <v/>
      </c>
      <c r="B42" s="87">
        <f>IF(D42="","",COUNTIF($D$10:D42,D42))</f>
        <v>2</v>
      </c>
      <c r="C42" s="88">
        <v>45775</v>
      </c>
      <c r="D42" s="87">
        <v>5</v>
      </c>
      <c r="E42" s="94" t="s">
        <v>435</v>
      </c>
      <c r="F42" s="90">
        <v>4</v>
      </c>
      <c r="G42" s="91" t="s">
        <v>442</v>
      </c>
      <c r="H42" s="91">
        <f t="shared" si="2"/>
        <v>2025</v>
      </c>
      <c r="I42" s="92" t="s">
        <v>426</v>
      </c>
      <c r="J42" s="87" t="s">
        <v>460</v>
      </c>
      <c r="L42" s="93"/>
    </row>
    <row r="43" spans="1:12">
      <c r="A43" s="75" t="str">
        <f t="shared" si="0"/>
        <v/>
      </c>
      <c r="B43" s="87">
        <f>IF(D43="","",COUNTIF($D$10:D43,D43))</f>
        <v>3</v>
      </c>
      <c r="C43" s="88">
        <v>45776</v>
      </c>
      <c r="D43" s="87">
        <v>5</v>
      </c>
      <c r="E43" s="89" t="s">
        <v>438</v>
      </c>
      <c r="F43" s="90">
        <v>4</v>
      </c>
      <c r="G43" s="91" t="s">
        <v>461</v>
      </c>
      <c r="H43" s="91">
        <f t="shared" si="2"/>
        <v>2025</v>
      </c>
      <c r="I43" s="92" t="s">
        <v>426</v>
      </c>
      <c r="J43" s="87" t="s">
        <v>460</v>
      </c>
      <c r="L43" s="93"/>
    </row>
    <row r="44" spans="1:12">
      <c r="A44" s="75" t="str">
        <f t="shared" si="0"/>
        <v/>
      </c>
      <c r="B44" s="87">
        <f>IF(D44="","",COUNTIF($D$10:D44,D44))</f>
        <v>4</v>
      </c>
      <c r="C44" s="88">
        <v>45777</v>
      </c>
      <c r="D44" s="87">
        <v>5</v>
      </c>
      <c r="E44" s="89" t="s">
        <v>431</v>
      </c>
      <c r="F44" s="90">
        <v>4</v>
      </c>
      <c r="G44" s="91" t="s">
        <v>462</v>
      </c>
      <c r="H44" s="91">
        <f t="shared" si="2"/>
        <v>2025</v>
      </c>
      <c r="I44" s="92" t="s">
        <v>426</v>
      </c>
      <c r="J44" s="87" t="s">
        <v>460</v>
      </c>
      <c r="L44" s="93"/>
    </row>
    <row r="45" spans="1:12">
      <c r="A45" s="75" t="str">
        <f t="shared" si="0"/>
        <v/>
      </c>
      <c r="B45" s="87">
        <f>IF(D45="","",COUNTIF($D$10:D45,D45))</f>
        <v>5</v>
      </c>
      <c r="C45" s="88">
        <v>45778</v>
      </c>
      <c r="D45" s="87">
        <v>5</v>
      </c>
      <c r="E45" s="89" t="s">
        <v>453</v>
      </c>
      <c r="F45" s="90">
        <v>4</v>
      </c>
      <c r="G45" s="91" t="s">
        <v>450</v>
      </c>
      <c r="H45" s="91">
        <f t="shared" si="2"/>
        <v>2025</v>
      </c>
      <c r="I45" s="92" t="s">
        <v>426</v>
      </c>
      <c r="J45" s="87" t="s">
        <v>460</v>
      </c>
      <c r="L45" s="93"/>
    </row>
    <row r="46" spans="1:12">
      <c r="A46" s="75" t="str">
        <f t="shared" si="0"/>
        <v/>
      </c>
      <c r="B46" s="87">
        <f>IF(D46="","",COUNTIF($D$10:D46,D46))</f>
        <v>6</v>
      </c>
      <c r="C46" s="88">
        <v>45779</v>
      </c>
      <c r="D46" s="87">
        <v>5</v>
      </c>
      <c r="E46" s="89" t="s">
        <v>435</v>
      </c>
      <c r="F46" s="90">
        <v>4</v>
      </c>
      <c r="G46" s="91" t="s">
        <v>440</v>
      </c>
      <c r="H46" s="91">
        <f t="shared" si="2"/>
        <v>2025</v>
      </c>
      <c r="I46" s="92" t="s">
        <v>426</v>
      </c>
      <c r="J46" s="87" t="s">
        <v>460</v>
      </c>
      <c r="L46" s="93"/>
    </row>
    <row r="47" spans="1:12">
      <c r="A47" s="75" t="str">
        <f t="shared" si="0"/>
        <v/>
      </c>
      <c r="B47" s="87">
        <f>IF(D47="","",COUNTIF($D$10:D47,D47))</f>
        <v>7</v>
      </c>
      <c r="C47" s="88">
        <v>45780</v>
      </c>
      <c r="D47" s="87">
        <v>5</v>
      </c>
      <c r="E47" s="89" t="s">
        <v>454</v>
      </c>
      <c r="F47" s="90">
        <v>2</v>
      </c>
      <c r="G47" s="91" t="s">
        <v>463</v>
      </c>
      <c r="H47" s="91">
        <f t="shared" si="2"/>
        <v>2025</v>
      </c>
      <c r="I47" s="92" t="s">
        <v>426</v>
      </c>
      <c r="J47" s="87" t="s">
        <v>460</v>
      </c>
      <c r="L47" s="93"/>
    </row>
    <row r="48" spans="1:12">
      <c r="A48" s="75" t="str">
        <f t="shared" si="0"/>
        <v/>
      </c>
      <c r="B48" s="87">
        <f>IF(D48="","",COUNTIF($D$10:D48,D48))</f>
        <v>8</v>
      </c>
      <c r="C48" s="88">
        <v>45780</v>
      </c>
      <c r="D48" s="87">
        <v>5</v>
      </c>
      <c r="E48" s="89" t="s">
        <v>447</v>
      </c>
      <c r="F48" s="90">
        <v>2</v>
      </c>
      <c r="G48" s="91" t="s">
        <v>464</v>
      </c>
      <c r="H48" s="91">
        <f t="shared" si="2"/>
        <v>2025</v>
      </c>
      <c r="I48" s="92" t="s">
        <v>426</v>
      </c>
      <c r="J48" s="87" t="s">
        <v>460</v>
      </c>
      <c r="L48" s="93"/>
    </row>
    <row r="49" spans="1:12">
      <c r="A49" s="75" t="str">
        <f t="shared" si="0"/>
        <v/>
      </c>
      <c r="B49" s="87">
        <f>IF(D49="","",COUNTIF($D$10:D49,D49))</f>
        <v>9</v>
      </c>
      <c r="C49" s="88">
        <v>45783</v>
      </c>
      <c r="D49" s="87">
        <v>5</v>
      </c>
      <c r="E49" s="89" t="s">
        <v>428</v>
      </c>
      <c r="F49" s="90">
        <v>4</v>
      </c>
      <c r="G49" s="91" t="s">
        <v>465</v>
      </c>
      <c r="H49" s="91">
        <f t="shared" si="2"/>
        <v>2025</v>
      </c>
      <c r="I49" s="92" t="s">
        <v>426</v>
      </c>
      <c r="J49" s="87" t="s">
        <v>460</v>
      </c>
      <c r="L49" s="93"/>
    </row>
    <row r="50" spans="1:12">
      <c r="A50" s="75" t="str">
        <f t="shared" si="0"/>
        <v/>
      </c>
      <c r="B50" s="87">
        <f>IF(D50="","",COUNTIF($D$10:D50,D50))</f>
        <v>10</v>
      </c>
      <c r="C50" s="88">
        <v>45785</v>
      </c>
      <c r="D50" s="87">
        <v>5</v>
      </c>
      <c r="E50" s="89" t="s">
        <v>431</v>
      </c>
      <c r="F50" s="90">
        <v>4</v>
      </c>
      <c r="G50" s="91" t="s">
        <v>439</v>
      </c>
      <c r="H50" s="91">
        <f t="shared" si="2"/>
        <v>2025</v>
      </c>
      <c r="I50" s="92" t="s">
        <v>426</v>
      </c>
      <c r="J50" s="87" t="s">
        <v>460</v>
      </c>
      <c r="L50" s="93"/>
    </row>
    <row r="51" spans="1:12">
      <c r="A51" s="75" t="str">
        <f t="shared" si="0"/>
        <v/>
      </c>
      <c r="B51" s="87">
        <f>IF(D51="","",COUNTIF($D$10:D51,D51))</f>
        <v>11</v>
      </c>
      <c r="C51" s="88">
        <v>45786</v>
      </c>
      <c r="D51" s="87">
        <v>5</v>
      </c>
      <c r="E51" s="89" t="s">
        <v>438</v>
      </c>
      <c r="F51" s="90">
        <v>4</v>
      </c>
      <c r="G51" s="91" t="s">
        <v>466</v>
      </c>
      <c r="H51" s="91">
        <f t="shared" si="2"/>
        <v>2025</v>
      </c>
      <c r="I51" s="92" t="s">
        <v>426</v>
      </c>
      <c r="J51" s="87" t="s">
        <v>460</v>
      </c>
      <c r="L51" s="93"/>
    </row>
    <row r="52" spans="1:12">
      <c r="A52" s="75" t="str">
        <f t="shared" si="0"/>
        <v/>
      </c>
      <c r="B52" s="87">
        <f>IF(D52="","",COUNTIF($D$10:D52,D52))</f>
        <v>12</v>
      </c>
      <c r="C52" s="88">
        <v>45787</v>
      </c>
      <c r="D52" s="87">
        <v>5</v>
      </c>
      <c r="E52" s="89" t="s">
        <v>453</v>
      </c>
      <c r="F52" s="90">
        <v>4</v>
      </c>
      <c r="G52" s="91" t="s">
        <v>450</v>
      </c>
      <c r="H52" s="91">
        <f t="shared" si="2"/>
        <v>2025</v>
      </c>
      <c r="I52" s="92" t="s">
        <v>426</v>
      </c>
      <c r="J52" s="87" t="s">
        <v>460</v>
      </c>
      <c r="L52" s="93"/>
    </row>
    <row r="53" spans="1:12">
      <c r="A53" s="75" t="str">
        <f t="shared" si="0"/>
        <v/>
      </c>
      <c r="B53" s="87">
        <f>IF(D53="","",COUNTIF($D$10:D53,D53))</f>
        <v>13</v>
      </c>
      <c r="C53" s="88">
        <v>45789</v>
      </c>
      <c r="D53" s="87">
        <v>5</v>
      </c>
      <c r="E53" s="89" t="s">
        <v>431</v>
      </c>
      <c r="F53" s="90">
        <v>4</v>
      </c>
      <c r="G53" s="91" t="s">
        <v>437</v>
      </c>
      <c r="H53" s="91">
        <f t="shared" si="2"/>
        <v>2025</v>
      </c>
      <c r="I53" s="92" t="s">
        <v>426</v>
      </c>
      <c r="J53" s="87" t="s">
        <v>460</v>
      </c>
      <c r="L53" s="93"/>
    </row>
    <row r="54" spans="1:12">
      <c r="A54" s="75" t="str">
        <f t="shared" si="0"/>
        <v/>
      </c>
      <c r="B54" s="87">
        <f>IF(D54="","",COUNTIF($D$10:D54,D54))</f>
        <v>14</v>
      </c>
      <c r="C54" s="88">
        <v>45790</v>
      </c>
      <c r="D54" s="87">
        <v>5</v>
      </c>
      <c r="E54" s="89" t="s">
        <v>428</v>
      </c>
      <c r="F54" s="90">
        <v>4</v>
      </c>
      <c r="G54" s="91" t="s">
        <v>467</v>
      </c>
      <c r="H54" s="91">
        <f t="shared" si="2"/>
        <v>2025</v>
      </c>
      <c r="I54" s="92" t="s">
        <v>426</v>
      </c>
      <c r="J54" s="87" t="s">
        <v>460</v>
      </c>
      <c r="L54" s="93"/>
    </row>
    <row r="55" spans="1:12">
      <c r="A55" s="75" t="str">
        <f t="shared" si="0"/>
        <v/>
      </c>
      <c r="B55" s="87">
        <f>IF(D55="","",COUNTIF($D$10:D55,D55))</f>
        <v>15</v>
      </c>
      <c r="C55" s="88">
        <v>45791</v>
      </c>
      <c r="D55" s="87">
        <v>5</v>
      </c>
      <c r="E55" s="89" t="s">
        <v>453</v>
      </c>
      <c r="F55" s="90">
        <v>4</v>
      </c>
      <c r="G55" s="91" t="s">
        <v>468</v>
      </c>
      <c r="H55" s="91">
        <f t="shared" si="2"/>
        <v>2025</v>
      </c>
      <c r="I55" s="92" t="s">
        <v>426</v>
      </c>
      <c r="J55" s="87" t="s">
        <v>460</v>
      </c>
      <c r="L55" s="93"/>
    </row>
    <row r="56" spans="1:12">
      <c r="A56" s="75" t="str">
        <f t="shared" si="0"/>
        <v/>
      </c>
      <c r="B56" s="87">
        <f>IF(D56="","",COUNTIF($D$10:D56,D56))</f>
        <v>16</v>
      </c>
      <c r="C56" s="88">
        <v>45792</v>
      </c>
      <c r="D56" s="87">
        <v>5</v>
      </c>
      <c r="E56" s="89" t="s">
        <v>435</v>
      </c>
      <c r="F56" s="90">
        <v>4</v>
      </c>
      <c r="G56" s="91" t="s">
        <v>466</v>
      </c>
      <c r="H56" s="91">
        <f t="shared" si="2"/>
        <v>2025</v>
      </c>
      <c r="I56" s="92" t="s">
        <v>426</v>
      </c>
      <c r="J56" s="87" t="s">
        <v>460</v>
      </c>
      <c r="L56" s="93"/>
    </row>
    <row r="57" spans="1:12">
      <c r="A57" s="75" t="str">
        <f t="shared" si="0"/>
        <v/>
      </c>
      <c r="B57" s="87">
        <f>IF(D57="","",COUNTIF($D$10:D57,D57))</f>
        <v>17</v>
      </c>
      <c r="C57" s="88">
        <v>45796</v>
      </c>
      <c r="D57" s="87">
        <v>5</v>
      </c>
      <c r="E57" s="89" t="s">
        <v>438</v>
      </c>
      <c r="F57" s="90">
        <v>4</v>
      </c>
      <c r="G57" s="91" t="s">
        <v>469</v>
      </c>
      <c r="H57" s="91">
        <f t="shared" si="2"/>
        <v>2025</v>
      </c>
      <c r="I57" s="92" t="s">
        <v>426</v>
      </c>
      <c r="J57" s="87" t="s">
        <v>460</v>
      </c>
      <c r="L57" s="93"/>
    </row>
    <row r="58" spans="1:12">
      <c r="A58" s="75" t="str">
        <f t="shared" si="0"/>
        <v/>
      </c>
      <c r="B58" s="87">
        <f>IF(D58="","",COUNTIF($D$10:D58,D58))</f>
        <v>18</v>
      </c>
      <c r="C58" s="88">
        <v>45797</v>
      </c>
      <c r="D58" s="87">
        <v>5</v>
      </c>
      <c r="E58" s="89" t="s">
        <v>454</v>
      </c>
      <c r="F58" s="90">
        <v>2</v>
      </c>
      <c r="G58" s="91" t="s">
        <v>470</v>
      </c>
      <c r="H58" s="91">
        <f t="shared" si="2"/>
        <v>2025</v>
      </c>
      <c r="I58" s="92" t="s">
        <v>426</v>
      </c>
      <c r="J58" s="87" t="s">
        <v>460</v>
      </c>
      <c r="L58" s="93"/>
    </row>
    <row r="59" spans="1:12">
      <c r="A59" s="75" t="str">
        <f t="shared" si="0"/>
        <v/>
      </c>
      <c r="B59" s="87">
        <f>IF(D59="","",COUNTIF($D$10:D59,D59))</f>
        <v>19</v>
      </c>
      <c r="C59" s="88">
        <v>45797</v>
      </c>
      <c r="D59" s="87">
        <v>5</v>
      </c>
      <c r="E59" s="89" t="s">
        <v>449</v>
      </c>
      <c r="F59" s="90">
        <v>2</v>
      </c>
      <c r="G59" s="91" t="s">
        <v>471</v>
      </c>
      <c r="H59" s="91">
        <f t="shared" si="2"/>
        <v>2025</v>
      </c>
      <c r="I59" s="92" t="s">
        <v>426</v>
      </c>
      <c r="J59" s="87" t="s">
        <v>460</v>
      </c>
      <c r="L59" s="93"/>
    </row>
    <row r="60" spans="1:12">
      <c r="A60" s="75" t="str">
        <f t="shared" si="0"/>
        <v/>
      </c>
      <c r="B60" s="87">
        <f>IF(D60="","",COUNTIF($D$10:D60,D60))</f>
        <v>20</v>
      </c>
      <c r="C60" s="88">
        <v>45800</v>
      </c>
      <c r="D60" s="87">
        <v>5</v>
      </c>
      <c r="E60" s="89" t="s">
        <v>431</v>
      </c>
      <c r="F60" s="90">
        <v>4</v>
      </c>
      <c r="G60" s="91" t="s">
        <v>472</v>
      </c>
      <c r="H60" s="91">
        <f t="shared" si="2"/>
        <v>2025</v>
      </c>
      <c r="I60" s="92" t="s">
        <v>426</v>
      </c>
      <c r="J60" s="87" t="s">
        <v>460</v>
      </c>
      <c r="L60" s="93"/>
    </row>
    <row r="61" spans="1:12">
      <c r="A61" s="75" t="str">
        <f t="shared" si="0"/>
        <v/>
      </c>
      <c r="B61" s="87">
        <f>IF(D61="","",COUNTIF($D$10:D61,D61))</f>
        <v>21</v>
      </c>
      <c r="C61" s="88">
        <v>45801</v>
      </c>
      <c r="D61" s="87">
        <v>5</v>
      </c>
      <c r="E61" s="89" t="s">
        <v>428</v>
      </c>
      <c r="F61" s="90">
        <v>4</v>
      </c>
      <c r="G61" s="91" t="s">
        <v>437</v>
      </c>
      <c r="H61" s="91">
        <f t="shared" si="2"/>
        <v>2025</v>
      </c>
      <c r="I61" s="92" t="s">
        <v>426</v>
      </c>
      <c r="J61" s="87" t="s">
        <v>460</v>
      </c>
      <c r="L61" s="93"/>
    </row>
    <row r="62" spans="1:12">
      <c r="A62" s="75" t="str">
        <f t="shared" si="0"/>
        <v/>
      </c>
      <c r="B62" s="87">
        <f>IF(D62="","",COUNTIF($D$10:D62,D62))</f>
        <v>22</v>
      </c>
      <c r="C62" s="88">
        <v>45803</v>
      </c>
      <c r="D62" s="87">
        <v>5</v>
      </c>
      <c r="E62" s="89" t="s">
        <v>431</v>
      </c>
      <c r="F62" s="90">
        <v>4</v>
      </c>
      <c r="G62" s="91" t="s">
        <v>473</v>
      </c>
      <c r="H62" s="91">
        <f t="shared" si="2"/>
        <v>2025</v>
      </c>
      <c r="I62" s="92" t="s">
        <v>426</v>
      </c>
      <c r="J62" s="87" t="s">
        <v>460</v>
      </c>
      <c r="L62" s="93"/>
    </row>
    <row r="63" spans="1:12">
      <c r="A63" s="75" t="str">
        <f t="shared" si="0"/>
        <v/>
      </c>
      <c r="B63" s="87">
        <f>IF(D63="","",COUNTIF($D$10:D63,D63))</f>
        <v>23</v>
      </c>
      <c r="C63" s="88">
        <v>45804</v>
      </c>
      <c r="D63" s="87">
        <v>5</v>
      </c>
      <c r="E63" s="89" t="s">
        <v>449</v>
      </c>
      <c r="F63" s="90">
        <v>2</v>
      </c>
      <c r="G63" s="91" t="s">
        <v>432</v>
      </c>
      <c r="H63" s="91">
        <f t="shared" si="2"/>
        <v>2025</v>
      </c>
      <c r="I63" s="92" t="s">
        <v>426</v>
      </c>
      <c r="J63" s="87" t="s">
        <v>460</v>
      </c>
      <c r="L63" s="93"/>
    </row>
    <row r="64" spans="1:12">
      <c r="A64" s="75" t="str">
        <f t="shared" si="0"/>
        <v/>
      </c>
      <c r="B64" s="87">
        <f>IF(D64="","",COUNTIF($D$10:D64,D64))</f>
        <v>24</v>
      </c>
      <c r="C64" s="88">
        <v>45804</v>
      </c>
      <c r="D64" s="87">
        <v>5</v>
      </c>
      <c r="E64" s="89" t="s">
        <v>449</v>
      </c>
      <c r="F64" s="90">
        <v>2</v>
      </c>
      <c r="G64" s="91" t="s">
        <v>474</v>
      </c>
      <c r="H64" s="91">
        <f t="shared" si="2"/>
        <v>2025</v>
      </c>
      <c r="I64" s="92" t="s">
        <v>426</v>
      </c>
      <c r="J64" s="87" t="s">
        <v>460</v>
      </c>
      <c r="L64" s="93"/>
    </row>
    <row r="65" spans="1:12">
      <c r="A65" s="75" t="str">
        <f t="shared" si="0"/>
        <v/>
      </c>
      <c r="B65" s="87">
        <f>IF(D65="","",COUNTIF($D$10:D65,D65))</f>
        <v>25</v>
      </c>
      <c r="C65" s="88">
        <v>45805</v>
      </c>
      <c r="D65" s="87">
        <v>5</v>
      </c>
      <c r="E65" s="89" t="s">
        <v>449</v>
      </c>
      <c r="F65" s="90">
        <v>2</v>
      </c>
      <c r="G65" s="91" t="s">
        <v>475</v>
      </c>
      <c r="H65" s="91">
        <f t="shared" si="2"/>
        <v>2025</v>
      </c>
      <c r="I65" s="92" t="s">
        <v>426</v>
      </c>
      <c r="J65" s="87" t="s">
        <v>460</v>
      </c>
      <c r="L65" s="93"/>
    </row>
    <row r="66" spans="1:12">
      <c r="A66" s="75" t="str">
        <f t="shared" si="0"/>
        <v/>
      </c>
      <c r="B66" s="87">
        <f>IF(D66="","",COUNTIF($D$10:D66,D66))</f>
        <v>26</v>
      </c>
      <c r="C66" s="88">
        <v>45805</v>
      </c>
      <c r="D66" s="87">
        <v>5</v>
      </c>
      <c r="E66" s="89" t="s">
        <v>449</v>
      </c>
      <c r="F66" s="90">
        <v>2</v>
      </c>
      <c r="G66" s="91" t="s">
        <v>476</v>
      </c>
      <c r="H66" s="91">
        <f t="shared" si="2"/>
        <v>2025</v>
      </c>
      <c r="I66" s="92" t="s">
        <v>426</v>
      </c>
      <c r="J66" s="87" t="s">
        <v>460</v>
      </c>
      <c r="L66" s="93"/>
    </row>
    <row r="67" spans="1:12">
      <c r="A67" s="75" t="str">
        <f t="shared" si="0"/>
        <v/>
      </c>
      <c r="B67" s="87">
        <f>IF(D67="","",COUNTIF($D$10:D67,D67))</f>
        <v>27</v>
      </c>
      <c r="C67" s="88">
        <v>45806</v>
      </c>
      <c r="D67" s="87">
        <v>5</v>
      </c>
      <c r="E67" s="89" t="s">
        <v>449</v>
      </c>
      <c r="F67" s="90">
        <v>2</v>
      </c>
      <c r="G67" s="91" t="s">
        <v>477</v>
      </c>
      <c r="H67" s="91">
        <f t="shared" si="2"/>
        <v>2025</v>
      </c>
      <c r="I67" s="92" t="s">
        <v>426</v>
      </c>
      <c r="J67" s="87" t="s">
        <v>460</v>
      </c>
      <c r="L67" s="93"/>
    </row>
    <row r="68" spans="1:12">
      <c r="A68" s="75" t="str">
        <f t="shared" si="0"/>
        <v/>
      </c>
      <c r="B68" s="87">
        <f>IF(D68="","",COUNTIF($D$10:D68,D68))</f>
        <v>28</v>
      </c>
      <c r="C68" s="88">
        <v>45806</v>
      </c>
      <c r="D68" s="87">
        <v>5</v>
      </c>
      <c r="E68" s="89" t="s">
        <v>454</v>
      </c>
      <c r="F68" s="90">
        <v>2</v>
      </c>
      <c r="G68" s="91" t="s">
        <v>478</v>
      </c>
      <c r="H68" s="91">
        <f t="shared" si="2"/>
        <v>2025</v>
      </c>
      <c r="I68" s="92" t="s">
        <v>426</v>
      </c>
      <c r="J68" s="87" t="s">
        <v>460</v>
      </c>
      <c r="L68" s="93"/>
    </row>
    <row r="69" spans="1:12">
      <c r="A69" s="75" t="str">
        <f t="shared" si="0"/>
        <v/>
      </c>
      <c r="B69" s="87">
        <f>IF(D69="","",COUNTIF($D$10:D69,D69))</f>
        <v>29</v>
      </c>
      <c r="C69" s="88">
        <v>45807</v>
      </c>
      <c r="D69" s="87">
        <v>5</v>
      </c>
      <c r="E69" s="89" t="s">
        <v>449</v>
      </c>
      <c r="F69" s="90">
        <v>2</v>
      </c>
      <c r="G69" s="91" t="s">
        <v>479</v>
      </c>
      <c r="H69" s="91">
        <f t="shared" si="2"/>
        <v>2025</v>
      </c>
      <c r="I69" s="92" t="s">
        <v>426</v>
      </c>
      <c r="J69" s="87" t="s">
        <v>460</v>
      </c>
      <c r="L69" s="93"/>
    </row>
    <row r="70" spans="1:12">
      <c r="A70" s="75" t="str">
        <f t="shared" si="0"/>
        <v/>
      </c>
      <c r="B70" s="87">
        <f>IF(D70="","",COUNTIF($D$10:D70,D70))</f>
        <v>30</v>
      </c>
      <c r="C70" s="88">
        <v>45807</v>
      </c>
      <c r="D70" s="87">
        <v>5</v>
      </c>
      <c r="E70" s="89" t="s">
        <v>449</v>
      </c>
      <c r="F70" s="90">
        <v>2</v>
      </c>
      <c r="G70" s="91" t="s">
        <v>466</v>
      </c>
      <c r="H70" s="91">
        <f t="shared" si="2"/>
        <v>2025</v>
      </c>
      <c r="I70" s="92" t="s">
        <v>426</v>
      </c>
      <c r="J70" s="87" t="s">
        <v>460</v>
      </c>
      <c r="L70" s="93"/>
    </row>
    <row r="71" spans="1:12">
      <c r="A71" s="75" t="str">
        <f t="shared" si="0"/>
        <v/>
      </c>
      <c r="B71" s="87" t="str">
        <f>IF(D71="","",COUNTIF($D$10:D71,D71))</f>
        <v/>
      </c>
      <c r="C71" s="92"/>
      <c r="D71" s="87"/>
      <c r="E71" s="89"/>
      <c r="F71" s="90"/>
      <c r="G71" s="91"/>
      <c r="H71" s="91"/>
      <c r="I71" s="92"/>
      <c r="J71" s="87"/>
    </row>
    <row r="72" spans="1:12">
      <c r="A72" s="75" t="str">
        <f t="shared" si="0"/>
        <v/>
      </c>
      <c r="B72" s="87">
        <f>IF(D72="","",COUNTIF($D$10:D72,D72))</f>
        <v>1</v>
      </c>
      <c r="C72" s="88">
        <v>45810</v>
      </c>
      <c r="D72" s="87">
        <v>6</v>
      </c>
      <c r="E72" s="89" t="s">
        <v>435</v>
      </c>
      <c r="F72" s="90">
        <v>4</v>
      </c>
      <c r="G72" s="91" t="s">
        <v>480</v>
      </c>
      <c r="H72" s="91">
        <f t="shared" ref="H72:H100" si="3">YEAR(C72)</f>
        <v>2025</v>
      </c>
      <c r="I72" s="92" t="s">
        <v>426</v>
      </c>
      <c r="J72" s="87" t="s">
        <v>481</v>
      </c>
      <c r="L72" s="93"/>
    </row>
    <row r="73" spans="1:12">
      <c r="A73" s="75" t="str">
        <f t="shared" si="0"/>
        <v/>
      </c>
      <c r="B73" s="87">
        <f>IF(D73="","",COUNTIF($D$10:D73,D73))</f>
        <v>2</v>
      </c>
      <c r="C73" s="88">
        <v>45810</v>
      </c>
      <c r="D73" s="87">
        <v>6</v>
      </c>
      <c r="E73" s="89" t="s">
        <v>449</v>
      </c>
      <c r="F73" s="90">
        <v>2</v>
      </c>
      <c r="G73" s="91" t="s">
        <v>482</v>
      </c>
      <c r="H73" s="91">
        <f t="shared" si="3"/>
        <v>2025</v>
      </c>
      <c r="I73" s="92" t="s">
        <v>426</v>
      </c>
      <c r="J73" s="87" t="s">
        <v>481</v>
      </c>
      <c r="L73" s="93"/>
    </row>
    <row r="74" spans="1:12">
      <c r="A74" s="75" t="str">
        <f t="shared" si="0"/>
        <v/>
      </c>
      <c r="B74" s="87">
        <f>IF(D74="","",COUNTIF($D$10:D74,D74))</f>
        <v>3</v>
      </c>
      <c r="C74" s="88">
        <v>45810</v>
      </c>
      <c r="D74" s="87">
        <v>6</v>
      </c>
      <c r="E74" s="89" t="s">
        <v>449</v>
      </c>
      <c r="F74" s="90">
        <v>2</v>
      </c>
      <c r="G74" s="91" t="s">
        <v>467</v>
      </c>
      <c r="H74" s="91">
        <f t="shared" si="3"/>
        <v>2025</v>
      </c>
      <c r="I74" s="92" t="s">
        <v>426</v>
      </c>
      <c r="J74" s="87" t="s">
        <v>481</v>
      </c>
      <c r="L74" s="93"/>
    </row>
    <row r="75" spans="1:12">
      <c r="A75" s="75" t="str">
        <f t="shared" ref="A75:A138" si="4">IF(AND($E$3="ALL",$E$4="ALL"),"ALL",IF(AND($E$3="ALL",$E$4&lt;&gt;"ALL"),IF(D75=$E$4,D75,""),IF(AND($E$3&lt;&gt;"ALL",$E$4="ALL"),IF(I75=$E$3,I75,""),"")))</f>
        <v/>
      </c>
      <c r="B75" s="87">
        <f>IF(D75="","",COUNTIF($D$10:D75,D75))</f>
        <v>4</v>
      </c>
      <c r="C75" s="88">
        <v>45811</v>
      </c>
      <c r="D75" s="87">
        <v>6</v>
      </c>
      <c r="E75" s="89" t="s">
        <v>447</v>
      </c>
      <c r="F75" s="90">
        <v>2</v>
      </c>
      <c r="G75" s="91" t="s">
        <v>483</v>
      </c>
      <c r="H75" s="91">
        <f t="shared" si="3"/>
        <v>2025</v>
      </c>
      <c r="I75" s="92" t="s">
        <v>426</v>
      </c>
      <c r="J75" s="87" t="s">
        <v>481</v>
      </c>
      <c r="L75" s="93"/>
    </row>
    <row r="76" spans="1:12">
      <c r="A76" s="75" t="str">
        <f t="shared" si="4"/>
        <v/>
      </c>
      <c r="B76" s="87">
        <f>IF(D76="","",COUNTIF($D$10:D76,D76))</f>
        <v>5</v>
      </c>
      <c r="C76" s="88">
        <v>45811</v>
      </c>
      <c r="D76" s="87">
        <v>6</v>
      </c>
      <c r="E76" s="89" t="s">
        <v>447</v>
      </c>
      <c r="F76" s="90">
        <v>2</v>
      </c>
      <c r="G76" s="91" t="s">
        <v>484</v>
      </c>
      <c r="H76" s="91">
        <f t="shared" si="3"/>
        <v>2025</v>
      </c>
      <c r="I76" s="92" t="s">
        <v>426</v>
      </c>
      <c r="J76" s="87" t="s">
        <v>481</v>
      </c>
      <c r="L76" s="93"/>
    </row>
    <row r="77" spans="1:12">
      <c r="A77" s="75" t="str">
        <f t="shared" si="4"/>
        <v/>
      </c>
      <c r="B77" s="87">
        <f>IF(D77="","",COUNTIF($D$10:D77,D77))</f>
        <v>6</v>
      </c>
      <c r="C77" s="88">
        <v>45812</v>
      </c>
      <c r="D77" s="87">
        <v>6</v>
      </c>
      <c r="E77" s="89" t="s">
        <v>447</v>
      </c>
      <c r="F77" s="90">
        <v>2</v>
      </c>
      <c r="G77" s="91" t="s">
        <v>485</v>
      </c>
      <c r="H77" s="91">
        <f t="shared" si="3"/>
        <v>2025</v>
      </c>
      <c r="I77" s="92" t="s">
        <v>426</v>
      </c>
      <c r="J77" s="87" t="s">
        <v>481</v>
      </c>
      <c r="L77" s="93"/>
    </row>
    <row r="78" spans="1:12">
      <c r="A78" s="75" t="str">
        <f t="shared" si="4"/>
        <v/>
      </c>
      <c r="B78" s="87">
        <f>IF(D78="","",COUNTIF($D$10:D78,D78))</f>
        <v>7</v>
      </c>
      <c r="C78" s="88">
        <v>45812</v>
      </c>
      <c r="D78" s="87">
        <v>6</v>
      </c>
      <c r="E78" s="89" t="s">
        <v>447</v>
      </c>
      <c r="F78" s="90">
        <v>2</v>
      </c>
      <c r="G78" s="91" t="s">
        <v>486</v>
      </c>
      <c r="H78" s="91">
        <f t="shared" si="3"/>
        <v>2025</v>
      </c>
      <c r="I78" s="92" t="s">
        <v>426</v>
      </c>
      <c r="J78" s="87" t="s">
        <v>481</v>
      </c>
      <c r="L78" s="93"/>
    </row>
    <row r="79" spans="1:12">
      <c r="A79" s="75" t="str">
        <f t="shared" si="4"/>
        <v/>
      </c>
      <c r="B79" s="87">
        <f>IF(D79="","",COUNTIF($D$10:D79,D79))</f>
        <v>8</v>
      </c>
      <c r="C79" s="88">
        <v>45813</v>
      </c>
      <c r="D79" s="87">
        <v>6</v>
      </c>
      <c r="E79" s="89" t="s">
        <v>449</v>
      </c>
      <c r="F79" s="90">
        <v>2</v>
      </c>
      <c r="G79" s="91" t="s">
        <v>455</v>
      </c>
      <c r="H79" s="91">
        <f t="shared" si="3"/>
        <v>2025</v>
      </c>
      <c r="I79" s="92" t="s">
        <v>426</v>
      </c>
      <c r="J79" s="87" t="s">
        <v>481</v>
      </c>
      <c r="L79" s="93"/>
    </row>
    <row r="80" spans="1:12">
      <c r="A80" s="75" t="str">
        <f t="shared" si="4"/>
        <v/>
      </c>
      <c r="B80" s="87">
        <f>IF(D80="","",COUNTIF($D$10:D80,D80))</f>
        <v>9</v>
      </c>
      <c r="C80" s="88">
        <v>45813</v>
      </c>
      <c r="D80" s="87">
        <v>6</v>
      </c>
      <c r="E80" s="89" t="s">
        <v>449</v>
      </c>
      <c r="F80" s="90">
        <v>2</v>
      </c>
      <c r="G80" s="91" t="s">
        <v>487</v>
      </c>
      <c r="H80" s="91">
        <f t="shared" si="3"/>
        <v>2025</v>
      </c>
      <c r="I80" s="92" t="s">
        <v>426</v>
      </c>
      <c r="J80" s="87" t="s">
        <v>481</v>
      </c>
      <c r="L80" s="93"/>
    </row>
    <row r="81" spans="1:12">
      <c r="A81" s="75" t="str">
        <f t="shared" si="4"/>
        <v/>
      </c>
      <c r="B81" s="87">
        <f>IF(D81="","",COUNTIF($D$10:D81,D81))</f>
        <v>10</v>
      </c>
      <c r="C81" s="88">
        <v>45815</v>
      </c>
      <c r="D81" s="87">
        <v>6</v>
      </c>
      <c r="E81" s="89" t="s">
        <v>431</v>
      </c>
      <c r="F81" s="90">
        <v>4</v>
      </c>
      <c r="G81" s="91" t="s">
        <v>488</v>
      </c>
      <c r="H81" s="91">
        <f t="shared" si="3"/>
        <v>2025</v>
      </c>
      <c r="I81" s="92" t="s">
        <v>426</v>
      </c>
      <c r="J81" s="87" t="s">
        <v>481</v>
      </c>
      <c r="L81" s="93"/>
    </row>
    <row r="82" spans="1:12">
      <c r="A82" s="75" t="str">
        <f t="shared" si="4"/>
        <v/>
      </c>
      <c r="B82" s="87">
        <f>IF(D82="","",COUNTIF($D$10:D82,D82))</f>
        <v>11</v>
      </c>
      <c r="C82" s="88">
        <v>45816</v>
      </c>
      <c r="D82" s="87">
        <v>6</v>
      </c>
      <c r="E82" s="89" t="s">
        <v>431</v>
      </c>
      <c r="F82" s="90">
        <v>4</v>
      </c>
      <c r="G82" s="91" t="s">
        <v>489</v>
      </c>
      <c r="H82" s="91">
        <f t="shared" si="3"/>
        <v>2025</v>
      </c>
      <c r="I82" s="92" t="s">
        <v>426</v>
      </c>
      <c r="J82" s="87" t="s">
        <v>481</v>
      </c>
      <c r="L82" s="93"/>
    </row>
    <row r="83" spans="1:12">
      <c r="A83" s="75" t="str">
        <f t="shared" si="4"/>
        <v/>
      </c>
      <c r="B83" s="87">
        <f>IF(D83="","",COUNTIF($D$10:D83,D83))</f>
        <v>12</v>
      </c>
      <c r="C83" s="88">
        <v>45816</v>
      </c>
      <c r="D83" s="87">
        <v>6</v>
      </c>
      <c r="E83" s="89" t="s">
        <v>431</v>
      </c>
      <c r="F83" s="90">
        <v>4</v>
      </c>
      <c r="G83" s="91" t="s">
        <v>490</v>
      </c>
      <c r="H83" s="91">
        <f t="shared" si="3"/>
        <v>2025</v>
      </c>
      <c r="I83" s="92" t="s">
        <v>426</v>
      </c>
      <c r="J83" s="87" t="s">
        <v>481</v>
      </c>
      <c r="L83" s="93"/>
    </row>
    <row r="84" spans="1:12">
      <c r="A84" s="75" t="str">
        <f t="shared" si="4"/>
        <v/>
      </c>
      <c r="B84" s="87">
        <f>IF(D84="","",COUNTIF($D$10:D84,D84))</f>
        <v>13</v>
      </c>
      <c r="C84" s="88">
        <v>45817</v>
      </c>
      <c r="D84" s="87">
        <v>6</v>
      </c>
      <c r="E84" s="89" t="s">
        <v>453</v>
      </c>
      <c r="F84" s="90">
        <v>4</v>
      </c>
      <c r="G84" s="91" t="s">
        <v>491</v>
      </c>
      <c r="H84" s="91">
        <f t="shared" si="3"/>
        <v>2025</v>
      </c>
      <c r="I84" s="92" t="s">
        <v>426</v>
      </c>
      <c r="J84" s="87" t="s">
        <v>481</v>
      </c>
      <c r="L84" s="93"/>
    </row>
    <row r="85" spans="1:12">
      <c r="A85" s="75" t="str">
        <f t="shared" si="4"/>
        <v/>
      </c>
      <c r="B85" s="87">
        <f>IF(D85="","",COUNTIF($D$10:D85,D85))</f>
        <v>14</v>
      </c>
      <c r="C85" s="88">
        <v>45821</v>
      </c>
      <c r="D85" s="87">
        <v>6</v>
      </c>
      <c r="E85" s="89" t="s">
        <v>431</v>
      </c>
      <c r="F85" s="90">
        <v>4</v>
      </c>
      <c r="G85" s="91" t="s">
        <v>440</v>
      </c>
      <c r="H85" s="91">
        <f t="shared" si="3"/>
        <v>2025</v>
      </c>
      <c r="I85" s="92" t="s">
        <v>426</v>
      </c>
      <c r="J85" s="87" t="s">
        <v>481</v>
      </c>
      <c r="L85" s="93"/>
    </row>
    <row r="86" spans="1:12">
      <c r="A86" s="75" t="str">
        <f t="shared" si="4"/>
        <v/>
      </c>
      <c r="B86" s="87">
        <f>IF(D86="","",COUNTIF($D$10:D86,D86))</f>
        <v>15</v>
      </c>
      <c r="C86" s="88">
        <v>45824</v>
      </c>
      <c r="D86" s="87">
        <v>6</v>
      </c>
      <c r="E86" s="89" t="s">
        <v>435</v>
      </c>
      <c r="F86" s="90">
        <v>4</v>
      </c>
      <c r="G86" s="91" t="s">
        <v>473</v>
      </c>
      <c r="H86" s="91">
        <f t="shared" si="3"/>
        <v>2025</v>
      </c>
      <c r="I86" s="92" t="s">
        <v>426</v>
      </c>
      <c r="J86" s="87" t="s">
        <v>481</v>
      </c>
      <c r="L86" s="93"/>
    </row>
    <row r="87" spans="1:12">
      <c r="A87" s="75" t="str">
        <f t="shared" si="4"/>
        <v/>
      </c>
      <c r="B87" s="87">
        <f>IF(D87="","",COUNTIF($D$10:D87,D87))</f>
        <v>16</v>
      </c>
      <c r="C87" s="88">
        <v>45825</v>
      </c>
      <c r="D87" s="87">
        <v>6</v>
      </c>
      <c r="E87" s="89" t="s">
        <v>492</v>
      </c>
      <c r="F87" s="90">
        <v>4</v>
      </c>
      <c r="G87" s="91" t="s">
        <v>491</v>
      </c>
      <c r="H87" s="91">
        <f t="shared" si="3"/>
        <v>2025</v>
      </c>
      <c r="I87" s="92" t="s">
        <v>426</v>
      </c>
      <c r="J87" s="87" t="s">
        <v>481</v>
      </c>
      <c r="L87" s="93"/>
    </row>
    <row r="88" spans="1:12">
      <c r="A88" s="75" t="str">
        <f t="shared" si="4"/>
        <v/>
      </c>
      <c r="B88" s="87">
        <f>IF(D88="","",COUNTIF($D$10:D88,D88))</f>
        <v>17</v>
      </c>
      <c r="C88" s="88">
        <v>45825</v>
      </c>
      <c r="D88" s="87">
        <v>6</v>
      </c>
      <c r="E88" s="89" t="s">
        <v>424</v>
      </c>
      <c r="F88" s="90">
        <v>4</v>
      </c>
      <c r="G88" s="91" t="s">
        <v>491</v>
      </c>
      <c r="H88" s="91">
        <f t="shared" si="3"/>
        <v>2025</v>
      </c>
      <c r="I88" s="92" t="s">
        <v>426</v>
      </c>
      <c r="J88" s="87" t="s">
        <v>481</v>
      </c>
      <c r="L88" s="93"/>
    </row>
    <row r="89" spans="1:12">
      <c r="A89" s="75" t="str">
        <f t="shared" si="4"/>
        <v/>
      </c>
      <c r="B89" s="87">
        <f>IF(D89="","",COUNTIF($D$10:D89,D89))</f>
        <v>18</v>
      </c>
      <c r="C89" s="88">
        <v>45826</v>
      </c>
      <c r="D89" s="87">
        <v>6</v>
      </c>
      <c r="E89" s="89" t="s">
        <v>453</v>
      </c>
      <c r="F89" s="90">
        <v>4</v>
      </c>
      <c r="G89" s="91" t="s">
        <v>493</v>
      </c>
      <c r="H89" s="91">
        <f t="shared" si="3"/>
        <v>2025</v>
      </c>
      <c r="I89" s="92" t="s">
        <v>426</v>
      </c>
      <c r="J89" s="87" t="s">
        <v>481</v>
      </c>
      <c r="L89" s="93"/>
    </row>
    <row r="90" spans="1:12">
      <c r="A90" s="75" t="str">
        <f t="shared" si="4"/>
        <v/>
      </c>
      <c r="B90" s="87">
        <f>IF(D90="","",COUNTIF($D$10:D90,D90))</f>
        <v>19</v>
      </c>
      <c r="C90" s="88">
        <v>45827</v>
      </c>
      <c r="D90" s="87">
        <v>6</v>
      </c>
      <c r="E90" s="89" t="s">
        <v>438</v>
      </c>
      <c r="F90" s="90">
        <v>4</v>
      </c>
      <c r="G90" s="91" t="s">
        <v>462</v>
      </c>
      <c r="H90" s="91">
        <f t="shared" si="3"/>
        <v>2025</v>
      </c>
      <c r="I90" s="92" t="s">
        <v>426</v>
      </c>
      <c r="J90" s="87" t="s">
        <v>481</v>
      </c>
      <c r="L90" s="93"/>
    </row>
    <row r="91" spans="1:12">
      <c r="A91" s="75" t="str">
        <f t="shared" si="4"/>
        <v/>
      </c>
      <c r="B91" s="87">
        <f>IF(D91="","",COUNTIF($D$10:D91,D91))</f>
        <v>20</v>
      </c>
      <c r="C91" s="88">
        <v>45828</v>
      </c>
      <c r="D91" s="87">
        <v>6</v>
      </c>
      <c r="E91" s="89" t="s">
        <v>431</v>
      </c>
      <c r="F91" s="90">
        <v>4</v>
      </c>
      <c r="G91" s="91" t="s">
        <v>462</v>
      </c>
      <c r="H91" s="91">
        <f t="shared" si="3"/>
        <v>2025</v>
      </c>
      <c r="I91" s="92" t="s">
        <v>426</v>
      </c>
      <c r="J91" s="87" t="s">
        <v>481</v>
      </c>
      <c r="L91" s="93"/>
    </row>
    <row r="92" spans="1:12">
      <c r="A92" s="75" t="str">
        <f t="shared" si="4"/>
        <v/>
      </c>
      <c r="B92" s="87">
        <f>IF(D92="","",COUNTIF($D$10:D92,D92))</f>
        <v>21</v>
      </c>
      <c r="C92" s="88">
        <v>45828</v>
      </c>
      <c r="D92" s="87">
        <v>6</v>
      </c>
      <c r="E92" s="89" t="s">
        <v>433</v>
      </c>
      <c r="F92" s="90">
        <v>4</v>
      </c>
      <c r="G92" s="91" t="s">
        <v>494</v>
      </c>
      <c r="H92" s="91">
        <f t="shared" si="3"/>
        <v>2025</v>
      </c>
      <c r="I92" s="92" t="s">
        <v>426</v>
      </c>
      <c r="J92" s="87" t="s">
        <v>481</v>
      </c>
      <c r="L92" s="93"/>
    </row>
    <row r="93" spans="1:12">
      <c r="A93" s="75" t="str">
        <f t="shared" si="4"/>
        <v/>
      </c>
      <c r="B93" s="87">
        <f>IF(D93="","",COUNTIF($D$10:D93,D93))</f>
        <v>22</v>
      </c>
      <c r="C93" s="88">
        <v>45829</v>
      </c>
      <c r="D93" s="87">
        <v>6</v>
      </c>
      <c r="E93" s="89" t="s">
        <v>435</v>
      </c>
      <c r="F93" s="90">
        <v>4</v>
      </c>
      <c r="G93" s="91" t="s">
        <v>461</v>
      </c>
      <c r="H93" s="91">
        <f t="shared" si="3"/>
        <v>2025</v>
      </c>
      <c r="I93" s="92" t="s">
        <v>426</v>
      </c>
      <c r="J93" s="87" t="s">
        <v>481</v>
      </c>
      <c r="L93" s="93"/>
    </row>
    <row r="94" spans="1:12">
      <c r="A94" s="75" t="str">
        <f t="shared" si="4"/>
        <v/>
      </c>
      <c r="B94" s="87">
        <f>IF(D94="","",COUNTIF($D$10:D94,D94))</f>
        <v>23</v>
      </c>
      <c r="C94" s="88">
        <v>45831</v>
      </c>
      <c r="D94" s="87">
        <v>6</v>
      </c>
      <c r="E94" s="89" t="s">
        <v>492</v>
      </c>
      <c r="F94" s="90">
        <v>4</v>
      </c>
      <c r="G94" s="91" t="s">
        <v>473</v>
      </c>
      <c r="H94" s="91">
        <f t="shared" si="3"/>
        <v>2025</v>
      </c>
      <c r="I94" s="92" t="s">
        <v>426</v>
      </c>
      <c r="J94" s="87" t="s">
        <v>481</v>
      </c>
      <c r="L94" s="93"/>
    </row>
    <row r="95" spans="1:12">
      <c r="A95" s="75" t="str">
        <f t="shared" si="4"/>
        <v/>
      </c>
      <c r="B95" s="87">
        <f>IF(D95="","",COUNTIF($D$10:D95,D95))</f>
        <v>24</v>
      </c>
      <c r="C95" s="88">
        <v>45832</v>
      </c>
      <c r="D95" s="87">
        <v>6</v>
      </c>
      <c r="E95" s="89" t="s">
        <v>438</v>
      </c>
      <c r="F95" s="90">
        <v>4</v>
      </c>
      <c r="G95" s="91" t="s">
        <v>448</v>
      </c>
      <c r="H95" s="91">
        <f t="shared" si="3"/>
        <v>2025</v>
      </c>
      <c r="I95" s="92" t="s">
        <v>426</v>
      </c>
      <c r="J95" s="87" t="s">
        <v>481</v>
      </c>
      <c r="L95" s="93"/>
    </row>
    <row r="96" spans="1:12">
      <c r="A96" s="75" t="str">
        <f t="shared" si="4"/>
        <v/>
      </c>
      <c r="B96" s="87">
        <f>IF(D96="","",COUNTIF($D$10:D96,D96))</f>
        <v>25</v>
      </c>
      <c r="C96" s="88">
        <v>45833</v>
      </c>
      <c r="D96" s="87">
        <v>6</v>
      </c>
      <c r="E96" s="89" t="s">
        <v>453</v>
      </c>
      <c r="F96" s="90">
        <v>4</v>
      </c>
      <c r="G96" s="91" t="s">
        <v>473</v>
      </c>
      <c r="H96" s="91">
        <f t="shared" si="3"/>
        <v>2025</v>
      </c>
      <c r="I96" s="92" t="s">
        <v>426</v>
      </c>
      <c r="J96" s="87" t="s">
        <v>481</v>
      </c>
      <c r="L96" s="93"/>
    </row>
    <row r="97" spans="1:12">
      <c r="A97" s="75" t="str">
        <f t="shared" si="4"/>
        <v/>
      </c>
      <c r="B97" s="87">
        <f>IF(D97="","",COUNTIF($D$10:D97,D97))</f>
        <v>26</v>
      </c>
      <c r="C97" s="88">
        <v>45835</v>
      </c>
      <c r="D97" s="87">
        <v>6</v>
      </c>
      <c r="E97" s="89" t="s">
        <v>492</v>
      </c>
      <c r="F97" s="90">
        <v>4</v>
      </c>
      <c r="G97" s="91" t="s">
        <v>439</v>
      </c>
      <c r="H97" s="91">
        <f t="shared" si="3"/>
        <v>2025</v>
      </c>
      <c r="I97" s="92" t="s">
        <v>426</v>
      </c>
      <c r="J97" s="87" t="s">
        <v>481</v>
      </c>
      <c r="L97" s="93"/>
    </row>
    <row r="98" spans="1:12">
      <c r="A98" s="75" t="str">
        <f t="shared" si="4"/>
        <v/>
      </c>
      <c r="B98" s="87">
        <f>IF(D98="","",COUNTIF($D$10:D98,D98))</f>
        <v>27</v>
      </c>
      <c r="C98" s="88">
        <v>45835</v>
      </c>
      <c r="D98" s="87">
        <v>6</v>
      </c>
      <c r="E98" s="89" t="s">
        <v>435</v>
      </c>
      <c r="F98" s="90">
        <v>4</v>
      </c>
      <c r="G98" s="91" t="s">
        <v>495</v>
      </c>
      <c r="H98" s="91">
        <f t="shared" si="3"/>
        <v>2025</v>
      </c>
      <c r="I98" s="92" t="s">
        <v>426</v>
      </c>
      <c r="J98" s="87" t="s">
        <v>481</v>
      </c>
      <c r="L98" s="93"/>
    </row>
    <row r="99" spans="1:12">
      <c r="A99" s="75" t="str">
        <f t="shared" si="4"/>
        <v/>
      </c>
      <c r="B99" s="87">
        <f>IF(D99="","",COUNTIF($D$10:D99,D99))</f>
        <v>28</v>
      </c>
      <c r="C99" s="88">
        <v>45836</v>
      </c>
      <c r="D99" s="87">
        <v>6</v>
      </c>
      <c r="E99" s="89" t="s">
        <v>433</v>
      </c>
      <c r="F99" s="90">
        <v>4</v>
      </c>
      <c r="G99" s="91" t="s">
        <v>491</v>
      </c>
      <c r="H99" s="91">
        <f t="shared" si="3"/>
        <v>2025</v>
      </c>
      <c r="I99" s="92" t="s">
        <v>426</v>
      </c>
      <c r="J99" s="87" t="s">
        <v>481</v>
      </c>
      <c r="L99" s="93"/>
    </row>
    <row r="100" spans="1:12">
      <c r="A100" s="75" t="str">
        <f t="shared" si="4"/>
        <v/>
      </c>
      <c r="B100" s="87">
        <f>IF(D100="","",COUNTIF($D$10:D100,D100))</f>
        <v>29</v>
      </c>
      <c r="C100" s="88">
        <v>45838</v>
      </c>
      <c r="D100" s="87">
        <v>6</v>
      </c>
      <c r="E100" s="89" t="s">
        <v>438</v>
      </c>
      <c r="F100" s="90">
        <v>4</v>
      </c>
      <c r="G100" s="91" t="s">
        <v>496</v>
      </c>
      <c r="H100" s="91">
        <f t="shared" si="3"/>
        <v>2025</v>
      </c>
      <c r="I100" s="92" t="s">
        <v>426</v>
      </c>
      <c r="J100" s="87" t="s">
        <v>481</v>
      </c>
      <c r="L100" s="93"/>
    </row>
    <row r="101" spans="1:12">
      <c r="A101" s="75" t="str">
        <f t="shared" si="4"/>
        <v/>
      </c>
      <c r="B101" s="87" t="str">
        <f>IF(D101="","",COUNTIF($D$10:D101,D101))</f>
        <v/>
      </c>
    </row>
    <row r="102" spans="1:12">
      <c r="A102" s="75" t="str">
        <f t="shared" si="4"/>
        <v/>
      </c>
      <c r="B102" s="87">
        <f>IF(D102="","",COUNTIF($D$10:D102,D102))</f>
        <v>1</v>
      </c>
      <c r="C102" s="88">
        <v>45840</v>
      </c>
      <c r="D102" s="76">
        <v>7</v>
      </c>
      <c r="E102" s="77" t="s">
        <v>438</v>
      </c>
      <c r="F102" s="95">
        <v>4</v>
      </c>
      <c r="G102" s="78" t="s">
        <v>497</v>
      </c>
      <c r="H102" s="91">
        <f t="shared" ref="H102:H129" si="5">YEAR(C102)</f>
        <v>2025</v>
      </c>
      <c r="I102" s="7" t="s">
        <v>426</v>
      </c>
      <c r="J102" s="76" t="s">
        <v>498</v>
      </c>
      <c r="L102" s="93"/>
    </row>
    <row r="103" spans="1:12">
      <c r="A103" s="75" t="str">
        <f t="shared" si="4"/>
        <v/>
      </c>
      <c r="B103" s="87">
        <f>IF(D103="","",COUNTIF($D$10:D103,D103))</f>
        <v>2</v>
      </c>
      <c r="C103" s="88">
        <v>45840</v>
      </c>
      <c r="D103" s="76">
        <v>7</v>
      </c>
      <c r="E103" s="77" t="s">
        <v>453</v>
      </c>
      <c r="F103" s="95">
        <v>4</v>
      </c>
      <c r="G103" s="78" t="s">
        <v>499</v>
      </c>
      <c r="H103" s="91">
        <f t="shared" si="5"/>
        <v>2025</v>
      </c>
      <c r="I103" s="7" t="s">
        <v>426</v>
      </c>
      <c r="J103" s="76" t="s">
        <v>498</v>
      </c>
      <c r="L103" s="93"/>
    </row>
    <row r="104" spans="1:12">
      <c r="A104" s="75" t="str">
        <f t="shared" si="4"/>
        <v/>
      </c>
      <c r="B104" s="87">
        <f>IF(D104="","",COUNTIF($D$10:D104,D104))</f>
        <v>3</v>
      </c>
      <c r="C104" s="88">
        <v>45849</v>
      </c>
      <c r="D104" s="76">
        <v>7</v>
      </c>
      <c r="E104" s="77" t="s">
        <v>492</v>
      </c>
      <c r="F104" s="95">
        <v>4</v>
      </c>
      <c r="G104" s="78" t="s">
        <v>500</v>
      </c>
      <c r="H104" s="91">
        <f t="shared" si="5"/>
        <v>2025</v>
      </c>
      <c r="I104" s="7" t="s">
        <v>426</v>
      </c>
      <c r="J104" s="76" t="s">
        <v>498</v>
      </c>
      <c r="L104" s="93"/>
    </row>
    <row r="105" spans="1:12">
      <c r="A105" s="75" t="str">
        <f t="shared" si="4"/>
        <v/>
      </c>
      <c r="B105" s="87">
        <f>IF(D105="","",COUNTIF($D$10:D105,D105))</f>
        <v>4</v>
      </c>
      <c r="C105" s="88">
        <v>45852</v>
      </c>
      <c r="D105" s="76">
        <v>7</v>
      </c>
      <c r="E105" s="77" t="s">
        <v>435</v>
      </c>
      <c r="F105" s="95">
        <v>4</v>
      </c>
      <c r="G105" s="78" t="s">
        <v>501</v>
      </c>
      <c r="H105" s="91">
        <f t="shared" si="5"/>
        <v>2025</v>
      </c>
      <c r="I105" s="7" t="s">
        <v>426</v>
      </c>
      <c r="J105" s="76" t="s">
        <v>498</v>
      </c>
      <c r="L105" s="93"/>
    </row>
    <row r="106" spans="1:12">
      <c r="A106" s="75" t="str">
        <f t="shared" si="4"/>
        <v/>
      </c>
      <c r="B106" s="87">
        <f>IF(D106="","",COUNTIF($D$10:D106,D106))</f>
        <v>5</v>
      </c>
      <c r="C106" s="88">
        <v>45852</v>
      </c>
      <c r="D106" s="76">
        <v>7</v>
      </c>
      <c r="E106" s="77" t="s">
        <v>433</v>
      </c>
      <c r="F106" s="95">
        <v>4</v>
      </c>
      <c r="G106" s="78" t="s">
        <v>502</v>
      </c>
      <c r="H106" s="91">
        <f t="shared" si="5"/>
        <v>2025</v>
      </c>
      <c r="I106" s="7" t="s">
        <v>426</v>
      </c>
      <c r="J106" s="76" t="s">
        <v>498</v>
      </c>
      <c r="L106" s="93"/>
    </row>
    <row r="107" spans="1:12">
      <c r="A107" s="75" t="str">
        <f t="shared" si="4"/>
        <v/>
      </c>
      <c r="B107" s="87">
        <f>IF(D107="","",COUNTIF($D$10:D107,D107))</f>
        <v>6</v>
      </c>
      <c r="C107" s="88">
        <v>45855</v>
      </c>
      <c r="D107" s="76">
        <v>7</v>
      </c>
      <c r="E107" s="77" t="s">
        <v>503</v>
      </c>
      <c r="F107" s="95">
        <v>2</v>
      </c>
      <c r="G107" s="78" t="s">
        <v>504</v>
      </c>
      <c r="H107" s="91">
        <f t="shared" si="5"/>
        <v>2025</v>
      </c>
      <c r="I107" s="7" t="s">
        <v>426</v>
      </c>
      <c r="J107" s="76" t="s">
        <v>498</v>
      </c>
      <c r="L107" s="93"/>
    </row>
    <row r="108" spans="1:12">
      <c r="A108" s="75" t="str">
        <f t="shared" si="4"/>
        <v/>
      </c>
      <c r="B108" s="87">
        <f>IF(D108="","",COUNTIF($D$10:D108,D108))</f>
        <v>7</v>
      </c>
      <c r="C108" s="88">
        <v>45855</v>
      </c>
      <c r="D108" s="76">
        <v>7</v>
      </c>
      <c r="E108" s="77" t="s">
        <v>503</v>
      </c>
      <c r="F108" s="95">
        <v>2</v>
      </c>
      <c r="G108" s="78" t="s">
        <v>488</v>
      </c>
      <c r="H108" s="91">
        <f t="shared" si="5"/>
        <v>2025</v>
      </c>
      <c r="I108" s="7" t="s">
        <v>426</v>
      </c>
      <c r="J108" s="76" t="s">
        <v>498</v>
      </c>
      <c r="L108" s="93"/>
    </row>
    <row r="109" spans="1:12">
      <c r="A109" s="75" t="str">
        <f t="shared" si="4"/>
        <v/>
      </c>
      <c r="B109" s="87">
        <f>IF(D109="","",COUNTIF($D$10:D109,D109))</f>
        <v>8</v>
      </c>
      <c r="C109" s="88">
        <v>45856</v>
      </c>
      <c r="D109" s="76">
        <v>7</v>
      </c>
      <c r="E109" s="77" t="s">
        <v>503</v>
      </c>
      <c r="F109" s="95">
        <v>2</v>
      </c>
      <c r="G109" s="78" t="s">
        <v>505</v>
      </c>
      <c r="H109" s="91">
        <f t="shared" si="5"/>
        <v>2025</v>
      </c>
      <c r="I109" s="7" t="s">
        <v>426</v>
      </c>
      <c r="J109" s="76" t="s">
        <v>498</v>
      </c>
      <c r="L109" s="93"/>
    </row>
    <row r="110" spans="1:12">
      <c r="A110" s="75" t="str">
        <f t="shared" si="4"/>
        <v/>
      </c>
      <c r="B110" s="87">
        <f>IF(D110="","",COUNTIF($D$10:D110,D110))</f>
        <v>9</v>
      </c>
      <c r="C110" s="88">
        <v>45856</v>
      </c>
      <c r="D110" s="76">
        <v>7</v>
      </c>
      <c r="E110" s="77" t="s">
        <v>503</v>
      </c>
      <c r="F110" s="95">
        <v>2</v>
      </c>
      <c r="G110" s="78" t="s">
        <v>506</v>
      </c>
      <c r="H110" s="91">
        <f t="shared" si="5"/>
        <v>2025</v>
      </c>
      <c r="I110" s="7" t="s">
        <v>426</v>
      </c>
      <c r="J110" s="76" t="s">
        <v>498</v>
      </c>
      <c r="L110" s="93"/>
    </row>
    <row r="111" spans="1:12">
      <c r="A111" s="75" t="str">
        <f t="shared" si="4"/>
        <v/>
      </c>
      <c r="B111" s="87">
        <f>IF(D111="","",COUNTIF($D$10:D111,D111))</f>
        <v>10</v>
      </c>
      <c r="C111" s="88">
        <v>45857</v>
      </c>
      <c r="D111" s="76">
        <v>7</v>
      </c>
      <c r="E111" s="77" t="s">
        <v>503</v>
      </c>
      <c r="F111" s="95">
        <v>2</v>
      </c>
      <c r="G111" s="78" t="s">
        <v>494</v>
      </c>
      <c r="H111" s="91">
        <f t="shared" si="5"/>
        <v>2025</v>
      </c>
      <c r="I111" s="7" t="s">
        <v>426</v>
      </c>
      <c r="J111" s="76" t="s">
        <v>498</v>
      </c>
      <c r="L111" s="93"/>
    </row>
    <row r="112" spans="1:12">
      <c r="A112" s="75" t="str">
        <f t="shared" si="4"/>
        <v/>
      </c>
      <c r="B112" s="87">
        <f>IF(D112="","",COUNTIF($D$10:D112,D112))</f>
        <v>11</v>
      </c>
      <c r="C112" s="88">
        <v>45857</v>
      </c>
      <c r="D112" s="76">
        <v>7</v>
      </c>
      <c r="E112" s="77" t="s">
        <v>503</v>
      </c>
      <c r="F112" s="95">
        <v>2</v>
      </c>
      <c r="G112" s="78" t="s">
        <v>507</v>
      </c>
      <c r="H112" s="91">
        <f t="shared" si="5"/>
        <v>2025</v>
      </c>
      <c r="I112" s="7" t="s">
        <v>426</v>
      </c>
      <c r="J112" s="76" t="s">
        <v>498</v>
      </c>
      <c r="L112" s="93"/>
    </row>
    <row r="113" spans="1:12">
      <c r="A113" s="75" t="str">
        <f t="shared" si="4"/>
        <v/>
      </c>
      <c r="B113" s="87">
        <f>IF(D113="","",COUNTIF($D$10:D113,D113))</f>
        <v>12</v>
      </c>
      <c r="C113" s="88">
        <v>45859</v>
      </c>
      <c r="D113" s="76">
        <v>7</v>
      </c>
      <c r="E113" s="77" t="s">
        <v>424</v>
      </c>
      <c r="F113" s="95">
        <v>4</v>
      </c>
      <c r="G113" s="78" t="s">
        <v>461</v>
      </c>
      <c r="H113" s="91">
        <f t="shared" si="5"/>
        <v>2025</v>
      </c>
      <c r="I113" s="7" t="s">
        <v>426</v>
      </c>
      <c r="J113" s="76" t="s">
        <v>498</v>
      </c>
      <c r="L113" s="93"/>
    </row>
    <row r="114" spans="1:12">
      <c r="A114" s="75" t="str">
        <f t="shared" si="4"/>
        <v/>
      </c>
      <c r="B114" s="87">
        <f>IF(D114="","",COUNTIF($D$10:D114,D114))</f>
        <v>13</v>
      </c>
      <c r="C114" s="88">
        <v>45860</v>
      </c>
      <c r="D114" s="76">
        <v>7</v>
      </c>
      <c r="E114" s="77" t="s">
        <v>492</v>
      </c>
      <c r="F114" s="95">
        <v>4</v>
      </c>
      <c r="G114" s="78" t="s">
        <v>508</v>
      </c>
      <c r="H114" s="91">
        <f t="shared" si="5"/>
        <v>2025</v>
      </c>
      <c r="I114" s="7" t="s">
        <v>426</v>
      </c>
      <c r="J114" s="76" t="s">
        <v>498</v>
      </c>
      <c r="L114" s="93"/>
    </row>
    <row r="115" spans="1:12">
      <c r="A115" s="75" t="str">
        <f t="shared" si="4"/>
        <v/>
      </c>
      <c r="B115" s="87">
        <f>IF(D115="","",COUNTIF($D$10:D115,D115))</f>
        <v>14</v>
      </c>
      <c r="C115" s="88">
        <v>45861</v>
      </c>
      <c r="D115" s="76">
        <v>7</v>
      </c>
      <c r="E115" s="77" t="s">
        <v>433</v>
      </c>
      <c r="F115" s="95">
        <v>4</v>
      </c>
      <c r="G115" s="78" t="s">
        <v>509</v>
      </c>
      <c r="H115" s="91">
        <f t="shared" si="5"/>
        <v>2025</v>
      </c>
      <c r="I115" s="7" t="s">
        <v>426</v>
      </c>
      <c r="J115" s="76" t="s">
        <v>498</v>
      </c>
      <c r="L115" s="93"/>
    </row>
    <row r="116" spans="1:12">
      <c r="A116" s="75" t="str">
        <f t="shared" si="4"/>
        <v/>
      </c>
      <c r="B116" s="87">
        <f>IF(D116="","",COUNTIF($D$10:D116,D116))</f>
        <v>15</v>
      </c>
      <c r="C116" s="88">
        <v>45862</v>
      </c>
      <c r="D116" s="76">
        <v>7</v>
      </c>
      <c r="E116" s="77" t="s">
        <v>424</v>
      </c>
      <c r="F116" s="95">
        <v>4</v>
      </c>
      <c r="G116" s="78" t="s">
        <v>510</v>
      </c>
      <c r="H116" s="91">
        <f t="shared" si="5"/>
        <v>2025</v>
      </c>
      <c r="I116" s="7" t="s">
        <v>426</v>
      </c>
      <c r="J116" s="76" t="s">
        <v>498</v>
      </c>
      <c r="L116" s="93"/>
    </row>
    <row r="117" spans="1:12">
      <c r="A117" s="75" t="str">
        <f t="shared" si="4"/>
        <v/>
      </c>
      <c r="B117" s="87">
        <f>IF(D117="","",COUNTIF($D$10:D117,D117))</f>
        <v>16</v>
      </c>
      <c r="C117" s="88">
        <v>45862</v>
      </c>
      <c r="D117" s="76">
        <v>7</v>
      </c>
      <c r="E117" s="77" t="s">
        <v>431</v>
      </c>
      <c r="F117" s="95">
        <v>4</v>
      </c>
      <c r="G117" s="78" t="s">
        <v>511</v>
      </c>
      <c r="H117" s="91">
        <f t="shared" si="5"/>
        <v>2025</v>
      </c>
      <c r="I117" s="7" t="s">
        <v>426</v>
      </c>
      <c r="J117" s="76" t="s">
        <v>498</v>
      </c>
      <c r="L117" s="93"/>
    </row>
    <row r="118" spans="1:12">
      <c r="A118" s="75" t="str">
        <f t="shared" si="4"/>
        <v/>
      </c>
      <c r="B118" s="87">
        <f>IF(D118="","",COUNTIF($D$10:D118,D118))</f>
        <v>17</v>
      </c>
      <c r="C118" s="88">
        <v>45863</v>
      </c>
      <c r="D118" s="76">
        <v>7</v>
      </c>
      <c r="E118" s="77" t="s">
        <v>438</v>
      </c>
      <c r="F118" s="95">
        <v>4</v>
      </c>
      <c r="G118" s="78" t="s">
        <v>512</v>
      </c>
      <c r="H118" s="91">
        <f t="shared" si="5"/>
        <v>2025</v>
      </c>
      <c r="I118" s="7" t="s">
        <v>426</v>
      </c>
      <c r="J118" s="76" t="s">
        <v>498</v>
      </c>
      <c r="L118" s="93"/>
    </row>
    <row r="119" spans="1:12">
      <c r="A119" s="75" t="str">
        <f t="shared" si="4"/>
        <v/>
      </c>
      <c r="B119" s="87">
        <f>IF(D119="","",COUNTIF($D$10:D119,D119))</f>
        <v>18</v>
      </c>
      <c r="C119" s="88">
        <v>45864</v>
      </c>
      <c r="D119" s="76">
        <v>7</v>
      </c>
      <c r="E119" s="77" t="s">
        <v>433</v>
      </c>
      <c r="F119" s="95">
        <v>4</v>
      </c>
      <c r="G119" s="78" t="s">
        <v>440</v>
      </c>
      <c r="H119" s="91">
        <f t="shared" si="5"/>
        <v>2025</v>
      </c>
      <c r="I119" s="7" t="s">
        <v>426</v>
      </c>
      <c r="J119" s="76" t="s">
        <v>498</v>
      </c>
      <c r="L119" s="93"/>
    </row>
    <row r="120" spans="1:12">
      <c r="A120" s="75" t="str">
        <f t="shared" si="4"/>
        <v/>
      </c>
      <c r="B120" s="87">
        <f>IF(D120="","",COUNTIF($D$10:D120,D120))</f>
        <v>19</v>
      </c>
      <c r="C120" s="88">
        <v>45864</v>
      </c>
      <c r="D120" s="76">
        <v>7</v>
      </c>
      <c r="E120" s="77" t="s">
        <v>424</v>
      </c>
      <c r="F120" s="95">
        <v>4</v>
      </c>
      <c r="G120" s="78" t="s">
        <v>459</v>
      </c>
      <c r="H120" s="91">
        <f t="shared" si="5"/>
        <v>2025</v>
      </c>
      <c r="I120" s="7" t="s">
        <v>426</v>
      </c>
      <c r="J120" s="76" t="s">
        <v>498</v>
      </c>
      <c r="L120" s="93"/>
    </row>
    <row r="121" spans="1:12">
      <c r="A121" s="75" t="str">
        <f t="shared" si="4"/>
        <v/>
      </c>
      <c r="B121" s="87">
        <f>IF(D121="","",COUNTIF($D$10:D121,D121))</f>
        <v>20</v>
      </c>
      <c r="C121" s="88">
        <v>45866</v>
      </c>
      <c r="D121" s="76">
        <v>7</v>
      </c>
      <c r="E121" s="77" t="s">
        <v>453</v>
      </c>
      <c r="F121" s="95">
        <v>4</v>
      </c>
      <c r="G121" s="78" t="s">
        <v>513</v>
      </c>
      <c r="H121" s="91">
        <f t="shared" si="5"/>
        <v>2025</v>
      </c>
      <c r="I121" s="7" t="s">
        <v>426</v>
      </c>
      <c r="J121" s="76" t="s">
        <v>498</v>
      </c>
      <c r="L121" s="93"/>
    </row>
    <row r="122" spans="1:12">
      <c r="A122" s="75" t="str">
        <f t="shared" si="4"/>
        <v/>
      </c>
      <c r="B122" s="87">
        <f>IF(D122="","",COUNTIF($D$10:D122,D122))</f>
        <v>21</v>
      </c>
      <c r="C122" s="88">
        <v>45867</v>
      </c>
      <c r="D122" s="76">
        <v>7</v>
      </c>
      <c r="E122" s="77" t="s">
        <v>431</v>
      </c>
      <c r="F122" s="95">
        <v>4</v>
      </c>
      <c r="G122" s="78" t="s">
        <v>437</v>
      </c>
      <c r="H122" s="91">
        <f t="shared" si="5"/>
        <v>2025</v>
      </c>
      <c r="I122" s="7" t="s">
        <v>426</v>
      </c>
      <c r="J122" s="76" t="s">
        <v>498</v>
      </c>
      <c r="L122" s="93"/>
    </row>
    <row r="123" spans="1:12">
      <c r="A123" s="75" t="str">
        <f t="shared" si="4"/>
        <v/>
      </c>
      <c r="B123" s="87">
        <f>IF(D123="","",COUNTIF($D$10:D123,D123))</f>
        <v>22</v>
      </c>
      <c r="C123" s="88">
        <v>45867</v>
      </c>
      <c r="D123" s="76">
        <v>7</v>
      </c>
      <c r="E123" s="77" t="s">
        <v>492</v>
      </c>
      <c r="F123" s="95">
        <v>4</v>
      </c>
      <c r="G123" s="78" t="s">
        <v>429</v>
      </c>
      <c r="H123" s="91">
        <f t="shared" si="5"/>
        <v>2025</v>
      </c>
      <c r="I123" s="7" t="s">
        <v>426</v>
      </c>
      <c r="J123" s="76" t="s">
        <v>498</v>
      </c>
      <c r="L123" s="93"/>
    </row>
    <row r="124" spans="1:12">
      <c r="A124" s="75" t="str">
        <f t="shared" si="4"/>
        <v/>
      </c>
      <c r="B124" s="87">
        <f>IF(D124="","",COUNTIF($D$10:D124,D124))</f>
        <v>23</v>
      </c>
      <c r="C124" s="88">
        <v>45868</v>
      </c>
      <c r="D124" s="76">
        <v>7</v>
      </c>
      <c r="E124" s="77" t="s">
        <v>433</v>
      </c>
      <c r="F124" s="95">
        <v>4</v>
      </c>
      <c r="G124" s="78" t="s">
        <v>482</v>
      </c>
      <c r="H124" s="91">
        <f t="shared" si="5"/>
        <v>2025</v>
      </c>
      <c r="I124" s="7" t="s">
        <v>426</v>
      </c>
      <c r="J124" s="76" t="s">
        <v>498</v>
      </c>
      <c r="L124" s="93"/>
    </row>
    <row r="125" spans="1:12">
      <c r="A125" s="75" t="str">
        <f t="shared" si="4"/>
        <v/>
      </c>
      <c r="B125" s="87">
        <f>IF(D125="","",COUNTIF($D$10:D125,D125))</f>
        <v>24</v>
      </c>
      <c r="C125" s="88">
        <v>45868</v>
      </c>
      <c r="D125" s="76">
        <v>7</v>
      </c>
      <c r="E125" s="77" t="s">
        <v>492</v>
      </c>
      <c r="F125" s="95">
        <v>4</v>
      </c>
      <c r="G125" s="78" t="s">
        <v>430</v>
      </c>
      <c r="H125" s="91">
        <f t="shared" si="5"/>
        <v>2025</v>
      </c>
      <c r="I125" s="7" t="s">
        <v>426</v>
      </c>
      <c r="J125" s="76" t="s">
        <v>498</v>
      </c>
      <c r="L125" s="93"/>
    </row>
    <row r="126" spans="1:12">
      <c r="A126" s="75" t="str">
        <f t="shared" si="4"/>
        <v/>
      </c>
      <c r="B126" s="87">
        <f>IF(D126="","",COUNTIF($D$10:D126,D126))</f>
        <v>25</v>
      </c>
      <c r="C126" s="88">
        <v>45868</v>
      </c>
      <c r="D126" s="76">
        <v>7</v>
      </c>
      <c r="E126" s="77" t="s">
        <v>438</v>
      </c>
      <c r="F126" s="95">
        <v>4</v>
      </c>
      <c r="G126" s="78" t="s">
        <v>472</v>
      </c>
      <c r="H126" s="91">
        <f t="shared" si="5"/>
        <v>2025</v>
      </c>
      <c r="I126" s="7" t="s">
        <v>426</v>
      </c>
      <c r="J126" s="76" t="s">
        <v>498</v>
      </c>
      <c r="L126" s="93"/>
    </row>
    <row r="127" spans="1:12">
      <c r="A127" s="75" t="str">
        <f t="shared" si="4"/>
        <v/>
      </c>
      <c r="B127" s="87">
        <f>IF(D127="","",COUNTIF($D$10:D127,D127))</f>
        <v>26</v>
      </c>
      <c r="C127" s="88">
        <v>45869</v>
      </c>
      <c r="D127" s="76">
        <v>7</v>
      </c>
      <c r="E127" s="77" t="s">
        <v>431</v>
      </c>
      <c r="F127" s="95">
        <v>4</v>
      </c>
      <c r="G127" s="78" t="s">
        <v>511</v>
      </c>
      <c r="H127" s="91">
        <f t="shared" si="5"/>
        <v>2025</v>
      </c>
      <c r="I127" s="7" t="s">
        <v>426</v>
      </c>
      <c r="J127" s="76" t="s">
        <v>498</v>
      </c>
      <c r="L127" s="93"/>
    </row>
    <row r="128" spans="1:12">
      <c r="A128" s="75" t="str">
        <f t="shared" si="4"/>
        <v/>
      </c>
      <c r="B128" s="87">
        <f>IF(D128="","",COUNTIF($D$10:D128,D128))</f>
        <v>27</v>
      </c>
      <c r="C128" s="88">
        <v>45869</v>
      </c>
      <c r="D128" s="76">
        <v>7</v>
      </c>
      <c r="E128" s="77" t="s">
        <v>428</v>
      </c>
      <c r="F128" s="95">
        <v>4</v>
      </c>
      <c r="G128" s="78" t="s">
        <v>514</v>
      </c>
      <c r="H128" s="91">
        <f t="shared" si="5"/>
        <v>2025</v>
      </c>
      <c r="I128" s="7" t="s">
        <v>426</v>
      </c>
      <c r="J128" s="76" t="s">
        <v>498</v>
      </c>
      <c r="L128" s="93"/>
    </row>
    <row r="129" spans="1:12">
      <c r="A129" s="75" t="str">
        <f t="shared" si="4"/>
        <v/>
      </c>
      <c r="B129" s="87">
        <f>IF(D129="","",COUNTIF($D$10:D129,D129))</f>
        <v>28</v>
      </c>
      <c r="C129" s="88">
        <v>45869</v>
      </c>
      <c r="D129" s="76">
        <v>7</v>
      </c>
      <c r="E129" s="77" t="s">
        <v>433</v>
      </c>
      <c r="F129" s="95">
        <v>4</v>
      </c>
      <c r="G129" s="78" t="s">
        <v>467</v>
      </c>
      <c r="H129" s="91">
        <f t="shared" si="5"/>
        <v>2025</v>
      </c>
      <c r="I129" s="7" t="s">
        <v>426</v>
      </c>
      <c r="J129" s="76" t="s">
        <v>498</v>
      </c>
      <c r="L129" s="93"/>
    </row>
    <row r="130" spans="1:12">
      <c r="A130" s="75" t="str">
        <f t="shared" si="4"/>
        <v/>
      </c>
      <c r="B130" s="87" t="str">
        <f>IF(D130="","",COUNTIF($D$10:D130,D130))</f>
        <v/>
      </c>
    </row>
    <row r="131" spans="1:12">
      <c r="A131" s="75" t="str">
        <f t="shared" si="4"/>
        <v/>
      </c>
      <c r="B131" s="87">
        <f>IF(D131="","",COUNTIF($D$10:D131,D131))</f>
        <v>1</v>
      </c>
      <c r="C131" s="88">
        <v>45870</v>
      </c>
      <c r="D131" s="76">
        <v>8</v>
      </c>
      <c r="E131" s="77" t="s">
        <v>453</v>
      </c>
      <c r="F131" s="95">
        <v>4</v>
      </c>
      <c r="G131" s="78" t="s">
        <v>515</v>
      </c>
      <c r="H131" s="91">
        <f t="shared" ref="H131:H161" si="6">YEAR(C131)</f>
        <v>2025</v>
      </c>
      <c r="I131" s="7" t="s">
        <v>426</v>
      </c>
      <c r="J131" s="76" t="s">
        <v>516</v>
      </c>
      <c r="L131" s="93"/>
    </row>
    <row r="132" spans="1:12">
      <c r="A132" s="75" t="str">
        <f t="shared" si="4"/>
        <v/>
      </c>
      <c r="B132" s="87">
        <f>IF(D132="","",COUNTIF($D$10:D132,D132))</f>
        <v>2</v>
      </c>
      <c r="C132" s="88">
        <v>45870</v>
      </c>
      <c r="D132" s="76">
        <v>8</v>
      </c>
      <c r="E132" s="77" t="s">
        <v>492</v>
      </c>
      <c r="F132" s="95">
        <v>4</v>
      </c>
      <c r="G132" s="78" t="s">
        <v>517</v>
      </c>
      <c r="H132" s="91">
        <f t="shared" si="6"/>
        <v>2025</v>
      </c>
      <c r="I132" s="7" t="s">
        <v>426</v>
      </c>
      <c r="J132" s="76" t="s">
        <v>516</v>
      </c>
      <c r="L132" s="93"/>
    </row>
    <row r="133" spans="1:12">
      <c r="A133" s="75" t="str">
        <f t="shared" si="4"/>
        <v/>
      </c>
      <c r="B133" s="87">
        <f>IF(D133="","",COUNTIF($D$10:D133,D133))</f>
        <v>3</v>
      </c>
      <c r="C133" s="88">
        <v>45871</v>
      </c>
      <c r="D133" s="76">
        <v>8</v>
      </c>
      <c r="E133" s="77" t="s">
        <v>431</v>
      </c>
      <c r="F133" s="95">
        <v>4</v>
      </c>
      <c r="G133" s="78" t="s">
        <v>518</v>
      </c>
      <c r="H133" s="91">
        <f t="shared" si="6"/>
        <v>2025</v>
      </c>
      <c r="I133" s="7" t="s">
        <v>426</v>
      </c>
      <c r="J133" s="76" t="s">
        <v>516</v>
      </c>
      <c r="L133" s="93"/>
    </row>
    <row r="134" spans="1:12">
      <c r="A134" s="75" t="str">
        <f t="shared" si="4"/>
        <v/>
      </c>
      <c r="B134" s="87">
        <f>IF(D134="","",COUNTIF($D$10:D134,D134))</f>
        <v>4</v>
      </c>
      <c r="C134" s="88">
        <v>45873</v>
      </c>
      <c r="D134" s="76">
        <v>8</v>
      </c>
      <c r="E134" s="77" t="s">
        <v>492</v>
      </c>
      <c r="F134" s="95">
        <v>4</v>
      </c>
      <c r="G134" s="78" t="s">
        <v>519</v>
      </c>
      <c r="H134" s="91">
        <f t="shared" si="6"/>
        <v>2025</v>
      </c>
      <c r="I134" s="7" t="s">
        <v>426</v>
      </c>
      <c r="J134" s="76" t="s">
        <v>516</v>
      </c>
      <c r="L134" s="93"/>
    </row>
    <row r="135" spans="1:12">
      <c r="A135" s="75" t="str">
        <f t="shared" si="4"/>
        <v/>
      </c>
      <c r="B135" s="87">
        <f>IF(D135="","",COUNTIF($D$10:D135,D135))</f>
        <v>5</v>
      </c>
      <c r="C135" s="88">
        <v>45874</v>
      </c>
      <c r="D135" s="76">
        <v>8</v>
      </c>
      <c r="E135" s="77" t="s">
        <v>433</v>
      </c>
      <c r="F135" s="95">
        <v>4</v>
      </c>
      <c r="G135" s="78" t="s">
        <v>520</v>
      </c>
      <c r="H135" s="91">
        <f t="shared" si="6"/>
        <v>2025</v>
      </c>
      <c r="I135" s="7" t="s">
        <v>426</v>
      </c>
      <c r="J135" s="76" t="s">
        <v>516</v>
      </c>
      <c r="L135" s="93"/>
    </row>
    <row r="136" spans="1:12">
      <c r="A136" s="75" t="str">
        <f t="shared" si="4"/>
        <v/>
      </c>
      <c r="B136" s="87">
        <f>IF(D136="","",COUNTIF($D$10:D136,D136))</f>
        <v>6</v>
      </c>
      <c r="C136" s="88">
        <v>45875</v>
      </c>
      <c r="D136" s="76">
        <v>8</v>
      </c>
      <c r="E136" s="77" t="s">
        <v>453</v>
      </c>
      <c r="F136" s="95">
        <v>4</v>
      </c>
      <c r="G136" s="78" t="s">
        <v>517</v>
      </c>
      <c r="H136" s="91">
        <f t="shared" si="6"/>
        <v>2025</v>
      </c>
      <c r="I136" s="7" t="s">
        <v>426</v>
      </c>
      <c r="J136" s="76" t="s">
        <v>516</v>
      </c>
      <c r="L136" s="93"/>
    </row>
    <row r="137" spans="1:12">
      <c r="A137" s="75" t="str">
        <f t="shared" si="4"/>
        <v/>
      </c>
      <c r="B137" s="87">
        <f>IF(D137="","",COUNTIF($D$10:D137,D137))</f>
        <v>7</v>
      </c>
      <c r="C137" s="88">
        <v>45876</v>
      </c>
      <c r="D137" s="76">
        <v>8</v>
      </c>
      <c r="E137" s="77" t="s">
        <v>431</v>
      </c>
      <c r="F137" s="95">
        <v>4</v>
      </c>
      <c r="G137" s="78" t="s">
        <v>517</v>
      </c>
      <c r="H137" s="91">
        <f t="shared" si="6"/>
        <v>2025</v>
      </c>
      <c r="I137" s="7" t="s">
        <v>426</v>
      </c>
      <c r="J137" s="76" t="s">
        <v>516</v>
      </c>
      <c r="L137" s="93"/>
    </row>
    <row r="138" spans="1:12">
      <c r="A138" s="75" t="str">
        <f t="shared" si="4"/>
        <v/>
      </c>
      <c r="B138" s="87">
        <f>IF(D138="","",COUNTIF($D$10:D138,D138))</f>
        <v>8</v>
      </c>
      <c r="C138" s="88">
        <v>45877</v>
      </c>
      <c r="D138" s="76">
        <v>8</v>
      </c>
      <c r="E138" s="77" t="s">
        <v>433</v>
      </c>
      <c r="F138" s="95">
        <v>4</v>
      </c>
      <c r="G138" s="78" t="s">
        <v>521</v>
      </c>
      <c r="H138" s="91">
        <f t="shared" si="6"/>
        <v>2025</v>
      </c>
      <c r="I138" s="7" t="s">
        <v>426</v>
      </c>
      <c r="J138" s="76" t="s">
        <v>516</v>
      </c>
      <c r="L138" s="93"/>
    </row>
    <row r="139" spans="1:12">
      <c r="A139" s="75" t="str">
        <f t="shared" ref="A139:A202" si="7">IF(AND($E$3="ALL",$E$4="ALL"),"ALL",IF(AND($E$3="ALL",$E$4&lt;&gt;"ALL"),IF(D139=$E$4,D139,""),IF(AND($E$3&lt;&gt;"ALL",$E$4="ALL"),IF(I139=$E$3,I139,""),"")))</f>
        <v/>
      </c>
      <c r="B139" s="87">
        <f>IF(D139="","",COUNTIF($D$10:D139,D139))</f>
        <v>9</v>
      </c>
      <c r="C139" s="88">
        <v>45878</v>
      </c>
      <c r="D139" s="76">
        <v>8</v>
      </c>
      <c r="E139" s="77" t="s">
        <v>431</v>
      </c>
      <c r="F139" s="95">
        <v>4</v>
      </c>
      <c r="G139" s="78" t="s">
        <v>522</v>
      </c>
      <c r="H139" s="91">
        <f t="shared" si="6"/>
        <v>2025</v>
      </c>
      <c r="I139" s="7" t="s">
        <v>426</v>
      </c>
      <c r="J139" s="76" t="s">
        <v>516</v>
      </c>
      <c r="L139" s="93"/>
    </row>
    <row r="140" spans="1:12">
      <c r="A140" s="75" t="str">
        <f t="shared" si="7"/>
        <v/>
      </c>
      <c r="B140" s="87">
        <f>IF(D140="","",COUNTIF($D$10:D140,D140))</f>
        <v>10</v>
      </c>
      <c r="C140" s="88">
        <v>45883</v>
      </c>
      <c r="D140" s="76">
        <v>8</v>
      </c>
      <c r="E140" s="77" t="s">
        <v>435</v>
      </c>
      <c r="F140" s="95">
        <v>4</v>
      </c>
      <c r="G140" s="78" t="s">
        <v>523</v>
      </c>
      <c r="H140" s="91">
        <f t="shared" si="6"/>
        <v>2025</v>
      </c>
      <c r="I140" s="7" t="s">
        <v>426</v>
      </c>
      <c r="J140" s="76" t="s">
        <v>516</v>
      </c>
      <c r="L140" s="93"/>
    </row>
    <row r="141" spans="1:12">
      <c r="A141" s="75" t="str">
        <f t="shared" si="7"/>
        <v/>
      </c>
      <c r="B141" s="87">
        <f>IF(D141="","",COUNTIF($D$10:D141,D141))</f>
        <v>11</v>
      </c>
      <c r="C141" s="88">
        <v>45884</v>
      </c>
      <c r="D141" s="76">
        <v>8</v>
      </c>
      <c r="E141" s="77" t="s">
        <v>431</v>
      </c>
      <c r="F141" s="95">
        <v>4</v>
      </c>
      <c r="G141" s="78" t="s">
        <v>524</v>
      </c>
      <c r="H141" s="91">
        <f t="shared" si="6"/>
        <v>2025</v>
      </c>
      <c r="I141" s="7" t="s">
        <v>426</v>
      </c>
      <c r="J141" s="76" t="s">
        <v>516</v>
      </c>
      <c r="L141" s="93"/>
    </row>
    <row r="142" spans="1:12">
      <c r="A142" s="75" t="str">
        <f t="shared" si="7"/>
        <v/>
      </c>
      <c r="B142" s="87">
        <f>IF(D142="","",COUNTIF($D$10:D142,D142))</f>
        <v>12</v>
      </c>
      <c r="C142" s="88">
        <v>45885</v>
      </c>
      <c r="D142" s="76">
        <v>8</v>
      </c>
      <c r="E142" s="77" t="s">
        <v>433</v>
      </c>
      <c r="F142" s="95">
        <v>4</v>
      </c>
      <c r="G142" s="78" t="s">
        <v>525</v>
      </c>
      <c r="H142" s="91">
        <f t="shared" si="6"/>
        <v>2025</v>
      </c>
      <c r="I142" s="7" t="s">
        <v>426</v>
      </c>
      <c r="J142" s="76" t="s">
        <v>516</v>
      </c>
      <c r="L142" s="93"/>
    </row>
    <row r="143" spans="1:12">
      <c r="A143" s="75" t="str">
        <f t="shared" si="7"/>
        <v/>
      </c>
      <c r="B143" s="87">
        <f>IF(D143="","",COUNTIF($D$10:D143,D143))</f>
        <v>13</v>
      </c>
      <c r="C143" s="88">
        <v>45887</v>
      </c>
      <c r="D143" s="76">
        <v>8</v>
      </c>
      <c r="E143" s="77" t="s">
        <v>438</v>
      </c>
      <c r="F143" s="95">
        <v>4</v>
      </c>
      <c r="G143" s="78" t="s">
        <v>526</v>
      </c>
      <c r="H143" s="91">
        <f t="shared" si="6"/>
        <v>2025</v>
      </c>
      <c r="I143" s="7" t="s">
        <v>426</v>
      </c>
      <c r="J143" s="76" t="s">
        <v>516</v>
      </c>
      <c r="L143" s="93"/>
    </row>
    <row r="144" spans="1:12">
      <c r="A144" s="75" t="str">
        <f t="shared" si="7"/>
        <v/>
      </c>
      <c r="B144" s="87">
        <f>IF(D144="","",COUNTIF($D$10:D144,D144))</f>
        <v>14</v>
      </c>
      <c r="C144" s="88">
        <v>45888</v>
      </c>
      <c r="D144" s="76">
        <v>8</v>
      </c>
      <c r="E144" s="77" t="s">
        <v>453</v>
      </c>
      <c r="F144" s="95">
        <v>4</v>
      </c>
      <c r="G144" s="78" t="s">
        <v>527</v>
      </c>
      <c r="H144" s="91">
        <f t="shared" si="6"/>
        <v>2025</v>
      </c>
      <c r="I144" s="7" t="s">
        <v>426</v>
      </c>
      <c r="J144" s="76" t="s">
        <v>516</v>
      </c>
      <c r="L144" s="93"/>
    </row>
    <row r="145" spans="1:12">
      <c r="A145" s="75" t="str">
        <f t="shared" si="7"/>
        <v/>
      </c>
      <c r="B145" s="87">
        <f>IF(D145="","",COUNTIF($D$10:D145,D145))</f>
        <v>15</v>
      </c>
      <c r="C145" s="88">
        <v>45889</v>
      </c>
      <c r="D145" s="76">
        <v>8</v>
      </c>
      <c r="E145" s="77" t="s">
        <v>428</v>
      </c>
      <c r="F145" s="95">
        <v>4</v>
      </c>
      <c r="G145" s="78" t="s">
        <v>528</v>
      </c>
      <c r="H145" s="91">
        <f t="shared" si="6"/>
        <v>2025</v>
      </c>
      <c r="I145" s="7" t="s">
        <v>426</v>
      </c>
      <c r="J145" s="76" t="s">
        <v>516</v>
      </c>
      <c r="L145" s="93"/>
    </row>
    <row r="146" spans="1:12">
      <c r="A146" s="75" t="str">
        <f t="shared" si="7"/>
        <v/>
      </c>
      <c r="B146" s="87">
        <f>IF(D146="","",COUNTIF($D$10:D146,D146))</f>
        <v>16</v>
      </c>
      <c r="C146" s="88">
        <v>45889</v>
      </c>
      <c r="D146" s="76">
        <v>8</v>
      </c>
      <c r="E146" s="77" t="s">
        <v>431</v>
      </c>
      <c r="F146" s="95">
        <v>4</v>
      </c>
      <c r="G146" s="78" t="s">
        <v>528</v>
      </c>
      <c r="H146" s="91">
        <f t="shared" si="6"/>
        <v>2025</v>
      </c>
      <c r="I146" s="7" t="s">
        <v>426</v>
      </c>
      <c r="J146" s="76" t="s">
        <v>516</v>
      </c>
      <c r="L146" s="93"/>
    </row>
    <row r="147" spans="1:12">
      <c r="A147" s="75" t="str">
        <f t="shared" si="7"/>
        <v/>
      </c>
      <c r="B147" s="87">
        <f>IF(D147="","",COUNTIF($D$10:D147,D147))</f>
        <v>17</v>
      </c>
      <c r="C147" s="88">
        <v>45891</v>
      </c>
      <c r="D147" s="76">
        <v>8</v>
      </c>
      <c r="E147" s="77" t="s">
        <v>433</v>
      </c>
      <c r="F147" s="95">
        <v>4</v>
      </c>
      <c r="G147" s="78" t="s">
        <v>529</v>
      </c>
      <c r="H147" s="91">
        <f t="shared" si="6"/>
        <v>2025</v>
      </c>
      <c r="I147" s="7" t="s">
        <v>426</v>
      </c>
      <c r="J147" s="76" t="s">
        <v>516</v>
      </c>
      <c r="L147" s="93"/>
    </row>
    <row r="148" spans="1:12">
      <c r="A148" s="75" t="str">
        <f t="shared" si="7"/>
        <v/>
      </c>
      <c r="B148" s="87">
        <f>IF(D148="","",COUNTIF($D$10:D148,D148))</f>
        <v>18</v>
      </c>
      <c r="C148" s="88">
        <v>45891</v>
      </c>
      <c r="D148" s="76">
        <v>8</v>
      </c>
      <c r="E148" s="77" t="s">
        <v>433</v>
      </c>
      <c r="F148" s="95">
        <v>4</v>
      </c>
      <c r="G148" s="78" t="s">
        <v>530</v>
      </c>
      <c r="H148" s="91">
        <f t="shared" si="6"/>
        <v>2025</v>
      </c>
      <c r="I148" s="7" t="s">
        <v>426</v>
      </c>
      <c r="J148" s="76" t="s">
        <v>516</v>
      </c>
      <c r="L148" s="93"/>
    </row>
    <row r="149" spans="1:12">
      <c r="A149" s="75" t="str">
        <f t="shared" si="7"/>
        <v/>
      </c>
      <c r="B149" s="87">
        <f>IF(D149="","",COUNTIF($D$10:D149,D149))</f>
        <v>19</v>
      </c>
      <c r="C149" s="88">
        <v>45892</v>
      </c>
      <c r="D149" s="76">
        <v>8</v>
      </c>
      <c r="E149" s="77" t="s">
        <v>435</v>
      </c>
      <c r="F149" s="95">
        <v>4</v>
      </c>
      <c r="G149" s="78" t="s">
        <v>531</v>
      </c>
      <c r="H149" s="91">
        <f t="shared" si="6"/>
        <v>2025</v>
      </c>
      <c r="I149" s="7" t="s">
        <v>426</v>
      </c>
      <c r="J149" s="76" t="s">
        <v>516</v>
      </c>
      <c r="L149" s="93"/>
    </row>
    <row r="150" spans="1:12">
      <c r="A150" s="75" t="str">
        <f t="shared" si="7"/>
        <v/>
      </c>
      <c r="B150" s="87">
        <f>IF(D150="","",COUNTIF($D$10:D150,D150))</f>
        <v>20</v>
      </c>
      <c r="C150" s="88">
        <v>45894</v>
      </c>
      <c r="D150" s="76">
        <v>8</v>
      </c>
      <c r="E150" s="77" t="s">
        <v>435</v>
      </c>
      <c r="F150" s="95">
        <v>4</v>
      </c>
      <c r="G150" s="78" t="s">
        <v>532</v>
      </c>
      <c r="H150" s="91">
        <f t="shared" si="6"/>
        <v>2025</v>
      </c>
      <c r="I150" s="7" t="s">
        <v>426</v>
      </c>
      <c r="J150" s="76" t="s">
        <v>516</v>
      </c>
      <c r="L150" s="93"/>
    </row>
    <row r="151" spans="1:12">
      <c r="A151" s="75" t="str">
        <f t="shared" si="7"/>
        <v/>
      </c>
      <c r="B151" s="87">
        <f>IF(D151="","",COUNTIF($D$10:D151,D151))</f>
        <v>21</v>
      </c>
      <c r="C151" s="88">
        <v>45894</v>
      </c>
      <c r="D151" s="76">
        <v>8</v>
      </c>
      <c r="E151" s="77" t="s">
        <v>438</v>
      </c>
      <c r="F151" s="95">
        <v>4</v>
      </c>
      <c r="G151" s="78" t="s">
        <v>533</v>
      </c>
      <c r="H151" s="91">
        <f t="shared" si="6"/>
        <v>2025</v>
      </c>
      <c r="I151" s="7" t="s">
        <v>426</v>
      </c>
      <c r="J151" s="76" t="s">
        <v>516</v>
      </c>
      <c r="L151" s="93"/>
    </row>
    <row r="152" spans="1:12">
      <c r="A152" s="75" t="str">
        <f t="shared" si="7"/>
        <v/>
      </c>
      <c r="B152" s="87">
        <f>IF(D152="","",COUNTIF($D$10:D152,D152))</f>
        <v>22</v>
      </c>
      <c r="C152" s="88">
        <v>45895</v>
      </c>
      <c r="D152" s="76">
        <v>8</v>
      </c>
      <c r="E152" s="77" t="s">
        <v>492</v>
      </c>
      <c r="F152" s="95">
        <v>4</v>
      </c>
      <c r="G152" s="78" t="s">
        <v>534</v>
      </c>
      <c r="H152" s="91">
        <f t="shared" si="6"/>
        <v>2025</v>
      </c>
      <c r="I152" s="7" t="s">
        <v>426</v>
      </c>
      <c r="J152" s="76" t="s">
        <v>516</v>
      </c>
      <c r="L152" s="93"/>
    </row>
    <row r="153" spans="1:12">
      <c r="A153" s="75" t="str">
        <f t="shared" si="7"/>
        <v/>
      </c>
      <c r="B153" s="87">
        <f>IF(D153="","",COUNTIF($D$10:D153,D153))</f>
        <v>23</v>
      </c>
      <c r="C153" s="88">
        <v>45895</v>
      </c>
      <c r="D153" s="76">
        <v>8</v>
      </c>
      <c r="E153" s="77" t="s">
        <v>431</v>
      </c>
      <c r="F153" s="95">
        <v>4</v>
      </c>
      <c r="G153" s="78" t="s">
        <v>534</v>
      </c>
      <c r="H153" s="91">
        <f t="shared" si="6"/>
        <v>2025</v>
      </c>
      <c r="I153" s="7" t="s">
        <v>426</v>
      </c>
      <c r="J153" s="76" t="s">
        <v>516</v>
      </c>
      <c r="L153" s="93"/>
    </row>
    <row r="154" spans="1:12">
      <c r="A154" s="75" t="str">
        <f t="shared" si="7"/>
        <v/>
      </c>
      <c r="B154" s="87">
        <f>IF(D154="","",COUNTIF($D$10:D154,D154))</f>
        <v>24</v>
      </c>
      <c r="C154" s="88">
        <v>45897</v>
      </c>
      <c r="D154" s="76">
        <v>8</v>
      </c>
      <c r="E154" s="77" t="s">
        <v>433</v>
      </c>
      <c r="F154" s="95">
        <v>4</v>
      </c>
      <c r="G154" s="78" t="s">
        <v>534</v>
      </c>
      <c r="H154" s="91">
        <f t="shared" si="6"/>
        <v>2025</v>
      </c>
      <c r="I154" s="7" t="s">
        <v>426</v>
      </c>
      <c r="J154" s="76" t="s">
        <v>516</v>
      </c>
      <c r="L154" s="93"/>
    </row>
    <row r="155" spans="1:12">
      <c r="A155" s="75" t="str">
        <f t="shared" si="7"/>
        <v/>
      </c>
      <c r="B155" s="87">
        <f>IF(D155="","",COUNTIF($D$10:D155,D155))</f>
        <v>25</v>
      </c>
      <c r="C155" s="88">
        <v>45898</v>
      </c>
      <c r="D155" s="76">
        <v>8</v>
      </c>
      <c r="E155" s="77" t="s">
        <v>438</v>
      </c>
      <c r="F155" s="95">
        <v>4</v>
      </c>
      <c r="G155" s="78" t="s">
        <v>535</v>
      </c>
      <c r="H155" s="91">
        <f t="shared" si="6"/>
        <v>2025</v>
      </c>
      <c r="I155" s="7" t="s">
        <v>426</v>
      </c>
      <c r="J155" s="76" t="s">
        <v>516</v>
      </c>
      <c r="L155" s="93"/>
    </row>
    <row r="156" spans="1:12">
      <c r="A156" s="75" t="str">
        <f t="shared" si="7"/>
        <v/>
      </c>
      <c r="B156" s="87">
        <f>IF(D156="","",COUNTIF($D$10:D156,D156))</f>
        <v>26</v>
      </c>
      <c r="C156" s="88">
        <v>45899</v>
      </c>
      <c r="D156" s="76">
        <v>8</v>
      </c>
      <c r="E156" s="77" t="s">
        <v>428</v>
      </c>
      <c r="F156" s="95">
        <v>4</v>
      </c>
      <c r="G156" s="78" t="s">
        <v>529</v>
      </c>
      <c r="H156" s="91">
        <f t="shared" si="6"/>
        <v>2025</v>
      </c>
      <c r="I156" s="7" t="s">
        <v>426</v>
      </c>
      <c r="J156" s="76" t="s">
        <v>516</v>
      </c>
      <c r="L156" s="93"/>
    </row>
    <row r="157" spans="1:12">
      <c r="A157" s="75" t="str">
        <f t="shared" si="7"/>
        <v/>
      </c>
      <c r="B157" s="87">
        <f>IF(D157="","",COUNTIF($D$10:D157,D157))</f>
        <v>27</v>
      </c>
      <c r="C157" s="88">
        <v>45899</v>
      </c>
      <c r="D157" s="76">
        <v>8</v>
      </c>
      <c r="E157" s="77" t="s">
        <v>433</v>
      </c>
      <c r="F157" s="95">
        <v>4</v>
      </c>
      <c r="G157" s="78" t="s">
        <v>536</v>
      </c>
      <c r="H157" s="91">
        <f t="shared" si="6"/>
        <v>2025</v>
      </c>
      <c r="I157" s="7" t="s">
        <v>537</v>
      </c>
      <c r="J157" s="76" t="s">
        <v>516</v>
      </c>
      <c r="L157" s="93"/>
    </row>
    <row r="158" spans="1:12">
      <c r="A158" s="75" t="str">
        <f t="shared" si="7"/>
        <v/>
      </c>
      <c r="B158" s="87">
        <f>IF(D158="","",COUNTIF($D$10:D158,D158))</f>
        <v>28</v>
      </c>
      <c r="C158" s="88">
        <v>45899</v>
      </c>
      <c r="D158" s="76">
        <v>8</v>
      </c>
      <c r="E158" s="77" t="s">
        <v>433</v>
      </c>
      <c r="F158" s="95">
        <v>4</v>
      </c>
      <c r="G158" s="78" t="s">
        <v>538</v>
      </c>
      <c r="H158" s="91">
        <f t="shared" si="6"/>
        <v>2025</v>
      </c>
      <c r="I158" s="7" t="s">
        <v>537</v>
      </c>
      <c r="J158" s="76" t="s">
        <v>516</v>
      </c>
      <c r="L158" s="93"/>
    </row>
    <row r="159" spans="1:12">
      <c r="A159" s="75" t="str">
        <f t="shared" si="7"/>
        <v/>
      </c>
      <c r="B159" s="87">
        <f>IF(D159="","",COUNTIF($D$10:D159,D159))</f>
        <v>29</v>
      </c>
      <c r="C159" s="88">
        <v>45900</v>
      </c>
      <c r="D159" s="76">
        <v>8</v>
      </c>
      <c r="E159" s="77" t="s">
        <v>428</v>
      </c>
      <c r="F159" s="95">
        <v>4</v>
      </c>
      <c r="G159" s="78" t="s">
        <v>539</v>
      </c>
      <c r="H159" s="91">
        <f t="shared" si="6"/>
        <v>2025</v>
      </c>
      <c r="I159" s="7" t="s">
        <v>537</v>
      </c>
      <c r="J159" s="76" t="s">
        <v>516</v>
      </c>
      <c r="L159" s="93"/>
    </row>
    <row r="160" spans="1:12">
      <c r="A160" s="75" t="str">
        <f t="shared" si="7"/>
        <v/>
      </c>
      <c r="B160" s="87">
        <f>IF(D160="","",COUNTIF($D$10:D160,D160))</f>
        <v>30</v>
      </c>
      <c r="C160" s="88">
        <v>45900</v>
      </c>
      <c r="D160" s="76">
        <v>8</v>
      </c>
      <c r="E160" s="77" t="s">
        <v>428</v>
      </c>
      <c r="F160" s="95">
        <v>4</v>
      </c>
      <c r="G160" s="78" t="s">
        <v>540</v>
      </c>
      <c r="H160" s="91">
        <f t="shared" si="6"/>
        <v>2025</v>
      </c>
      <c r="I160" s="7" t="s">
        <v>537</v>
      </c>
      <c r="J160" s="76" t="s">
        <v>516</v>
      </c>
      <c r="L160" s="93"/>
    </row>
    <row r="161" spans="1:12">
      <c r="A161" s="75" t="str">
        <f t="shared" si="7"/>
        <v/>
      </c>
      <c r="B161" s="87">
        <f>IF(D161="","",COUNTIF($D$10:D161,D161))</f>
        <v>31</v>
      </c>
      <c r="C161" s="88">
        <v>45900</v>
      </c>
      <c r="D161" s="76">
        <v>8</v>
      </c>
      <c r="E161" s="77" t="s">
        <v>428</v>
      </c>
      <c r="F161" s="95">
        <v>4</v>
      </c>
      <c r="G161" s="78" t="s">
        <v>541</v>
      </c>
      <c r="H161" s="91">
        <f t="shared" si="6"/>
        <v>2025</v>
      </c>
      <c r="I161" s="7" t="s">
        <v>537</v>
      </c>
      <c r="J161" s="76" t="s">
        <v>516</v>
      </c>
      <c r="L161" s="93"/>
    </row>
    <row r="162" spans="1:12">
      <c r="A162" s="75" t="str">
        <f t="shared" si="7"/>
        <v/>
      </c>
      <c r="B162" s="87" t="str">
        <f>IF(D162="","",COUNTIF($D$10:D162,D162))</f>
        <v/>
      </c>
    </row>
    <row r="163" spans="1:12">
      <c r="A163" s="75">
        <f t="shared" si="7"/>
        <v>11</v>
      </c>
      <c r="B163" s="101">
        <f>IF(D163="","",COUNTIF($D$10:D163,D163))</f>
        <v>1</v>
      </c>
      <c r="C163" s="102">
        <v>45962</v>
      </c>
      <c r="D163" s="103">
        <v>11</v>
      </c>
      <c r="E163" s="104" t="s">
        <v>431</v>
      </c>
      <c r="F163" s="105">
        <v>4</v>
      </c>
      <c r="G163" s="106" t="s">
        <v>542</v>
      </c>
      <c r="H163" s="107">
        <f t="shared" ref="H163:H180" si="8">YEAR(C163)</f>
        <v>2025</v>
      </c>
      <c r="I163" s="108" t="s">
        <v>426</v>
      </c>
      <c r="J163" s="103" t="s">
        <v>543</v>
      </c>
      <c r="L163" s="93"/>
    </row>
    <row r="164" spans="1:12">
      <c r="A164" s="75">
        <f t="shared" si="7"/>
        <v>11</v>
      </c>
      <c r="B164" s="101">
        <f>IF(D164="","",COUNTIF($D$10:D164,D164))</f>
        <v>2</v>
      </c>
      <c r="C164" s="102">
        <v>45974</v>
      </c>
      <c r="D164" s="103">
        <v>11</v>
      </c>
      <c r="E164" s="104" t="s">
        <v>544</v>
      </c>
      <c r="F164" s="105">
        <v>2</v>
      </c>
      <c r="G164" s="106" t="s">
        <v>545</v>
      </c>
      <c r="H164" s="107">
        <f t="shared" si="8"/>
        <v>2025</v>
      </c>
      <c r="I164" s="108" t="s">
        <v>426</v>
      </c>
      <c r="J164" s="103" t="s">
        <v>543</v>
      </c>
      <c r="L164" s="93"/>
    </row>
    <row r="165" spans="1:12">
      <c r="A165" s="75">
        <f t="shared" si="7"/>
        <v>11</v>
      </c>
      <c r="B165" s="101">
        <f>IF(D165="","",COUNTIF($D$10:D165,D165))</f>
        <v>3</v>
      </c>
      <c r="C165" s="102">
        <v>45974</v>
      </c>
      <c r="D165" s="103">
        <v>11</v>
      </c>
      <c r="E165" s="104" t="s">
        <v>503</v>
      </c>
      <c r="F165" s="105">
        <v>2</v>
      </c>
      <c r="G165" s="106" t="s">
        <v>506</v>
      </c>
      <c r="H165" s="107">
        <f t="shared" si="8"/>
        <v>2025</v>
      </c>
      <c r="I165" s="108" t="s">
        <v>426</v>
      </c>
      <c r="J165" s="103" t="s">
        <v>543</v>
      </c>
      <c r="L165" s="93"/>
    </row>
    <row r="166" spans="1:12">
      <c r="A166" s="75">
        <f t="shared" si="7"/>
        <v>11</v>
      </c>
      <c r="B166" s="101">
        <f>IF(D166="","",COUNTIF($D$10:D166,D166))</f>
        <v>4</v>
      </c>
      <c r="C166" s="102">
        <v>45975</v>
      </c>
      <c r="D166" s="103">
        <v>11</v>
      </c>
      <c r="E166" s="104" t="s">
        <v>503</v>
      </c>
      <c r="F166" s="105">
        <v>2</v>
      </c>
      <c r="G166" s="106" t="s">
        <v>546</v>
      </c>
      <c r="H166" s="107">
        <f t="shared" si="8"/>
        <v>2025</v>
      </c>
      <c r="I166" s="108" t="s">
        <v>426</v>
      </c>
      <c r="J166" s="103" t="s">
        <v>543</v>
      </c>
      <c r="L166" s="93"/>
    </row>
    <row r="167" spans="1:12">
      <c r="A167" s="75">
        <f t="shared" si="7"/>
        <v>11</v>
      </c>
      <c r="B167" s="101">
        <f>IF(D167="","",COUNTIF($D$10:D167,D167))</f>
        <v>5</v>
      </c>
      <c r="C167" s="102">
        <v>45975</v>
      </c>
      <c r="D167" s="103">
        <v>11</v>
      </c>
      <c r="E167" s="104" t="s">
        <v>503</v>
      </c>
      <c r="F167" s="105">
        <v>2</v>
      </c>
      <c r="G167" s="106" t="s">
        <v>547</v>
      </c>
      <c r="H167" s="107">
        <f t="shared" si="8"/>
        <v>2025</v>
      </c>
      <c r="I167" s="108" t="s">
        <v>426</v>
      </c>
      <c r="J167" s="103" t="s">
        <v>543</v>
      </c>
      <c r="L167" s="93"/>
    </row>
    <row r="168" spans="1:12">
      <c r="A168" s="75">
        <f t="shared" si="7"/>
        <v>11</v>
      </c>
      <c r="B168" s="101">
        <f>IF(D168="","",COUNTIF($D$10:D168,D168))</f>
        <v>6</v>
      </c>
      <c r="C168" s="102">
        <v>45975</v>
      </c>
      <c r="D168" s="103">
        <v>11</v>
      </c>
      <c r="E168" s="104" t="s">
        <v>503</v>
      </c>
      <c r="F168" s="105">
        <v>2</v>
      </c>
      <c r="G168" s="106" t="s">
        <v>548</v>
      </c>
      <c r="H168" s="107">
        <f t="shared" si="8"/>
        <v>2025</v>
      </c>
      <c r="I168" s="108" t="s">
        <v>426</v>
      </c>
      <c r="J168" s="103" t="s">
        <v>543</v>
      </c>
      <c r="L168" s="93"/>
    </row>
    <row r="169" spans="1:12">
      <c r="A169" s="75">
        <f t="shared" si="7"/>
        <v>11</v>
      </c>
      <c r="B169" s="101">
        <f>IF(D169="","",COUNTIF($D$10:D169,D169))</f>
        <v>7</v>
      </c>
      <c r="C169" s="102">
        <v>45975</v>
      </c>
      <c r="D169" s="103">
        <v>11</v>
      </c>
      <c r="E169" s="104" t="s">
        <v>503</v>
      </c>
      <c r="F169" s="105">
        <v>2</v>
      </c>
      <c r="G169" s="106" t="s">
        <v>549</v>
      </c>
      <c r="H169" s="107">
        <f t="shared" si="8"/>
        <v>2025</v>
      </c>
      <c r="I169" s="108" t="s">
        <v>426</v>
      </c>
      <c r="J169" s="103" t="s">
        <v>543</v>
      </c>
      <c r="L169" s="93"/>
    </row>
    <row r="170" spans="1:12">
      <c r="A170" s="75">
        <f t="shared" si="7"/>
        <v>11</v>
      </c>
      <c r="B170" s="101">
        <f>IF(D170="","",COUNTIF($D$10:D170,D170))</f>
        <v>8</v>
      </c>
      <c r="C170" s="102">
        <v>45976</v>
      </c>
      <c r="D170" s="103">
        <v>11</v>
      </c>
      <c r="E170" s="104" t="s">
        <v>503</v>
      </c>
      <c r="F170" s="105">
        <v>2</v>
      </c>
      <c r="G170" s="106" t="s">
        <v>550</v>
      </c>
      <c r="H170" s="107">
        <f t="shared" si="8"/>
        <v>2025</v>
      </c>
      <c r="I170" s="108" t="s">
        <v>426</v>
      </c>
      <c r="J170" s="103" t="s">
        <v>543</v>
      </c>
      <c r="L170" s="93"/>
    </row>
    <row r="171" spans="1:12">
      <c r="A171" s="75">
        <f t="shared" si="7"/>
        <v>11</v>
      </c>
      <c r="B171" s="101">
        <f>IF(D171="","",COUNTIF($D$10:D171,D171))</f>
        <v>9</v>
      </c>
      <c r="C171" s="102">
        <v>45976</v>
      </c>
      <c r="D171" s="103">
        <v>11</v>
      </c>
      <c r="E171" s="104" t="s">
        <v>503</v>
      </c>
      <c r="F171" s="105">
        <v>2</v>
      </c>
      <c r="G171" s="106" t="s">
        <v>551</v>
      </c>
      <c r="H171" s="107">
        <f t="shared" si="8"/>
        <v>2025</v>
      </c>
      <c r="I171" s="108" t="s">
        <v>426</v>
      </c>
      <c r="J171" s="103" t="s">
        <v>543</v>
      </c>
      <c r="L171" s="93"/>
    </row>
    <row r="172" spans="1:12">
      <c r="A172" s="75">
        <f t="shared" si="7"/>
        <v>11</v>
      </c>
      <c r="B172" s="101">
        <f>IF(D172="","",COUNTIF($D$10:D172,D172))</f>
        <v>10</v>
      </c>
      <c r="C172" s="102">
        <v>45976</v>
      </c>
      <c r="D172" s="103">
        <v>11</v>
      </c>
      <c r="E172" s="104" t="s">
        <v>449</v>
      </c>
      <c r="F172" s="105">
        <v>2</v>
      </c>
      <c r="G172" s="106" t="s">
        <v>445</v>
      </c>
      <c r="H172" s="107">
        <f t="shared" si="8"/>
        <v>2025</v>
      </c>
      <c r="I172" s="108" t="s">
        <v>426</v>
      </c>
      <c r="J172" s="103" t="s">
        <v>543</v>
      </c>
      <c r="L172" s="93"/>
    </row>
    <row r="173" spans="1:12">
      <c r="A173" s="75">
        <f t="shared" si="7"/>
        <v>11</v>
      </c>
      <c r="B173" s="101">
        <f>IF(D173="","",COUNTIF($D$10:D173,D173))</f>
        <v>11</v>
      </c>
      <c r="C173" s="102">
        <v>45976</v>
      </c>
      <c r="D173" s="103">
        <v>11</v>
      </c>
      <c r="E173" s="104" t="s">
        <v>449</v>
      </c>
      <c r="F173" s="105">
        <v>2</v>
      </c>
      <c r="G173" s="106" t="s">
        <v>552</v>
      </c>
      <c r="H173" s="107">
        <f t="shared" si="8"/>
        <v>2025</v>
      </c>
      <c r="I173" s="108" t="s">
        <v>426</v>
      </c>
      <c r="J173" s="103" t="s">
        <v>543</v>
      </c>
      <c r="L173" s="93"/>
    </row>
    <row r="174" spans="1:12">
      <c r="A174" s="75">
        <f t="shared" si="7"/>
        <v>11</v>
      </c>
      <c r="B174" s="101">
        <f>IF(D174="","",COUNTIF($D$10:D174,D174))</f>
        <v>12</v>
      </c>
      <c r="C174" s="102">
        <v>45977</v>
      </c>
      <c r="D174" s="103">
        <v>11</v>
      </c>
      <c r="E174" s="104" t="s">
        <v>424</v>
      </c>
      <c r="F174" s="105">
        <v>4</v>
      </c>
      <c r="G174" s="106" t="s">
        <v>553</v>
      </c>
      <c r="H174" s="107">
        <f t="shared" si="8"/>
        <v>2025</v>
      </c>
      <c r="I174" s="108" t="s">
        <v>426</v>
      </c>
      <c r="J174" s="103" t="s">
        <v>543</v>
      </c>
      <c r="L174" s="93"/>
    </row>
    <row r="175" spans="1:12">
      <c r="A175" s="75">
        <f t="shared" si="7"/>
        <v>11</v>
      </c>
      <c r="B175" s="101">
        <f>IF(D175="","",COUNTIF($D$10:D175,D175))</f>
        <v>13</v>
      </c>
      <c r="C175" s="102">
        <v>45981</v>
      </c>
      <c r="D175" s="103">
        <v>11</v>
      </c>
      <c r="E175" s="104" t="s">
        <v>554</v>
      </c>
      <c r="F175" s="105">
        <v>4</v>
      </c>
      <c r="G175" s="106" t="s">
        <v>472</v>
      </c>
      <c r="H175" s="107">
        <f t="shared" si="8"/>
        <v>2025</v>
      </c>
      <c r="I175" s="108" t="s">
        <v>426</v>
      </c>
      <c r="J175" s="103" t="s">
        <v>543</v>
      </c>
      <c r="L175" s="93"/>
    </row>
    <row r="176" spans="1:12">
      <c r="A176" s="75">
        <f t="shared" si="7"/>
        <v>11</v>
      </c>
      <c r="B176" s="101">
        <f>IF(D176="","",COUNTIF($D$10:D176,D176))</f>
        <v>14</v>
      </c>
      <c r="C176" s="102">
        <v>45982</v>
      </c>
      <c r="D176" s="103">
        <v>11</v>
      </c>
      <c r="E176" s="104" t="s">
        <v>438</v>
      </c>
      <c r="F176" s="105">
        <v>4</v>
      </c>
      <c r="G176" s="106" t="s">
        <v>555</v>
      </c>
      <c r="H176" s="107">
        <f t="shared" si="8"/>
        <v>2025</v>
      </c>
      <c r="I176" s="108" t="s">
        <v>426</v>
      </c>
      <c r="J176" s="103" t="s">
        <v>543</v>
      </c>
      <c r="L176" s="93"/>
    </row>
    <row r="177" spans="1:12">
      <c r="A177" s="75">
        <f t="shared" si="7"/>
        <v>11</v>
      </c>
      <c r="B177" s="101">
        <f>IF(D177="","",COUNTIF($D$10:D177,D177))</f>
        <v>15</v>
      </c>
      <c r="C177" s="102">
        <v>45985</v>
      </c>
      <c r="D177" s="103">
        <v>11</v>
      </c>
      <c r="E177" s="104" t="s">
        <v>424</v>
      </c>
      <c r="F177" s="105">
        <v>4</v>
      </c>
      <c r="G177" s="106" t="s">
        <v>556</v>
      </c>
      <c r="H177" s="107">
        <f t="shared" si="8"/>
        <v>2025</v>
      </c>
      <c r="I177" s="108" t="s">
        <v>426</v>
      </c>
      <c r="J177" s="103" t="s">
        <v>543</v>
      </c>
      <c r="L177" s="93"/>
    </row>
    <row r="178" spans="1:12">
      <c r="A178" s="75">
        <f t="shared" si="7"/>
        <v>11</v>
      </c>
      <c r="B178" s="101">
        <f>IF(D178="","",COUNTIF($D$10:D178,D178))</f>
        <v>16</v>
      </c>
      <c r="C178" s="102">
        <v>45988</v>
      </c>
      <c r="D178" s="103">
        <v>11</v>
      </c>
      <c r="E178" s="104" t="s">
        <v>554</v>
      </c>
      <c r="F178" s="105">
        <v>4</v>
      </c>
      <c r="G178" s="106" t="s">
        <v>445</v>
      </c>
      <c r="H178" s="107">
        <f t="shared" si="8"/>
        <v>2025</v>
      </c>
      <c r="I178" s="108" t="s">
        <v>426</v>
      </c>
      <c r="J178" s="103" t="s">
        <v>543</v>
      </c>
      <c r="L178" s="93"/>
    </row>
    <row r="179" spans="1:12">
      <c r="A179" s="75">
        <f t="shared" si="7"/>
        <v>11</v>
      </c>
      <c r="B179" s="101">
        <f>IF(D179="","",COUNTIF($D$10:D179,D179))</f>
        <v>17</v>
      </c>
      <c r="C179" s="102">
        <v>45989</v>
      </c>
      <c r="D179" s="103">
        <v>11</v>
      </c>
      <c r="E179" s="104" t="s">
        <v>554</v>
      </c>
      <c r="F179" s="105">
        <v>4</v>
      </c>
      <c r="G179" s="106" t="s">
        <v>557</v>
      </c>
      <c r="H179" s="107">
        <f t="shared" si="8"/>
        <v>2025</v>
      </c>
      <c r="I179" s="108" t="s">
        <v>426</v>
      </c>
      <c r="J179" s="103" t="s">
        <v>543</v>
      </c>
      <c r="L179" s="93"/>
    </row>
    <row r="180" spans="1:12">
      <c r="A180" s="75">
        <f t="shared" si="7"/>
        <v>11</v>
      </c>
      <c r="B180" s="101">
        <f>IF(D180="","",COUNTIF($D$10:D180,D180))</f>
        <v>18</v>
      </c>
      <c r="C180" s="102">
        <v>45990</v>
      </c>
      <c r="D180" s="103">
        <v>11</v>
      </c>
      <c r="E180" s="104" t="s">
        <v>453</v>
      </c>
      <c r="F180" s="105">
        <v>4</v>
      </c>
      <c r="G180" s="106" t="s">
        <v>491</v>
      </c>
      <c r="H180" s="107">
        <f t="shared" si="8"/>
        <v>2025</v>
      </c>
      <c r="I180" s="108" t="s">
        <v>426</v>
      </c>
      <c r="J180" s="103" t="s">
        <v>543</v>
      </c>
      <c r="L180" s="93"/>
    </row>
    <row r="181" spans="1:12">
      <c r="A181" s="75" t="str">
        <f t="shared" si="7"/>
        <v/>
      </c>
      <c r="B181" s="87" t="str">
        <f>IF(D181="","",COUNTIF($D$10:D181,D181))</f>
        <v/>
      </c>
    </row>
    <row r="182" spans="1:12">
      <c r="A182" s="75" t="str">
        <f t="shared" si="7"/>
        <v/>
      </c>
      <c r="B182" s="87">
        <f>IF(D182="","",COUNTIF($D$10:D182,D182))</f>
        <v>1</v>
      </c>
      <c r="C182" s="96">
        <v>45901</v>
      </c>
      <c r="D182" s="76">
        <v>9</v>
      </c>
      <c r="E182" s="77" t="s">
        <v>433</v>
      </c>
      <c r="F182" s="95">
        <v>4</v>
      </c>
      <c r="G182" s="97" t="s">
        <v>466</v>
      </c>
      <c r="H182" s="91">
        <f t="shared" ref="H182:H216" si="9">YEAR(C182)</f>
        <v>2025</v>
      </c>
      <c r="I182" s="7" t="s">
        <v>426</v>
      </c>
      <c r="J182" s="76" t="s">
        <v>558</v>
      </c>
      <c r="K182" s="98"/>
    </row>
    <row r="183" spans="1:12">
      <c r="A183" s="75" t="str">
        <f t="shared" si="7"/>
        <v/>
      </c>
      <c r="B183" s="87">
        <f>IF(D183="","",COUNTIF($D$10:D183,D183))</f>
        <v>2</v>
      </c>
      <c r="C183" s="96">
        <v>45902</v>
      </c>
      <c r="D183" s="76">
        <v>9</v>
      </c>
      <c r="E183" s="77" t="s">
        <v>492</v>
      </c>
      <c r="F183" s="95">
        <v>4</v>
      </c>
      <c r="G183" s="97" t="s">
        <v>559</v>
      </c>
      <c r="H183" s="91">
        <f t="shared" si="9"/>
        <v>2025</v>
      </c>
      <c r="I183" s="7" t="s">
        <v>426</v>
      </c>
      <c r="J183" s="76" t="s">
        <v>558</v>
      </c>
      <c r="K183" s="98"/>
    </row>
    <row r="184" spans="1:12">
      <c r="A184" s="75" t="str">
        <f t="shared" si="7"/>
        <v/>
      </c>
      <c r="B184" s="87">
        <f>IF(D184="","",COUNTIF($D$10:D184,D184))</f>
        <v>3</v>
      </c>
      <c r="C184" s="96">
        <v>45903</v>
      </c>
      <c r="D184" s="76">
        <v>9</v>
      </c>
      <c r="E184" s="77" t="s">
        <v>438</v>
      </c>
      <c r="F184" s="95">
        <v>4</v>
      </c>
      <c r="G184" s="97" t="s">
        <v>429</v>
      </c>
      <c r="H184" s="91">
        <f t="shared" si="9"/>
        <v>2025</v>
      </c>
      <c r="I184" s="7" t="s">
        <v>426</v>
      </c>
      <c r="J184" s="76" t="s">
        <v>558</v>
      </c>
      <c r="K184" s="98"/>
    </row>
    <row r="185" spans="1:12">
      <c r="A185" s="75" t="str">
        <f t="shared" si="7"/>
        <v/>
      </c>
      <c r="B185" s="87">
        <f>IF(D185="","",COUNTIF($D$10:D185,D185))</f>
        <v>4</v>
      </c>
      <c r="C185" s="96">
        <v>45905</v>
      </c>
      <c r="D185" s="76">
        <v>9</v>
      </c>
      <c r="E185" s="77" t="s">
        <v>433</v>
      </c>
      <c r="F185" s="95">
        <v>4</v>
      </c>
      <c r="G185" s="97" t="s">
        <v>560</v>
      </c>
      <c r="H185" s="91">
        <f t="shared" si="9"/>
        <v>2025</v>
      </c>
      <c r="I185" s="7" t="s">
        <v>426</v>
      </c>
      <c r="J185" s="76" t="s">
        <v>558</v>
      </c>
      <c r="K185" s="98"/>
    </row>
    <row r="186" spans="1:12">
      <c r="A186" s="75" t="str">
        <f t="shared" si="7"/>
        <v/>
      </c>
      <c r="B186" s="87">
        <f>IF(D186="","",COUNTIF($D$10:D186,D186))</f>
        <v>5</v>
      </c>
      <c r="C186" s="96">
        <v>45905</v>
      </c>
      <c r="D186" s="76">
        <v>9</v>
      </c>
      <c r="E186" s="77" t="s">
        <v>492</v>
      </c>
      <c r="F186" s="95">
        <v>4</v>
      </c>
      <c r="G186" s="97" t="s">
        <v>561</v>
      </c>
      <c r="H186" s="91">
        <f t="shared" si="9"/>
        <v>2025</v>
      </c>
      <c r="I186" s="7" t="s">
        <v>426</v>
      </c>
      <c r="J186" s="76" t="s">
        <v>558</v>
      </c>
      <c r="K186" s="98"/>
    </row>
    <row r="187" spans="1:12">
      <c r="A187" s="75" t="str">
        <f t="shared" si="7"/>
        <v/>
      </c>
      <c r="B187" s="87">
        <f>IF(D187="","",COUNTIF($D$10:D187,D187))</f>
        <v>6</v>
      </c>
      <c r="C187" s="96">
        <v>45906</v>
      </c>
      <c r="D187" s="76">
        <v>9</v>
      </c>
      <c r="E187" s="77" t="s">
        <v>428</v>
      </c>
      <c r="F187" s="95">
        <v>4</v>
      </c>
      <c r="G187" s="97" t="s">
        <v>562</v>
      </c>
      <c r="H187" s="91">
        <f t="shared" si="9"/>
        <v>2025</v>
      </c>
      <c r="I187" s="7" t="s">
        <v>426</v>
      </c>
      <c r="J187" s="76" t="s">
        <v>558</v>
      </c>
      <c r="K187" s="98"/>
    </row>
    <row r="188" spans="1:12">
      <c r="A188" s="75" t="str">
        <f t="shared" si="7"/>
        <v/>
      </c>
      <c r="B188" s="87">
        <f>IF(D188="","",COUNTIF($D$10:D188,D188))</f>
        <v>7</v>
      </c>
      <c r="C188" s="96">
        <v>45909</v>
      </c>
      <c r="D188" s="76">
        <v>9</v>
      </c>
      <c r="E188" s="77" t="s">
        <v>438</v>
      </c>
      <c r="F188" s="95">
        <v>4</v>
      </c>
      <c r="G188" s="97" t="s">
        <v>513</v>
      </c>
      <c r="H188" s="91">
        <f t="shared" si="9"/>
        <v>2025</v>
      </c>
      <c r="I188" s="7" t="s">
        <v>426</v>
      </c>
      <c r="J188" s="76" t="s">
        <v>558</v>
      </c>
      <c r="K188" s="98"/>
    </row>
    <row r="189" spans="1:12">
      <c r="A189" s="75" t="str">
        <f t="shared" si="7"/>
        <v/>
      </c>
      <c r="B189" s="87">
        <f>IF(D189="","",COUNTIF($D$10:D189,D189))</f>
        <v>8</v>
      </c>
      <c r="C189" s="96">
        <v>45910</v>
      </c>
      <c r="D189" s="76">
        <v>9</v>
      </c>
      <c r="E189" s="77" t="s">
        <v>453</v>
      </c>
      <c r="F189" s="95">
        <v>4</v>
      </c>
      <c r="G189" s="97" t="s">
        <v>432</v>
      </c>
      <c r="H189" s="91">
        <f t="shared" si="9"/>
        <v>2025</v>
      </c>
      <c r="I189" s="7" t="s">
        <v>426</v>
      </c>
      <c r="J189" s="76" t="s">
        <v>558</v>
      </c>
      <c r="K189" s="98"/>
    </row>
    <row r="190" spans="1:12">
      <c r="A190" s="75" t="str">
        <f t="shared" si="7"/>
        <v/>
      </c>
      <c r="B190" s="87">
        <f>IF(D190="","",COUNTIF($D$10:D190,D190))</f>
        <v>9</v>
      </c>
      <c r="C190" s="96">
        <v>45911</v>
      </c>
      <c r="D190" s="76">
        <v>9</v>
      </c>
      <c r="E190" s="77" t="s">
        <v>428</v>
      </c>
      <c r="F190" s="95">
        <v>4</v>
      </c>
      <c r="G190" s="97" t="s">
        <v>562</v>
      </c>
      <c r="H190" s="91">
        <f t="shared" si="9"/>
        <v>2025</v>
      </c>
      <c r="I190" s="7" t="s">
        <v>426</v>
      </c>
      <c r="J190" s="76" t="s">
        <v>558</v>
      </c>
      <c r="K190" s="98"/>
    </row>
    <row r="191" spans="1:12">
      <c r="A191" s="75" t="str">
        <f t="shared" si="7"/>
        <v/>
      </c>
      <c r="B191" s="87">
        <f>IF(D191="","",COUNTIF($D$10:D191,D191))</f>
        <v>10</v>
      </c>
      <c r="C191" s="96">
        <v>45912</v>
      </c>
      <c r="D191" s="76">
        <v>9</v>
      </c>
      <c r="E191" s="77" t="s">
        <v>435</v>
      </c>
      <c r="F191" s="95">
        <v>4</v>
      </c>
      <c r="G191" s="97" t="s">
        <v>563</v>
      </c>
      <c r="H191" s="91">
        <f t="shared" si="9"/>
        <v>2025</v>
      </c>
      <c r="I191" s="7" t="s">
        <v>426</v>
      </c>
      <c r="J191" s="76" t="s">
        <v>558</v>
      </c>
      <c r="K191" s="98"/>
    </row>
    <row r="192" spans="1:12">
      <c r="A192" s="75" t="str">
        <f t="shared" si="7"/>
        <v/>
      </c>
      <c r="B192" s="87">
        <f>IF(D192="","",COUNTIF($D$10:D192,D192))</f>
        <v>11</v>
      </c>
      <c r="C192" s="96">
        <v>45917</v>
      </c>
      <c r="D192" s="76">
        <v>9</v>
      </c>
      <c r="E192" s="77" t="s">
        <v>438</v>
      </c>
      <c r="F192" s="95">
        <v>4</v>
      </c>
      <c r="G192" s="97" t="s">
        <v>439</v>
      </c>
      <c r="H192" s="91">
        <f t="shared" si="9"/>
        <v>2025</v>
      </c>
      <c r="I192" s="7" t="s">
        <v>426</v>
      </c>
      <c r="J192" s="76" t="s">
        <v>558</v>
      </c>
      <c r="K192" s="98"/>
    </row>
    <row r="193" spans="1:11">
      <c r="A193" s="75" t="str">
        <f t="shared" si="7"/>
        <v/>
      </c>
      <c r="B193" s="87">
        <f>IF(D193="","",COUNTIF($D$10:D193,D193))</f>
        <v>12</v>
      </c>
      <c r="C193" s="96">
        <v>45917</v>
      </c>
      <c r="D193" s="76">
        <v>9</v>
      </c>
      <c r="E193" s="77" t="s">
        <v>433</v>
      </c>
      <c r="F193" s="95">
        <v>4</v>
      </c>
      <c r="G193" s="97" t="s">
        <v>564</v>
      </c>
      <c r="H193" s="91">
        <f t="shared" si="9"/>
        <v>2025</v>
      </c>
      <c r="I193" s="7" t="s">
        <v>426</v>
      </c>
      <c r="J193" s="76" t="s">
        <v>558</v>
      </c>
      <c r="K193" s="98"/>
    </row>
    <row r="194" spans="1:11">
      <c r="A194" s="75" t="str">
        <f t="shared" si="7"/>
        <v/>
      </c>
      <c r="B194" s="87">
        <f>IF(D194="","",COUNTIF($D$10:D194,D194))</f>
        <v>13</v>
      </c>
      <c r="C194" s="96">
        <v>45918</v>
      </c>
      <c r="D194" s="76">
        <v>9</v>
      </c>
      <c r="E194" s="77" t="s">
        <v>453</v>
      </c>
      <c r="F194" s="95">
        <v>4</v>
      </c>
      <c r="G194" s="97" t="s">
        <v>565</v>
      </c>
      <c r="H194" s="91">
        <f t="shared" si="9"/>
        <v>2025</v>
      </c>
      <c r="I194" s="7" t="s">
        <v>426</v>
      </c>
      <c r="J194" s="76" t="s">
        <v>558</v>
      </c>
      <c r="K194" s="98"/>
    </row>
    <row r="195" spans="1:11">
      <c r="A195" s="75" t="str">
        <f t="shared" si="7"/>
        <v/>
      </c>
      <c r="B195" s="87">
        <f>IF(D195="","",COUNTIF($D$10:D195,D195))</f>
        <v>14</v>
      </c>
      <c r="C195" s="96">
        <v>45919</v>
      </c>
      <c r="D195" s="76">
        <v>9</v>
      </c>
      <c r="E195" s="77" t="s">
        <v>433</v>
      </c>
      <c r="F195" s="95">
        <v>4</v>
      </c>
      <c r="G195" s="97" t="s">
        <v>566</v>
      </c>
      <c r="H195" s="91">
        <f t="shared" si="9"/>
        <v>2025</v>
      </c>
      <c r="I195" s="7" t="s">
        <v>426</v>
      </c>
      <c r="J195" s="76" t="s">
        <v>558</v>
      </c>
      <c r="K195" s="98"/>
    </row>
    <row r="196" spans="1:11">
      <c r="A196" s="75" t="str">
        <f t="shared" si="7"/>
        <v/>
      </c>
      <c r="B196" s="87">
        <f>IF(D196="","",COUNTIF($D$10:D196,D196))</f>
        <v>15</v>
      </c>
      <c r="C196" s="96">
        <v>45920</v>
      </c>
      <c r="D196" s="76">
        <v>9</v>
      </c>
      <c r="E196" s="77" t="s">
        <v>492</v>
      </c>
      <c r="F196" s="95">
        <v>4</v>
      </c>
      <c r="G196" s="97" t="s">
        <v>567</v>
      </c>
      <c r="H196" s="91">
        <f t="shared" si="9"/>
        <v>2025</v>
      </c>
      <c r="I196" s="7" t="s">
        <v>426</v>
      </c>
      <c r="J196" s="76" t="s">
        <v>558</v>
      </c>
      <c r="K196" s="98"/>
    </row>
    <row r="197" spans="1:11">
      <c r="A197" s="75" t="str">
        <f t="shared" si="7"/>
        <v/>
      </c>
      <c r="B197" s="87">
        <f>IF(D197="","",COUNTIF($D$10:D197,D197))</f>
        <v>16</v>
      </c>
      <c r="C197" s="96">
        <v>45922</v>
      </c>
      <c r="D197" s="76">
        <v>9</v>
      </c>
      <c r="E197" s="77" t="s">
        <v>433</v>
      </c>
      <c r="F197" s="95">
        <v>4</v>
      </c>
      <c r="G197" s="97" t="s">
        <v>455</v>
      </c>
      <c r="H197" s="91">
        <f t="shared" si="9"/>
        <v>2025</v>
      </c>
      <c r="I197" s="7" t="s">
        <v>426</v>
      </c>
      <c r="J197" s="76" t="s">
        <v>558</v>
      </c>
      <c r="K197" s="98"/>
    </row>
    <row r="198" spans="1:11">
      <c r="A198" s="75" t="str">
        <f t="shared" si="7"/>
        <v/>
      </c>
      <c r="B198" s="87">
        <f>IF(D198="","",COUNTIF($D$10:D198,D198))</f>
        <v>17</v>
      </c>
      <c r="C198" s="96">
        <v>45925</v>
      </c>
      <c r="D198" s="76">
        <v>9</v>
      </c>
      <c r="E198" s="77" t="s">
        <v>433</v>
      </c>
      <c r="F198" s="95">
        <v>4</v>
      </c>
      <c r="G198" s="97" t="s">
        <v>568</v>
      </c>
      <c r="H198" s="91">
        <f t="shared" si="9"/>
        <v>2025</v>
      </c>
      <c r="I198" s="7" t="s">
        <v>426</v>
      </c>
      <c r="J198" s="76" t="s">
        <v>558</v>
      </c>
      <c r="K198" s="98"/>
    </row>
    <row r="199" spans="1:11">
      <c r="A199" s="75" t="str">
        <f t="shared" si="7"/>
        <v/>
      </c>
      <c r="B199" s="87">
        <f>IF(D199="","",COUNTIF($D$10:D199,D199))</f>
        <v>18</v>
      </c>
      <c r="C199" s="96">
        <v>45925</v>
      </c>
      <c r="D199" s="76">
        <v>9</v>
      </c>
      <c r="E199" s="77" t="s">
        <v>435</v>
      </c>
      <c r="F199" s="95">
        <v>4</v>
      </c>
      <c r="G199" s="97" t="s">
        <v>555</v>
      </c>
      <c r="H199" s="91">
        <f t="shared" si="9"/>
        <v>2025</v>
      </c>
      <c r="I199" s="7" t="s">
        <v>426</v>
      </c>
      <c r="J199" s="76" t="s">
        <v>558</v>
      </c>
      <c r="K199" s="98"/>
    </row>
    <row r="200" spans="1:11">
      <c r="A200" s="75" t="str">
        <f t="shared" si="7"/>
        <v/>
      </c>
      <c r="B200" s="87">
        <f>IF(D200="","",COUNTIF($D$10:D200,D200))</f>
        <v>19</v>
      </c>
      <c r="C200" s="96">
        <v>45926</v>
      </c>
      <c r="D200" s="76">
        <v>9</v>
      </c>
      <c r="E200" s="77" t="s">
        <v>438</v>
      </c>
      <c r="F200" s="95">
        <v>4</v>
      </c>
      <c r="G200" s="97" t="s">
        <v>569</v>
      </c>
      <c r="H200" s="91">
        <f t="shared" si="9"/>
        <v>2025</v>
      </c>
      <c r="I200" s="7" t="s">
        <v>426</v>
      </c>
      <c r="J200" s="76" t="s">
        <v>558</v>
      </c>
      <c r="K200" s="98"/>
    </row>
    <row r="201" spans="1:11">
      <c r="A201" s="75" t="str">
        <f t="shared" si="7"/>
        <v/>
      </c>
      <c r="B201" s="87">
        <f>IF(D201="","",COUNTIF($D$10:D201,D201))</f>
        <v>20</v>
      </c>
      <c r="C201" s="96">
        <v>45927</v>
      </c>
      <c r="D201" s="76">
        <v>9</v>
      </c>
      <c r="E201" s="77" t="s">
        <v>453</v>
      </c>
      <c r="F201" s="95">
        <v>4</v>
      </c>
      <c r="G201" s="97" t="s">
        <v>443</v>
      </c>
      <c r="H201" s="91">
        <f t="shared" si="9"/>
        <v>2025</v>
      </c>
      <c r="I201" s="7" t="s">
        <v>426</v>
      </c>
      <c r="J201" s="76" t="s">
        <v>558</v>
      </c>
      <c r="K201" s="98"/>
    </row>
    <row r="202" spans="1:11">
      <c r="A202" s="75" t="str">
        <f t="shared" si="7"/>
        <v/>
      </c>
      <c r="B202" s="87">
        <f>IF(D202="","",COUNTIF($D$10:D202,D202))</f>
        <v>21</v>
      </c>
      <c r="C202" s="96">
        <v>45929</v>
      </c>
      <c r="D202" s="76">
        <v>9</v>
      </c>
      <c r="E202" s="77" t="s">
        <v>570</v>
      </c>
      <c r="F202" s="95">
        <v>4</v>
      </c>
      <c r="G202" s="97" t="s">
        <v>458</v>
      </c>
      <c r="H202" s="91">
        <f t="shared" si="9"/>
        <v>2025</v>
      </c>
      <c r="I202" s="7" t="s">
        <v>426</v>
      </c>
      <c r="J202" s="76" t="s">
        <v>558</v>
      </c>
      <c r="K202" s="98"/>
    </row>
    <row r="203" spans="1:11">
      <c r="A203" s="75" t="str">
        <f t="shared" ref="A203:A266" si="10">IF(AND($E$3="ALL",$E$4="ALL"),"ALL",IF(AND($E$3="ALL",$E$4&lt;&gt;"ALL"),IF(D203=$E$4,D203,""),IF(AND($E$3&lt;&gt;"ALL",$E$4="ALL"),IF(I203=$E$3,I203,""),"")))</f>
        <v/>
      </c>
      <c r="B203" s="87">
        <f>IF(D203="","",COUNTIF($D$10:D203,D203))</f>
        <v>22</v>
      </c>
      <c r="C203" s="96">
        <v>45929</v>
      </c>
      <c r="D203" s="76">
        <v>9</v>
      </c>
      <c r="E203" s="77" t="s">
        <v>492</v>
      </c>
      <c r="F203" s="95">
        <v>4</v>
      </c>
      <c r="G203" s="97" t="s">
        <v>457</v>
      </c>
      <c r="H203" s="91">
        <f t="shared" si="9"/>
        <v>2025</v>
      </c>
      <c r="I203" s="7" t="s">
        <v>426</v>
      </c>
      <c r="J203" s="76" t="s">
        <v>558</v>
      </c>
      <c r="K203" s="98"/>
    </row>
    <row r="204" spans="1:11">
      <c r="A204" s="75" t="str">
        <f t="shared" si="10"/>
        <v/>
      </c>
      <c r="B204" s="87">
        <f>IF(D204="","",COUNTIF($D$10:D204,D204))</f>
        <v>23</v>
      </c>
      <c r="C204" s="96">
        <v>45930</v>
      </c>
      <c r="D204" s="76">
        <v>9</v>
      </c>
      <c r="E204" s="77" t="s">
        <v>453</v>
      </c>
      <c r="F204" s="95">
        <v>4</v>
      </c>
      <c r="G204" s="97" t="s">
        <v>468</v>
      </c>
      <c r="H204" s="91">
        <f t="shared" si="9"/>
        <v>2025</v>
      </c>
      <c r="I204" s="7" t="s">
        <v>426</v>
      </c>
      <c r="J204" s="76" t="s">
        <v>558</v>
      </c>
      <c r="K204" s="98"/>
    </row>
    <row r="205" spans="1:11">
      <c r="A205" s="75" t="str">
        <f t="shared" si="10"/>
        <v/>
      </c>
      <c r="B205" s="87">
        <f>IF(D205="","",COUNTIF($D$10:D205,D205))</f>
        <v>24</v>
      </c>
      <c r="C205" s="96">
        <v>45930</v>
      </c>
      <c r="D205" s="76">
        <v>9</v>
      </c>
      <c r="E205" s="77" t="s">
        <v>435</v>
      </c>
      <c r="F205" s="95">
        <v>4</v>
      </c>
      <c r="G205" s="97" t="s">
        <v>442</v>
      </c>
      <c r="H205" s="91">
        <f t="shared" si="9"/>
        <v>2025</v>
      </c>
      <c r="I205" s="7" t="s">
        <v>426</v>
      </c>
      <c r="J205" s="76" t="s">
        <v>558</v>
      </c>
      <c r="K205" s="98"/>
    </row>
    <row r="206" spans="1:11">
      <c r="A206" s="75" t="str">
        <f t="shared" si="10"/>
        <v/>
      </c>
      <c r="B206" s="87">
        <f>IF(D206="","",COUNTIF($D$10:D206,D206))</f>
        <v>25</v>
      </c>
      <c r="C206" s="96">
        <v>45903</v>
      </c>
      <c r="D206" s="76">
        <v>9</v>
      </c>
      <c r="E206" s="77" t="s">
        <v>492</v>
      </c>
      <c r="F206" s="95">
        <v>4</v>
      </c>
      <c r="G206" s="97" t="s">
        <v>429</v>
      </c>
      <c r="H206" s="91">
        <f t="shared" si="9"/>
        <v>2025</v>
      </c>
      <c r="I206" s="7" t="s">
        <v>283</v>
      </c>
      <c r="J206" s="76" t="s">
        <v>558</v>
      </c>
      <c r="K206" s="98"/>
    </row>
    <row r="207" spans="1:11">
      <c r="A207" s="75" t="str">
        <f t="shared" si="10"/>
        <v/>
      </c>
      <c r="B207" s="87">
        <f>IF(D207="","",COUNTIF($D$10:D207,D207))</f>
        <v>26</v>
      </c>
      <c r="C207" s="96">
        <v>45903</v>
      </c>
      <c r="D207" s="76">
        <v>9</v>
      </c>
      <c r="E207" s="77" t="s">
        <v>428</v>
      </c>
      <c r="F207" s="95">
        <v>4</v>
      </c>
      <c r="G207" s="97"/>
      <c r="H207" s="91">
        <f t="shared" si="9"/>
        <v>2025</v>
      </c>
      <c r="I207" s="7" t="s">
        <v>384</v>
      </c>
      <c r="J207" s="76" t="s">
        <v>558</v>
      </c>
      <c r="K207" s="98"/>
    </row>
    <row r="208" spans="1:11">
      <c r="A208" s="75" t="str">
        <f t="shared" si="10"/>
        <v/>
      </c>
      <c r="B208" s="87">
        <f>IF(D208="","",COUNTIF($D$10:D208,D208))</f>
        <v>27</v>
      </c>
      <c r="C208" s="96">
        <v>45903</v>
      </c>
      <c r="D208" s="76">
        <v>9</v>
      </c>
      <c r="E208" s="77" t="s">
        <v>438</v>
      </c>
      <c r="F208" s="95">
        <v>4</v>
      </c>
      <c r="G208" s="97"/>
      <c r="H208" s="91">
        <f t="shared" si="9"/>
        <v>2025</v>
      </c>
      <c r="I208" s="7" t="s">
        <v>68</v>
      </c>
      <c r="J208" s="76" t="s">
        <v>558</v>
      </c>
      <c r="K208" s="98"/>
    </row>
    <row r="209" spans="1:11">
      <c r="A209" s="75" t="str">
        <f t="shared" si="10"/>
        <v/>
      </c>
      <c r="B209" s="87">
        <f>IF(D209="","",COUNTIF($D$10:D209,D209))</f>
        <v>28</v>
      </c>
      <c r="C209" s="96">
        <v>45903</v>
      </c>
      <c r="D209" s="76">
        <v>9</v>
      </c>
      <c r="E209" s="77" t="s">
        <v>438</v>
      </c>
      <c r="F209" s="95">
        <v>4</v>
      </c>
      <c r="G209" s="97"/>
      <c r="H209" s="91">
        <f t="shared" si="9"/>
        <v>2025</v>
      </c>
      <c r="I209" s="7" t="s">
        <v>571</v>
      </c>
      <c r="J209" s="76" t="s">
        <v>558</v>
      </c>
      <c r="K209" s="98"/>
    </row>
    <row r="210" spans="1:11">
      <c r="A210" s="75" t="str">
        <f t="shared" si="10"/>
        <v/>
      </c>
      <c r="B210" s="87">
        <f>IF(D210="","",COUNTIF($D$10:D210,D210))</f>
        <v>29</v>
      </c>
      <c r="C210" s="96">
        <v>45904</v>
      </c>
      <c r="D210" s="76">
        <v>9</v>
      </c>
      <c r="E210" s="77" t="s">
        <v>453</v>
      </c>
      <c r="F210" s="95">
        <v>4</v>
      </c>
      <c r="G210" s="97"/>
      <c r="H210" s="91">
        <f t="shared" si="9"/>
        <v>2025</v>
      </c>
      <c r="I210" s="7" t="s">
        <v>68</v>
      </c>
      <c r="J210" s="76" t="s">
        <v>558</v>
      </c>
      <c r="K210" s="98"/>
    </row>
    <row r="211" spans="1:11">
      <c r="A211" s="75" t="str">
        <f t="shared" si="10"/>
        <v/>
      </c>
      <c r="B211" s="87">
        <f>IF(D211="","",COUNTIF($D$10:D211,D211))</f>
        <v>30</v>
      </c>
      <c r="C211" s="96">
        <v>45904</v>
      </c>
      <c r="D211" s="76">
        <v>9</v>
      </c>
      <c r="E211" s="77" t="s">
        <v>435</v>
      </c>
      <c r="F211" s="95">
        <v>4</v>
      </c>
      <c r="G211" s="97"/>
      <c r="H211" s="91">
        <f t="shared" si="9"/>
        <v>2025</v>
      </c>
      <c r="I211" s="7" t="s">
        <v>68</v>
      </c>
      <c r="J211" s="76" t="s">
        <v>558</v>
      </c>
      <c r="K211" s="98"/>
    </row>
    <row r="212" spans="1:11">
      <c r="A212" s="75" t="str">
        <f t="shared" si="10"/>
        <v/>
      </c>
      <c r="B212" s="87">
        <f>IF(D212="","",COUNTIF($D$10:D212,D212))</f>
        <v>31</v>
      </c>
      <c r="C212" s="96">
        <v>45904</v>
      </c>
      <c r="D212" s="76">
        <v>9</v>
      </c>
      <c r="E212" s="77" t="s">
        <v>435</v>
      </c>
      <c r="F212" s="95">
        <v>4</v>
      </c>
      <c r="G212" s="97"/>
      <c r="H212" s="91">
        <f t="shared" si="9"/>
        <v>2025</v>
      </c>
      <c r="I212" s="7" t="s">
        <v>571</v>
      </c>
      <c r="J212" s="76" t="s">
        <v>558</v>
      </c>
      <c r="K212" s="98"/>
    </row>
    <row r="213" spans="1:11">
      <c r="A213" s="75" t="str">
        <f t="shared" si="10"/>
        <v/>
      </c>
      <c r="B213" s="87">
        <f>IF(D213="","",COUNTIF($D$10:D213,D213))</f>
        <v>32</v>
      </c>
      <c r="C213" s="96">
        <v>45908</v>
      </c>
      <c r="D213" s="76">
        <v>9</v>
      </c>
      <c r="E213" s="77" t="s">
        <v>453</v>
      </c>
      <c r="F213" s="95">
        <v>4</v>
      </c>
      <c r="G213" s="97"/>
      <c r="H213" s="91">
        <f t="shared" si="9"/>
        <v>2025</v>
      </c>
      <c r="I213" s="7" t="s">
        <v>571</v>
      </c>
      <c r="J213" s="76" t="s">
        <v>558</v>
      </c>
      <c r="K213" s="98"/>
    </row>
    <row r="214" spans="1:11">
      <c r="A214" s="75" t="str">
        <f t="shared" si="10"/>
        <v/>
      </c>
      <c r="B214" s="87">
        <f>IF(D214="","",COUNTIF($D$10:D214,D214))</f>
        <v>33</v>
      </c>
      <c r="C214" s="96">
        <v>45908</v>
      </c>
      <c r="D214" s="76">
        <v>9</v>
      </c>
      <c r="E214" s="77" t="s">
        <v>435</v>
      </c>
      <c r="F214" s="95">
        <v>4</v>
      </c>
      <c r="G214" s="97"/>
      <c r="H214" s="91">
        <f t="shared" si="9"/>
        <v>2025</v>
      </c>
      <c r="I214" s="7" t="s">
        <v>283</v>
      </c>
      <c r="J214" s="76" t="s">
        <v>558</v>
      </c>
      <c r="K214" s="98"/>
    </row>
    <row r="215" spans="1:11">
      <c r="A215" s="75" t="str">
        <f t="shared" si="10"/>
        <v/>
      </c>
      <c r="B215" s="87">
        <f>IF(D215="","",COUNTIF($D$10:D215,D215))</f>
        <v>34</v>
      </c>
      <c r="C215" s="96">
        <v>45915</v>
      </c>
      <c r="D215" s="76">
        <v>9</v>
      </c>
      <c r="E215" s="77" t="s">
        <v>438</v>
      </c>
      <c r="F215" s="95">
        <v>4</v>
      </c>
      <c r="G215" s="97"/>
      <c r="H215" s="91">
        <f t="shared" si="9"/>
        <v>2025</v>
      </c>
      <c r="I215" s="7" t="s">
        <v>571</v>
      </c>
      <c r="J215" s="76" t="s">
        <v>558</v>
      </c>
      <c r="K215" s="98"/>
    </row>
    <row r="216" spans="1:11">
      <c r="A216" s="75" t="str">
        <f t="shared" si="10"/>
        <v/>
      </c>
      <c r="B216" s="87">
        <f>IF(D216="","",COUNTIF($D$10:D216,D216))</f>
        <v>35</v>
      </c>
      <c r="C216" s="96">
        <v>45915</v>
      </c>
      <c r="D216" s="76">
        <v>9</v>
      </c>
      <c r="E216" s="77" t="s">
        <v>433</v>
      </c>
      <c r="F216" s="95">
        <v>4</v>
      </c>
      <c r="G216" s="97"/>
      <c r="H216" s="91">
        <f t="shared" si="9"/>
        <v>2025</v>
      </c>
      <c r="I216" s="7" t="s">
        <v>283</v>
      </c>
      <c r="J216" s="76" t="s">
        <v>558</v>
      </c>
      <c r="K216" s="98"/>
    </row>
    <row r="217" spans="1:11">
      <c r="A217" s="75" t="str">
        <f t="shared" si="10"/>
        <v/>
      </c>
      <c r="B217" s="87" t="str">
        <f>IF(D217="","",COUNTIF($D$10:D217,D217))</f>
        <v/>
      </c>
      <c r="C217" s="96"/>
    </row>
    <row r="218" spans="1:11">
      <c r="A218" s="75" t="str">
        <f t="shared" si="10"/>
        <v/>
      </c>
      <c r="B218" s="101">
        <f>IF(D218="","",COUNTIF($D$10:D218,D218))</f>
        <v>1</v>
      </c>
      <c r="C218" s="109">
        <v>45931</v>
      </c>
      <c r="D218" s="103">
        <v>10</v>
      </c>
      <c r="E218" s="104" t="s">
        <v>424</v>
      </c>
      <c r="F218" s="105">
        <v>4</v>
      </c>
      <c r="G218" s="110" t="s">
        <v>473</v>
      </c>
      <c r="H218" s="107">
        <f t="shared" ref="H218:H242" si="11">YEAR(C218)</f>
        <v>2025</v>
      </c>
      <c r="I218" s="108" t="s">
        <v>426</v>
      </c>
      <c r="J218" s="103" t="s">
        <v>572</v>
      </c>
      <c r="K218" s="98"/>
    </row>
    <row r="219" spans="1:11">
      <c r="A219" s="75" t="str">
        <f t="shared" si="10"/>
        <v/>
      </c>
      <c r="B219" s="101">
        <f>IF(D219="","",COUNTIF($D$10:D219,D219))</f>
        <v>2</v>
      </c>
      <c r="C219" s="109">
        <v>45932</v>
      </c>
      <c r="D219" s="103">
        <v>10</v>
      </c>
      <c r="E219" s="104" t="s">
        <v>492</v>
      </c>
      <c r="F219" s="105">
        <v>4</v>
      </c>
      <c r="G219" s="110" t="s">
        <v>429</v>
      </c>
      <c r="H219" s="107">
        <f t="shared" si="11"/>
        <v>2025</v>
      </c>
      <c r="I219" s="108" t="s">
        <v>426</v>
      </c>
      <c r="J219" s="103" t="s">
        <v>572</v>
      </c>
      <c r="K219" s="98"/>
    </row>
    <row r="220" spans="1:11">
      <c r="A220" s="75" t="str">
        <f t="shared" si="10"/>
        <v/>
      </c>
      <c r="B220" s="101">
        <f>IF(D220="","",COUNTIF($D$10:D220,D220))</f>
        <v>3</v>
      </c>
      <c r="C220" s="109">
        <v>45933</v>
      </c>
      <c r="D220" s="103">
        <v>10</v>
      </c>
      <c r="E220" s="104" t="s">
        <v>570</v>
      </c>
      <c r="F220" s="105">
        <v>4</v>
      </c>
      <c r="G220" s="110" t="s">
        <v>493</v>
      </c>
      <c r="H220" s="107">
        <f t="shared" si="11"/>
        <v>2025</v>
      </c>
      <c r="I220" s="108" t="s">
        <v>426</v>
      </c>
      <c r="J220" s="103" t="s">
        <v>572</v>
      </c>
      <c r="K220" s="98"/>
    </row>
    <row r="221" spans="1:11">
      <c r="A221" s="75" t="str">
        <f t="shared" si="10"/>
        <v/>
      </c>
      <c r="B221" s="101">
        <f>IF(D221="","",COUNTIF($D$10:D221,D221))</f>
        <v>4</v>
      </c>
      <c r="C221" s="109">
        <v>45933</v>
      </c>
      <c r="D221" s="103">
        <v>10</v>
      </c>
      <c r="E221" s="104" t="s">
        <v>435</v>
      </c>
      <c r="F221" s="105">
        <v>4</v>
      </c>
      <c r="G221" s="110" t="s">
        <v>445</v>
      </c>
      <c r="H221" s="107">
        <f t="shared" si="11"/>
        <v>2025</v>
      </c>
      <c r="I221" s="108" t="s">
        <v>426</v>
      </c>
      <c r="J221" s="103" t="s">
        <v>572</v>
      </c>
      <c r="K221" s="98"/>
    </row>
    <row r="222" spans="1:11">
      <c r="A222" s="75" t="str">
        <f t="shared" si="10"/>
        <v/>
      </c>
      <c r="B222" s="101">
        <f>IF(D222="","",COUNTIF($D$10:D222,D222))</f>
        <v>5</v>
      </c>
      <c r="C222" s="109">
        <v>45936</v>
      </c>
      <c r="D222" s="103">
        <v>10</v>
      </c>
      <c r="E222" s="104" t="s">
        <v>573</v>
      </c>
      <c r="F222" s="105">
        <v>2</v>
      </c>
      <c r="G222" s="110" t="s">
        <v>511</v>
      </c>
      <c r="H222" s="107">
        <f t="shared" si="11"/>
        <v>2025</v>
      </c>
      <c r="I222" s="108" t="s">
        <v>426</v>
      </c>
      <c r="J222" s="103" t="s">
        <v>572</v>
      </c>
      <c r="K222" s="98"/>
    </row>
    <row r="223" spans="1:11">
      <c r="A223" s="75" t="str">
        <f t="shared" si="10"/>
        <v/>
      </c>
      <c r="B223" s="101">
        <f>IF(D223="","",COUNTIF($D$10:D223,D223))</f>
        <v>6</v>
      </c>
      <c r="C223" s="109">
        <v>45936</v>
      </c>
      <c r="D223" s="103">
        <v>10</v>
      </c>
      <c r="E223" s="104" t="s">
        <v>449</v>
      </c>
      <c r="F223" s="105">
        <v>2</v>
      </c>
      <c r="G223" s="110" t="s">
        <v>441</v>
      </c>
      <c r="H223" s="107">
        <f t="shared" si="11"/>
        <v>2025</v>
      </c>
      <c r="I223" s="108" t="s">
        <v>426</v>
      </c>
      <c r="J223" s="103" t="s">
        <v>572</v>
      </c>
      <c r="K223" s="98"/>
    </row>
    <row r="224" spans="1:11">
      <c r="A224" s="75" t="str">
        <f t="shared" si="10"/>
        <v/>
      </c>
      <c r="B224" s="101">
        <f>IF(D224="","",COUNTIF($D$10:D224,D224))</f>
        <v>7</v>
      </c>
      <c r="C224" s="109">
        <v>45937</v>
      </c>
      <c r="D224" s="103">
        <v>10</v>
      </c>
      <c r="E224" s="104" t="s">
        <v>453</v>
      </c>
      <c r="F224" s="105">
        <v>4</v>
      </c>
      <c r="G224" s="110" t="s">
        <v>574</v>
      </c>
      <c r="H224" s="107">
        <f t="shared" si="11"/>
        <v>2025</v>
      </c>
      <c r="I224" s="108" t="s">
        <v>426</v>
      </c>
      <c r="J224" s="103" t="s">
        <v>572</v>
      </c>
      <c r="K224" s="98"/>
    </row>
    <row r="225" spans="1:11">
      <c r="A225" s="75" t="str">
        <f t="shared" si="10"/>
        <v/>
      </c>
      <c r="B225" s="101">
        <f>IF(D225="","",COUNTIF($D$10:D225,D225))</f>
        <v>8</v>
      </c>
      <c r="C225" s="109">
        <v>45938</v>
      </c>
      <c r="D225" s="103">
        <v>10</v>
      </c>
      <c r="E225" s="104" t="s">
        <v>449</v>
      </c>
      <c r="F225" s="105">
        <v>2</v>
      </c>
      <c r="G225" s="110" t="s">
        <v>562</v>
      </c>
      <c r="H225" s="107">
        <f t="shared" si="11"/>
        <v>2025</v>
      </c>
      <c r="I225" s="108" t="s">
        <v>426</v>
      </c>
      <c r="J225" s="103" t="s">
        <v>572</v>
      </c>
      <c r="K225" s="98"/>
    </row>
    <row r="226" spans="1:11">
      <c r="A226" s="75" t="str">
        <f t="shared" si="10"/>
        <v/>
      </c>
      <c r="B226" s="101">
        <f>IF(D226="","",COUNTIF($D$10:D226,D226))</f>
        <v>9</v>
      </c>
      <c r="C226" s="109">
        <v>45938</v>
      </c>
      <c r="D226" s="103">
        <v>10</v>
      </c>
      <c r="E226" s="104" t="s">
        <v>503</v>
      </c>
      <c r="F226" s="105">
        <v>2</v>
      </c>
      <c r="G226" s="110" t="s">
        <v>575</v>
      </c>
      <c r="H226" s="107">
        <f t="shared" si="11"/>
        <v>2025</v>
      </c>
      <c r="I226" s="108" t="s">
        <v>426</v>
      </c>
      <c r="J226" s="103" t="s">
        <v>572</v>
      </c>
      <c r="K226" s="98"/>
    </row>
    <row r="227" spans="1:11">
      <c r="A227" s="75" t="str">
        <f t="shared" si="10"/>
        <v/>
      </c>
      <c r="B227" s="101">
        <f>IF(D227="","",COUNTIF($D$10:D227,D227))</f>
        <v>10</v>
      </c>
      <c r="C227" s="109">
        <v>45938</v>
      </c>
      <c r="D227" s="103">
        <v>10</v>
      </c>
      <c r="E227" s="104" t="s">
        <v>438</v>
      </c>
      <c r="F227" s="105">
        <v>4</v>
      </c>
      <c r="G227" s="110" t="s">
        <v>482</v>
      </c>
      <c r="H227" s="107">
        <f t="shared" si="11"/>
        <v>2025</v>
      </c>
      <c r="I227" s="108" t="s">
        <v>426</v>
      </c>
      <c r="J227" s="103" t="s">
        <v>572</v>
      </c>
      <c r="K227" s="98"/>
    </row>
    <row r="228" spans="1:11">
      <c r="A228" s="75" t="str">
        <f t="shared" si="10"/>
        <v/>
      </c>
      <c r="B228" s="101">
        <f>IF(D228="","",COUNTIF($D$10:D228,D228))</f>
        <v>11</v>
      </c>
      <c r="C228" s="109">
        <v>45938</v>
      </c>
      <c r="D228" s="103">
        <v>10</v>
      </c>
      <c r="E228" s="104" t="s">
        <v>435</v>
      </c>
      <c r="F228" s="105">
        <v>4</v>
      </c>
      <c r="G228" s="110" t="s">
        <v>576</v>
      </c>
      <c r="H228" s="107">
        <f t="shared" si="11"/>
        <v>2025</v>
      </c>
      <c r="I228" s="108" t="s">
        <v>426</v>
      </c>
      <c r="J228" s="103" t="s">
        <v>572</v>
      </c>
      <c r="K228" s="98"/>
    </row>
    <row r="229" spans="1:11">
      <c r="A229" s="75" t="str">
        <f t="shared" si="10"/>
        <v/>
      </c>
      <c r="B229" s="101">
        <f>IF(D229="","",COUNTIF($D$10:D229,D229))</f>
        <v>12</v>
      </c>
      <c r="C229" s="109">
        <v>45939</v>
      </c>
      <c r="D229" s="103">
        <v>10</v>
      </c>
      <c r="E229" s="104" t="s">
        <v>453</v>
      </c>
      <c r="F229" s="105">
        <v>4</v>
      </c>
      <c r="G229" s="110" t="s">
        <v>465</v>
      </c>
      <c r="H229" s="107">
        <f t="shared" si="11"/>
        <v>2025</v>
      </c>
      <c r="I229" s="108" t="s">
        <v>426</v>
      </c>
      <c r="J229" s="103" t="s">
        <v>572</v>
      </c>
      <c r="K229" s="98"/>
    </row>
    <row r="230" spans="1:11">
      <c r="A230" s="75" t="str">
        <f t="shared" si="10"/>
        <v/>
      </c>
      <c r="B230" s="101">
        <f>IF(D230="","",COUNTIF($D$10:D230,D230))</f>
        <v>13</v>
      </c>
      <c r="C230" s="109">
        <v>45943</v>
      </c>
      <c r="D230" s="103">
        <v>10</v>
      </c>
      <c r="E230" s="104" t="s">
        <v>435</v>
      </c>
      <c r="F230" s="105">
        <v>4</v>
      </c>
      <c r="G230" s="110" t="s">
        <v>513</v>
      </c>
      <c r="H230" s="107">
        <f t="shared" si="11"/>
        <v>2025</v>
      </c>
      <c r="I230" s="108" t="s">
        <v>426</v>
      </c>
      <c r="J230" s="103" t="s">
        <v>572</v>
      </c>
      <c r="K230" s="98"/>
    </row>
    <row r="231" spans="1:11">
      <c r="A231" s="75" t="str">
        <f t="shared" si="10"/>
        <v/>
      </c>
      <c r="B231" s="101">
        <f>IF(D231="","",COUNTIF($D$10:D231,D231))</f>
        <v>14</v>
      </c>
      <c r="C231" s="109">
        <v>45944</v>
      </c>
      <c r="D231" s="103">
        <v>10</v>
      </c>
      <c r="E231" s="104" t="s">
        <v>453</v>
      </c>
      <c r="F231" s="105">
        <v>4</v>
      </c>
      <c r="G231" s="110" t="s">
        <v>564</v>
      </c>
      <c r="H231" s="107">
        <f t="shared" si="11"/>
        <v>2025</v>
      </c>
      <c r="I231" s="108" t="s">
        <v>426</v>
      </c>
      <c r="J231" s="103" t="s">
        <v>572</v>
      </c>
      <c r="K231" s="98"/>
    </row>
    <row r="232" spans="1:11">
      <c r="A232" s="75" t="str">
        <f t="shared" si="10"/>
        <v/>
      </c>
      <c r="B232" s="101">
        <f>IF(D232="","",COUNTIF($D$10:D232,D232))</f>
        <v>15</v>
      </c>
      <c r="C232" s="109">
        <v>45945</v>
      </c>
      <c r="D232" s="103">
        <v>10</v>
      </c>
      <c r="E232" s="104" t="s">
        <v>424</v>
      </c>
      <c r="F232" s="105">
        <v>4</v>
      </c>
      <c r="G232" s="110" t="s">
        <v>569</v>
      </c>
      <c r="H232" s="107">
        <f t="shared" si="11"/>
        <v>2025</v>
      </c>
      <c r="I232" s="108" t="s">
        <v>426</v>
      </c>
      <c r="J232" s="103" t="s">
        <v>572</v>
      </c>
      <c r="K232" s="98"/>
    </row>
    <row r="233" spans="1:11">
      <c r="A233" s="75" t="str">
        <f t="shared" si="10"/>
        <v/>
      </c>
      <c r="B233" s="101">
        <f>IF(D233="","",COUNTIF($D$10:D233,D233))</f>
        <v>16</v>
      </c>
      <c r="C233" s="109">
        <v>45946</v>
      </c>
      <c r="D233" s="103">
        <v>10</v>
      </c>
      <c r="E233" s="104" t="s">
        <v>570</v>
      </c>
      <c r="F233" s="105">
        <v>4</v>
      </c>
      <c r="G233" s="110" t="s">
        <v>446</v>
      </c>
      <c r="H233" s="107">
        <f t="shared" si="11"/>
        <v>2025</v>
      </c>
      <c r="I233" s="108" t="s">
        <v>426</v>
      </c>
      <c r="J233" s="103" t="s">
        <v>572</v>
      </c>
      <c r="K233" s="98"/>
    </row>
    <row r="234" spans="1:11">
      <c r="A234" s="75" t="str">
        <f t="shared" si="10"/>
        <v/>
      </c>
      <c r="B234" s="101">
        <f>IF(D234="","",COUNTIF($D$10:D234,D234))</f>
        <v>17</v>
      </c>
      <c r="C234" s="109">
        <v>45946</v>
      </c>
      <c r="D234" s="103">
        <v>10</v>
      </c>
      <c r="E234" s="104" t="s">
        <v>570</v>
      </c>
      <c r="F234" s="105">
        <v>4</v>
      </c>
      <c r="G234" s="110" t="s">
        <v>510</v>
      </c>
      <c r="H234" s="107">
        <f t="shared" si="11"/>
        <v>2025</v>
      </c>
      <c r="I234" s="108" t="s">
        <v>426</v>
      </c>
      <c r="J234" s="103" t="s">
        <v>572</v>
      </c>
      <c r="K234" s="98"/>
    </row>
    <row r="235" spans="1:11">
      <c r="A235" s="75" t="str">
        <f t="shared" si="10"/>
        <v/>
      </c>
      <c r="B235" s="101">
        <f>IF(D235="","",COUNTIF($D$10:D235,D235))</f>
        <v>18</v>
      </c>
      <c r="C235" s="109">
        <v>45947</v>
      </c>
      <c r="D235" s="103">
        <v>10</v>
      </c>
      <c r="E235" s="104" t="s">
        <v>503</v>
      </c>
      <c r="F235" s="105">
        <v>2</v>
      </c>
      <c r="G235" s="110" t="s">
        <v>506</v>
      </c>
      <c r="H235" s="107">
        <f t="shared" si="11"/>
        <v>2025</v>
      </c>
      <c r="I235" s="108" t="s">
        <v>426</v>
      </c>
      <c r="J235" s="103" t="s">
        <v>572</v>
      </c>
      <c r="K235" s="98"/>
    </row>
    <row r="236" spans="1:11">
      <c r="A236" s="75" t="str">
        <f t="shared" si="10"/>
        <v/>
      </c>
      <c r="B236" s="101">
        <f>IF(D236="","",COUNTIF($D$10:D236,D236))</f>
        <v>19</v>
      </c>
      <c r="C236" s="109">
        <v>45947</v>
      </c>
      <c r="D236" s="103">
        <v>10</v>
      </c>
      <c r="E236" s="104" t="s">
        <v>449</v>
      </c>
      <c r="F236" s="105">
        <v>2</v>
      </c>
      <c r="G236" s="110" t="s">
        <v>562</v>
      </c>
      <c r="H236" s="107">
        <f t="shared" si="11"/>
        <v>2025</v>
      </c>
      <c r="I236" s="108" t="s">
        <v>426</v>
      </c>
      <c r="J236" s="103" t="s">
        <v>572</v>
      </c>
      <c r="K236" s="98"/>
    </row>
    <row r="237" spans="1:11">
      <c r="A237" s="75" t="str">
        <f t="shared" si="10"/>
        <v/>
      </c>
      <c r="B237" s="101">
        <f>IF(D237="","",COUNTIF($D$10:D237,D237))</f>
        <v>20</v>
      </c>
      <c r="C237" s="109">
        <v>45950</v>
      </c>
      <c r="D237" s="103">
        <v>10</v>
      </c>
      <c r="E237" s="104" t="s">
        <v>453</v>
      </c>
      <c r="F237" s="105">
        <v>4</v>
      </c>
      <c r="G237" s="110" t="s">
        <v>577</v>
      </c>
      <c r="H237" s="107">
        <f t="shared" si="11"/>
        <v>2025</v>
      </c>
      <c r="I237" s="108" t="s">
        <v>426</v>
      </c>
      <c r="J237" s="103" t="s">
        <v>572</v>
      </c>
      <c r="K237" s="98"/>
    </row>
    <row r="238" spans="1:11">
      <c r="A238" s="75" t="str">
        <f t="shared" si="10"/>
        <v/>
      </c>
      <c r="B238" s="101">
        <f>IF(D238="","",COUNTIF($D$10:D238,D238))</f>
        <v>21</v>
      </c>
      <c r="C238" s="109">
        <v>45951</v>
      </c>
      <c r="D238" s="103">
        <v>10</v>
      </c>
      <c r="E238" s="104" t="s">
        <v>438</v>
      </c>
      <c r="F238" s="105">
        <v>4</v>
      </c>
      <c r="G238" s="110" t="s">
        <v>439</v>
      </c>
      <c r="H238" s="107">
        <f t="shared" si="11"/>
        <v>2025</v>
      </c>
      <c r="I238" s="108" t="s">
        <v>426</v>
      </c>
      <c r="J238" s="103" t="s">
        <v>572</v>
      </c>
      <c r="K238" s="98"/>
    </row>
    <row r="239" spans="1:11">
      <c r="A239" s="75" t="str">
        <f t="shared" si="10"/>
        <v/>
      </c>
      <c r="B239" s="101">
        <f>IF(D239="","",COUNTIF($D$10:D239,D239))</f>
        <v>22</v>
      </c>
      <c r="C239" s="109">
        <v>45953</v>
      </c>
      <c r="D239" s="103">
        <v>10</v>
      </c>
      <c r="E239" s="104" t="s">
        <v>424</v>
      </c>
      <c r="F239" s="105">
        <v>4</v>
      </c>
      <c r="G239" s="110" t="s">
        <v>459</v>
      </c>
      <c r="H239" s="107">
        <f t="shared" si="11"/>
        <v>2025</v>
      </c>
      <c r="I239" s="108" t="s">
        <v>426</v>
      </c>
      <c r="J239" s="103" t="s">
        <v>572</v>
      </c>
      <c r="K239" s="98"/>
    </row>
    <row r="240" spans="1:11">
      <c r="A240" s="75" t="str">
        <f t="shared" si="10"/>
        <v/>
      </c>
      <c r="B240" s="101">
        <f>IF(D240="","",COUNTIF($D$10:D240,D240))</f>
        <v>23</v>
      </c>
      <c r="C240" s="109">
        <v>45954</v>
      </c>
      <c r="D240" s="103">
        <v>10</v>
      </c>
      <c r="E240" s="104" t="s">
        <v>570</v>
      </c>
      <c r="F240" s="105">
        <v>4</v>
      </c>
      <c r="G240" s="110" t="s">
        <v>578</v>
      </c>
      <c r="H240" s="107">
        <f t="shared" si="11"/>
        <v>2025</v>
      </c>
      <c r="I240" s="108" t="s">
        <v>426</v>
      </c>
      <c r="J240" s="103" t="s">
        <v>572</v>
      </c>
      <c r="K240" s="98"/>
    </row>
    <row r="241" spans="1:11">
      <c r="A241" s="75" t="str">
        <f t="shared" si="10"/>
        <v/>
      </c>
      <c r="B241" s="101">
        <f>IF(D241="","",COUNTIF($D$10:D241,D241))</f>
        <v>24</v>
      </c>
      <c r="C241" s="109">
        <v>45956</v>
      </c>
      <c r="D241" s="103">
        <v>10</v>
      </c>
      <c r="E241" s="104" t="s">
        <v>424</v>
      </c>
      <c r="F241" s="105">
        <v>4</v>
      </c>
      <c r="G241" s="110" t="s">
        <v>579</v>
      </c>
      <c r="H241" s="107">
        <f t="shared" si="11"/>
        <v>2025</v>
      </c>
      <c r="I241" s="108" t="s">
        <v>426</v>
      </c>
      <c r="J241" s="103" t="s">
        <v>572</v>
      </c>
      <c r="K241" s="98"/>
    </row>
    <row r="242" spans="1:11">
      <c r="A242" s="75" t="str">
        <f t="shared" si="10"/>
        <v/>
      </c>
      <c r="B242" s="101">
        <f>IF(D242="","",COUNTIF($D$10:D242,D242))</f>
        <v>25</v>
      </c>
      <c r="C242" s="109">
        <v>45957</v>
      </c>
      <c r="D242" s="103">
        <v>10</v>
      </c>
      <c r="E242" s="104" t="s">
        <v>438</v>
      </c>
      <c r="F242" s="105">
        <v>4</v>
      </c>
      <c r="G242" s="110" t="s">
        <v>580</v>
      </c>
      <c r="H242" s="107">
        <f t="shared" si="11"/>
        <v>2025</v>
      </c>
      <c r="I242" s="108" t="s">
        <v>426</v>
      </c>
      <c r="J242" s="103" t="s">
        <v>572</v>
      </c>
      <c r="K242" s="98"/>
    </row>
    <row r="243" spans="1:11">
      <c r="A243" s="75" t="str">
        <f t="shared" si="10"/>
        <v/>
      </c>
      <c r="B243" s="87" t="str">
        <f>IF(D243="","",COUNTIF($D$10:D243,D243))</f>
        <v/>
      </c>
    </row>
    <row r="244" spans="1:11">
      <c r="A244" s="75" t="str">
        <f t="shared" si="10"/>
        <v/>
      </c>
      <c r="B244" s="87">
        <f>IF(D244="","",COUNTIF($D$10:D244,D244))</f>
        <v>1</v>
      </c>
      <c r="C244" s="96">
        <v>45717</v>
      </c>
      <c r="D244" s="76">
        <f t="shared" ref="D244:D270" si="12">MONTH(C244)</f>
        <v>3</v>
      </c>
      <c r="E244" s="77" t="s">
        <v>431</v>
      </c>
      <c r="F244" s="95">
        <v>4</v>
      </c>
      <c r="G244" s="78" t="s">
        <v>581</v>
      </c>
      <c r="H244" s="91">
        <f t="shared" ref="H244:H270" si="13">YEAR(C244)</f>
        <v>2025</v>
      </c>
      <c r="I244" s="7" t="s">
        <v>426</v>
      </c>
      <c r="J244" s="76" t="s">
        <v>582</v>
      </c>
    </row>
    <row r="245" spans="1:11">
      <c r="A245" s="75" t="str">
        <f t="shared" si="10"/>
        <v/>
      </c>
      <c r="B245" s="87">
        <f>IF(D245="","",COUNTIF($D$10:D245,D245))</f>
        <v>2</v>
      </c>
      <c r="C245" s="96">
        <v>45719</v>
      </c>
      <c r="D245" s="76">
        <f t="shared" si="12"/>
        <v>3</v>
      </c>
      <c r="E245" s="77" t="s">
        <v>449</v>
      </c>
      <c r="F245" s="95">
        <v>2</v>
      </c>
      <c r="G245" s="78" t="s">
        <v>491</v>
      </c>
      <c r="H245" s="91">
        <f t="shared" si="13"/>
        <v>2025</v>
      </c>
      <c r="I245" s="7" t="s">
        <v>426</v>
      </c>
      <c r="J245" s="76" t="s">
        <v>582</v>
      </c>
    </row>
    <row r="246" spans="1:11">
      <c r="A246" s="75" t="str">
        <f t="shared" si="10"/>
        <v/>
      </c>
      <c r="B246" s="87">
        <f>IF(D246="","",COUNTIF($D$10:D246,D246))</f>
        <v>3</v>
      </c>
      <c r="C246" s="96">
        <v>45719</v>
      </c>
      <c r="D246" s="76">
        <f t="shared" si="12"/>
        <v>3</v>
      </c>
      <c r="E246" s="77" t="s">
        <v>447</v>
      </c>
      <c r="F246" s="95">
        <v>2</v>
      </c>
      <c r="G246" s="78" t="s">
        <v>452</v>
      </c>
      <c r="H246" s="91">
        <f t="shared" si="13"/>
        <v>2025</v>
      </c>
      <c r="I246" s="7" t="s">
        <v>426</v>
      </c>
      <c r="J246" s="76" t="s">
        <v>582</v>
      </c>
    </row>
    <row r="247" spans="1:11">
      <c r="A247" s="75" t="str">
        <f t="shared" si="10"/>
        <v/>
      </c>
      <c r="B247" s="87">
        <f>IF(D247="","",COUNTIF($D$10:D247,D247))</f>
        <v>4</v>
      </c>
      <c r="C247" s="96">
        <v>45719</v>
      </c>
      <c r="D247" s="76">
        <f t="shared" si="12"/>
        <v>3</v>
      </c>
      <c r="E247" s="77" t="s">
        <v>424</v>
      </c>
      <c r="F247" s="95">
        <v>4</v>
      </c>
      <c r="G247" s="78" t="s">
        <v>583</v>
      </c>
      <c r="H247" s="91">
        <f t="shared" si="13"/>
        <v>2025</v>
      </c>
      <c r="I247" s="7" t="s">
        <v>426</v>
      </c>
      <c r="J247" s="76" t="s">
        <v>582</v>
      </c>
    </row>
    <row r="248" spans="1:11">
      <c r="A248" s="75" t="str">
        <f t="shared" si="10"/>
        <v/>
      </c>
      <c r="B248" s="87">
        <f>IF(D248="","",COUNTIF($D$10:D248,D248))</f>
        <v>5</v>
      </c>
      <c r="C248" s="96">
        <v>45720</v>
      </c>
      <c r="D248" s="76">
        <f t="shared" si="12"/>
        <v>3</v>
      </c>
      <c r="E248" s="77" t="s">
        <v>492</v>
      </c>
      <c r="F248" s="95">
        <v>4</v>
      </c>
      <c r="G248" s="78" t="s">
        <v>474</v>
      </c>
      <c r="H248" s="91">
        <f t="shared" si="13"/>
        <v>2025</v>
      </c>
      <c r="I248" s="7" t="s">
        <v>426</v>
      </c>
      <c r="J248" s="76" t="s">
        <v>582</v>
      </c>
    </row>
    <row r="249" spans="1:11">
      <c r="A249" s="75" t="str">
        <f t="shared" si="10"/>
        <v/>
      </c>
      <c r="B249" s="87">
        <f>IF(D249="","",COUNTIF($D$10:D249,D249))</f>
        <v>6</v>
      </c>
      <c r="C249" s="96">
        <v>45721</v>
      </c>
      <c r="D249" s="76">
        <f t="shared" si="12"/>
        <v>3</v>
      </c>
      <c r="E249" s="77" t="s">
        <v>424</v>
      </c>
      <c r="F249" s="95">
        <v>4</v>
      </c>
      <c r="G249" s="78" t="s">
        <v>491</v>
      </c>
      <c r="H249" s="91">
        <f t="shared" si="13"/>
        <v>2025</v>
      </c>
      <c r="I249" s="7" t="s">
        <v>426</v>
      </c>
      <c r="J249" s="76" t="s">
        <v>582</v>
      </c>
    </row>
    <row r="250" spans="1:11">
      <c r="A250" s="75" t="str">
        <f t="shared" si="10"/>
        <v/>
      </c>
      <c r="B250" s="87">
        <f>IF(D250="","",COUNTIF($D$10:D250,D250))</f>
        <v>7</v>
      </c>
      <c r="C250" s="96">
        <v>45722</v>
      </c>
      <c r="D250" s="76">
        <f t="shared" si="12"/>
        <v>3</v>
      </c>
      <c r="E250" s="77" t="s">
        <v>492</v>
      </c>
      <c r="F250" s="95">
        <v>4</v>
      </c>
      <c r="G250" s="78" t="s">
        <v>434</v>
      </c>
      <c r="H250" s="91">
        <f t="shared" si="13"/>
        <v>2025</v>
      </c>
      <c r="I250" s="7" t="s">
        <v>426</v>
      </c>
      <c r="J250" s="76" t="s">
        <v>582</v>
      </c>
    </row>
    <row r="251" spans="1:11">
      <c r="A251" s="75" t="str">
        <f t="shared" si="10"/>
        <v/>
      </c>
      <c r="B251" s="87">
        <f>IF(D251="","",COUNTIF($D$10:D251,D251))</f>
        <v>8</v>
      </c>
      <c r="C251" s="96">
        <v>45723</v>
      </c>
      <c r="D251" s="76">
        <f t="shared" si="12"/>
        <v>3</v>
      </c>
      <c r="E251" s="77" t="s">
        <v>453</v>
      </c>
      <c r="F251" s="95">
        <v>4</v>
      </c>
      <c r="G251" s="78" t="s">
        <v>584</v>
      </c>
      <c r="H251" s="91">
        <f t="shared" si="13"/>
        <v>2025</v>
      </c>
      <c r="I251" s="7" t="s">
        <v>426</v>
      </c>
      <c r="J251" s="76" t="s">
        <v>582</v>
      </c>
    </row>
    <row r="252" spans="1:11">
      <c r="A252" s="75" t="str">
        <f t="shared" si="10"/>
        <v/>
      </c>
      <c r="B252" s="87">
        <f>IF(D252="","",COUNTIF($D$10:D252,D252))</f>
        <v>9</v>
      </c>
      <c r="C252" s="96">
        <v>45724</v>
      </c>
      <c r="D252" s="76">
        <f t="shared" si="12"/>
        <v>3</v>
      </c>
      <c r="E252" s="77" t="s">
        <v>424</v>
      </c>
      <c r="F252" s="95">
        <v>4</v>
      </c>
      <c r="G252" s="78" t="s">
        <v>472</v>
      </c>
      <c r="H252" s="91">
        <f t="shared" si="13"/>
        <v>2025</v>
      </c>
      <c r="I252" s="7" t="s">
        <v>426</v>
      </c>
      <c r="J252" s="76" t="s">
        <v>582</v>
      </c>
    </row>
    <row r="253" spans="1:11">
      <c r="A253" s="75" t="str">
        <f t="shared" si="10"/>
        <v/>
      </c>
      <c r="B253" s="87">
        <f>IF(D253="","",COUNTIF($D$10:D253,D253))</f>
        <v>10</v>
      </c>
      <c r="C253" s="96">
        <v>45724</v>
      </c>
      <c r="D253" s="76">
        <f t="shared" si="12"/>
        <v>3</v>
      </c>
      <c r="E253" s="77" t="s">
        <v>431</v>
      </c>
      <c r="F253" s="95">
        <v>4</v>
      </c>
      <c r="G253" s="78" t="s">
        <v>585</v>
      </c>
      <c r="H253" s="91">
        <f t="shared" si="13"/>
        <v>2025</v>
      </c>
      <c r="I253" s="7" t="s">
        <v>426</v>
      </c>
      <c r="J253" s="76" t="s">
        <v>582</v>
      </c>
    </row>
    <row r="254" spans="1:11">
      <c r="A254" s="75" t="str">
        <f t="shared" si="10"/>
        <v/>
      </c>
      <c r="B254" s="87">
        <f>IF(D254="","",COUNTIF($D$10:D254,D254))</f>
        <v>11</v>
      </c>
      <c r="C254" s="96">
        <v>45726</v>
      </c>
      <c r="D254" s="76">
        <f t="shared" si="12"/>
        <v>3</v>
      </c>
      <c r="E254" s="77" t="s">
        <v>438</v>
      </c>
      <c r="F254" s="95">
        <v>4</v>
      </c>
      <c r="G254" s="78" t="s">
        <v>559</v>
      </c>
      <c r="H254" s="91">
        <f t="shared" si="13"/>
        <v>2025</v>
      </c>
      <c r="I254" s="7" t="s">
        <v>426</v>
      </c>
      <c r="J254" s="76" t="s">
        <v>582</v>
      </c>
    </row>
    <row r="255" spans="1:11">
      <c r="A255" s="75" t="str">
        <f t="shared" si="10"/>
        <v/>
      </c>
      <c r="B255" s="87">
        <f>IF(D255="","",COUNTIF($D$10:D255,D255))</f>
        <v>12</v>
      </c>
      <c r="C255" s="96">
        <v>45727</v>
      </c>
      <c r="D255" s="76">
        <f t="shared" si="12"/>
        <v>3</v>
      </c>
      <c r="E255" s="77" t="s">
        <v>453</v>
      </c>
      <c r="F255" s="95">
        <v>4</v>
      </c>
      <c r="G255" s="78" t="s">
        <v>585</v>
      </c>
      <c r="H255" s="91">
        <f t="shared" si="13"/>
        <v>2025</v>
      </c>
      <c r="I255" s="7" t="s">
        <v>426</v>
      </c>
      <c r="J255" s="76" t="s">
        <v>582</v>
      </c>
    </row>
    <row r="256" spans="1:11">
      <c r="A256" s="75" t="str">
        <f t="shared" si="10"/>
        <v/>
      </c>
      <c r="B256" s="87">
        <f>IF(D256="","",COUNTIF($D$10:D256,D256))</f>
        <v>13</v>
      </c>
      <c r="C256" s="96">
        <v>45727</v>
      </c>
      <c r="D256" s="76">
        <f t="shared" si="12"/>
        <v>3</v>
      </c>
      <c r="E256" s="77" t="s">
        <v>433</v>
      </c>
      <c r="F256" s="95">
        <v>4</v>
      </c>
      <c r="G256" s="78" t="s">
        <v>584</v>
      </c>
      <c r="H256" s="91">
        <f t="shared" si="13"/>
        <v>2025</v>
      </c>
      <c r="I256" s="7" t="s">
        <v>426</v>
      </c>
      <c r="J256" s="76" t="s">
        <v>582</v>
      </c>
    </row>
    <row r="257" spans="1:10">
      <c r="A257" s="75" t="str">
        <f t="shared" si="10"/>
        <v/>
      </c>
      <c r="B257" s="87">
        <f>IF(D257="","",COUNTIF($D$10:D257,D257))</f>
        <v>14</v>
      </c>
      <c r="C257" s="96">
        <v>45728</v>
      </c>
      <c r="D257" s="76">
        <f t="shared" si="12"/>
        <v>3</v>
      </c>
      <c r="E257" s="77" t="s">
        <v>492</v>
      </c>
      <c r="F257" s="95">
        <v>4</v>
      </c>
      <c r="G257" s="78" t="s">
        <v>466</v>
      </c>
      <c r="H257" s="91">
        <f t="shared" si="13"/>
        <v>2025</v>
      </c>
      <c r="I257" s="7" t="s">
        <v>426</v>
      </c>
      <c r="J257" s="76" t="s">
        <v>582</v>
      </c>
    </row>
    <row r="258" spans="1:10">
      <c r="A258" s="75" t="str">
        <f t="shared" si="10"/>
        <v/>
      </c>
      <c r="B258" s="87">
        <f>IF(D258="","",COUNTIF($D$10:D258,D258))</f>
        <v>15</v>
      </c>
      <c r="C258" s="96">
        <v>45729</v>
      </c>
      <c r="D258" s="76">
        <f t="shared" si="12"/>
        <v>3</v>
      </c>
      <c r="E258" s="77" t="s">
        <v>431</v>
      </c>
      <c r="F258" s="95">
        <v>4</v>
      </c>
      <c r="G258" s="78" t="s">
        <v>569</v>
      </c>
      <c r="H258" s="91">
        <f t="shared" si="13"/>
        <v>2025</v>
      </c>
      <c r="I258" s="7" t="s">
        <v>426</v>
      </c>
      <c r="J258" s="76" t="s">
        <v>582</v>
      </c>
    </row>
    <row r="259" spans="1:10">
      <c r="A259" s="75" t="str">
        <f t="shared" si="10"/>
        <v/>
      </c>
      <c r="B259" s="87">
        <f>IF(D259="","",COUNTIF($D$10:D259,D259))</f>
        <v>16</v>
      </c>
      <c r="C259" s="96">
        <v>45729</v>
      </c>
      <c r="D259" s="76">
        <f t="shared" si="12"/>
        <v>3</v>
      </c>
      <c r="E259" s="77" t="s">
        <v>438</v>
      </c>
      <c r="F259" s="95">
        <v>4</v>
      </c>
      <c r="G259" s="78" t="s">
        <v>468</v>
      </c>
      <c r="H259" s="91">
        <f t="shared" si="13"/>
        <v>2025</v>
      </c>
      <c r="I259" s="7" t="s">
        <v>426</v>
      </c>
      <c r="J259" s="76" t="s">
        <v>582</v>
      </c>
    </row>
    <row r="260" spans="1:10">
      <c r="A260" s="75" t="str">
        <f t="shared" si="10"/>
        <v/>
      </c>
      <c r="B260" s="87">
        <f>IF(D260="","",COUNTIF($D$10:D260,D260))</f>
        <v>17</v>
      </c>
      <c r="C260" s="96">
        <v>45730</v>
      </c>
      <c r="D260" s="76">
        <f t="shared" si="12"/>
        <v>3</v>
      </c>
      <c r="E260" s="77" t="s">
        <v>492</v>
      </c>
      <c r="F260" s="95">
        <v>4</v>
      </c>
      <c r="G260" s="78" t="s">
        <v>480</v>
      </c>
      <c r="H260" s="91">
        <f t="shared" si="13"/>
        <v>2025</v>
      </c>
      <c r="I260" s="7" t="s">
        <v>426</v>
      </c>
      <c r="J260" s="76" t="s">
        <v>582</v>
      </c>
    </row>
    <row r="261" spans="1:10">
      <c r="A261" s="75" t="str">
        <f t="shared" si="10"/>
        <v/>
      </c>
      <c r="B261" s="87">
        <f>IF(D261="","",COUNTIF($D$10:D261,D261))</f>
        <v>18</v>
      </c>
      <c r="C261" s="96">
        <v>45731</v>
      </c>
      <c r="D261" s="76">
        <f t="shared" si="12"/>
        <v>3</v>
      </c>
      <c r="E261" s="77" t="s">
        <v>435</v>
      </c>
      <c r="F261" s="95">
        <v>4</v>
      </c>
      <c r="G261" s="78" t="s">
        <v>584</v>
      </c>
      <c r="H261" s="91">
        <f t="shared" si="13"/>
        <v>2025</v>
      </c>
      <c r="I261" s="7" t="s">
        <v>426</v>
      </c>
      <c r="J261" s="76" t="s">
        <v>582</v>
      </c>
    </row>
    <row r="262" spans="1:10">
      <c r="A262" s="75" t="str">
        <f t="shared" si="10"/>
        <v/>
      </c>
      <c r="B262" s="87">
        <f>IF(D262="","",COUNTIF($D$10:D262,D262))</f>
        <v>19</v>
      </c>
      <c r="C262" s="96">
        <v>45731</v>
      </c>
      <c r="D262" s="76">
        <f t="shared" si="12"/>
        <v>3</v>
      </c>
      <c r="E262" s="77" t="s">
        <v>438</v>
      </c>
      <c r="F262" s="95">
        <v>4</v>
      </c>
      <c r="G262" s="78" t="s">
        <v>556</v>
      </c>
      <c r="H262" s="91">
        <f t="shared" si="13"/>
        <v>2025</v>
      </c>
      <c r="I262" s="7" t="s">
        <v>426</v>
      </c>
      <c r="J262" s="76" t="s">
        <v>582</v>
      </c>
    </row>
    <row r="263" spans="1:10">
      <c r="A263" s="75" t="str">
        <f t="shared" si="10"/>
        <v/>
      </c>
      <c r="B263" s="87">
        <f>IF(D263="","",COUNTIF($D$10:D263,D263))</f>
        <v>20</v>
      </c>
      <c r="C263" s="96">
        <v>45733</v>
      </c>
      <c r="D263" s="76">
        <f t="shared" si="12"/>
        <v>3</v>
      </c>
      <c r="E263" s="77" t="s">
        <v>453</v>
      </c>
      <c r="F263" s="95">
        <v>4</v>
      </c>
      <c r="G263" s="78" t="s">
        <v>562</v>
      </c>
      <c r="H263" s="91">
        <f t="shared" si="13"/>
        <v>2025</v>
      </c>
      <c r="I263" s="7" t="s">
        <v>426</v>
      </c>
      <c r="J263" s="76" t="s">
        <v>582</v>
      </c>
    </row>
    <row r="264" spans="1:10">
      <c r="A264" s="75" t="str">
        <f t="shared" si="10"/>
        <v/>
      </c>
      <c r="B264" s="87">
        <f>IF(D264="","",COUNTIF($D$10:D264,D264))</f>
        <v>21</v>
      </c>
      <c r="C264" s="96">
        <v>45733</v>
      </c>
      <c r="D264" s="76">
        <f t="shared" si="12"/>
        <v>3</v>
      </c>
      <c r="E264" s="77" t="s">
        <v>492</v>
      </c>
      <c r="F264" s="95">
        <v>4</v>
      </c>
      <c r="G264" s="78" t="s">
        <v>451</v>
      </c>
      <c r="H264" s="91">
        <f t="shared" si="13"/>
        <v>2025</v>
      </c>
      <c r="I264" s="7" t="s">
        <v>426</v>
      </c>
      <c r="J264" s="76" t="s">
        <v>582</v>
      </c>
    </row>
    <row r="265" spans="1:10">
      <c r="A265" s="75" t="str">
        <f t="shared" si="10"/>
        <v/>
      </c>
      <c r="B265" s="87">
        <f>IF(D265="","",COUNTIF($D$10:D265,D265))</f>
        <v>22</v>
      </c>
      <c r="C265" s="96">
        <v>45734</v>
      </c>
      <c r="D265" s="76">
        <f t="shared" si="12"/>
        <v>3</v>
      </c>
      <c r="E265" s="77" t="s">
        <v>428</v>
      </c>
      <c r="F265" s="95">
        <v>4</v>
      </c>
      <c r="G265" s="78" t="s">
        <v>445</v>
      </c>
      <c r="H265" s="91">
        <f t="shared" si="13"/>
        <v>2025</v>
      </c>
      <c r="I265" s="7" t="s">
        <v>426</v>
      </c>
      <c r="J265" s="76" t="s">
        <v>582</v>
      </c>
    </row>
    <row r="266" spans="1:10">
      <c r="A266" s="75" t="str">
        <f t="shared" si="10"/>
        <v/>
      </c>
      <c r="B266" s="87">
        <f>IF(D266="","",COUNTIF($D$10:D266,D266))</f>
        <v>23</v>
      </c>
      <c r="C266" s="96">
        <v>45735</v>
      </c>
      <c r="D266" s="76">
        <f t="shared" si="12"/>
        <v>3</v>
      </c>
      <c r="E266" s="77" t="s">
        <v>435</v>
      </c>
      <c r="F266" s="95">
        <v>4</v>
      </c>
      <c r="G266" s="78" t="s">
        <v>429</v>
      </c>
      <c r="H266" s="91">
        <f t="shared" si="13"/>
        <v>2025</v>
      </c>
      <c r="I266" s="7" t="s">
        <v>426</v>
      </c>
      <c r="J266" s="76" t="s">
        <v>582</v>
      </c>
    </row>
    <row r="267" spans="1:10">
      <c r="A267" s="75" t="str">
        <f t="shared" ref="A267:A330" si="14">IF(AND($E$3="ALL",$E$4="ALL"),"ALL",IF(AND($E$3="ALL",$E$4&lt;&gt;"ALL"),IF(D267=$E$4,D267,""),IF(AND($E$3&lt;&gt;"ALL",$E$4="ALL"),IF(I267=$E$3,I267,""),"")))</f>
        <v/>
      </c>
      <c r="B267" s="87">
        <f>IF(D267="","",COUNTIF($D$10:D267,D267))</f>
        <v>24</v>
      </c>
      <c r="C267" s="96">
        <v>45736</v>
      </c>
      <c r="D267" s="76">
        <f t="shared" si="12"/>
        <v>3</v>
      </c>
      <c r="E267" s="77" t="s">
        <v>433</v>
      </c>
      <c r="F267" s="95">
        <v>4</v>
      </c>
      <c r="G267" s="78" t="s">
        <v>576</v>
      </c>
      <c r="H267" s="91">
        <f t="shared" si="13"/>
        <v>2025</v>
      </c>
      <c r="I267" s="7" t="s">
        <v>426</v>
      </c>
      <c r="J267" s="76" t="s">
        <v>582</v>
      </c>
    </row>
    <row r="268" spans="1:10">
      <c r="A268" s="75" t="str">
        <f t="shared" si="14"/>
        <v/>
      </c>
      <c r="B268" s="87">
        <f>IF(D268="","",COUNTIF($D$10:D268,D268))</f>
        <v>25</v>
      </c>
      <c r="C268" s="96">
        <v>45737</v>
      </c>
      <c r="D268" s="76">
        <f t="shared" si="12"/>
        <v>3</v>
      </c>
      <c r="E268" s="77" t="s">
        <v>453</v>
      </c>
      <c r="F268" s="95">
        <v>4</v>
      </c>
      <c r="G268" s="78" t="s">
        <v>563</v>
      </c>
      <c r="H268" s="91">
        <f t="shared" si="13"/>
        <v>2025</v>
      </c>
      <c r="I268" s="7" t="s">
        <v>426</v>
      </c>
      <c r="J268" s="76" t="s">
        <v>582</v>
      </c>
    </row>
    <row r="269" spans="1:10">
      <c r="A269" s="75" t="str">
        <f t="shared" si="14"/>
        <v/>
      </c>
      <c r="B269" s="87">
        <f>IF(D269="","",COUNTIF($D$10:D269,D269))</f>
        <v>26</v>
      </c>
      <c r="C269" s="96">
        <v>45738</v>
      </c>
      <c r="D269" s="76">
        <f t="shared" si="12"/>
        <v>3</v>
      </c>
      <c r="E269" s="77" t="s">
        <v>438</v>
      </c>
      <c r="F269" s="95">
        <v>4</v>
      </c>
      <c r="G269" s="78" t="s">
        <v>586</v>
      </c>
      <c r="H269" s="91">
        <f t="shared" si="13"/>
        <v>2025</v>
      </c>
      <c r="I269" s="7" t="s">
        <v>426</v>
      </c>
      <c r="J269" s="76" t="s">
        <v>582</v>
      </c>
    </row>
    <row r="270" spans="1:10">
      <c r="A270" s="75" t="str">
        <f t="shared" si="14"/>
        <v/>
      </c>
      <c r="B270" s="87">
        <f>IF(D270="","",COUNTIF($D$10:D270,D270))</f>
        <v>27</v>
      </c>
      <c r="C270" s="96">
        <v>45740</v>
      </c>
      <c r="D270" s="76">
        <f t="shared" si="12"/>
        <v>3</v>
      </c>
      <c r="E270" s="77" t="s">
        <v>435</v>
      </c>
      <c r="F270" s="95">
        <v>4</v>
      </c>
      <c r="G270" s="78" t="s">
        <v>442</v>
      </c>
      <c r="H270" s="91">
        <f t="shared" si="13"/>
        <v>2025</v>
      </c>
      <c r="I270" s="7" t="s">
        <v>426</v>
      </c>
      <c r="J270" s="76" t="s">
        <v>582</v>
      </c>
    </row>
    <row r="271" spans="1:10">
      <c r="A271" s="75" t="str">
        <f t="shared" si="14"/>
        <v/>
      </c>
    </row>
    <row r="272" spans="1:10">
      <c r="A272" s="75" t="str">
        <f t="shared" si="14"/>
        <v/>
      </c>
      <c r="B272" s="87">
        <f>IF(D272="","",COUNTIF($D$10:D272,D272))</f>
        <v>1</v>
      </c>
      <c r="C272" s="96">
        <v>45689</v>
      </c>
      <c r="D272" s="76">
        <f t="shared" ref="D272:D302" si="15">MONTH(C272)</f>
        <v>2</v>
      </c>
      <c r="E272" s="77" t="s">
        <v>447</v>
      </c>
      <c r="F272" s="95">
        <v>2</v>
      </c>
      <c r="G272" s="78">
        <v>0</v>
      </c>
      <c r="H272" s="91">
        <f t="shared" ref="H272:H302" si="16">YEAR(C272)</f>
        <v>2025</v>
      </c>
      <c r="I272" s="7" t="s">
        <v>426</v>
      </c>
      <c r="J272" s="76" t="s">
        <v>587</v>
      </c>
    </row>
    <row r="273" spans="1:10">
      <c r="A273" s="75" t="str">
        <f t="shared" si="14"/>
        <v/>
      </c>
      <c r="B273" s="87">
        <f>IF(D273="","",COUNTIF($D$10:D273,D273))</f>
        <v>2</v>
      </c>
      <c r="C273" s="96">
        <v>45689</v>
      </c>
      <c r="D273" s="76">
        <f t="shared" si="15"/>
        <v>2</v>
      </c>
      <c r="E273" s="77" t="s">
        <v>454</v>
      </c>
      <c r="F273" s="95">
        <v>2</v>
      </c>
      <c r="G273" s="78" t="s">
        <v>473</v>
      </c>
      <c r="H273" s="91">
        <f t="shared" si="16"/>
        <v>2025</v>
      </c>
      <c r="I273" s="7" t="s">
        <v>426</v>
      </c>
      <c r="J273" s="76" t="s">
        <v>587</v>
      </c>
    </row>
    <row r="274" spans="1:10">
      <c r="A274" s="75" t="str">
        <f t="shared" si="14"/>
        <v/>
      </c>
      <c r="B274" s="87">
        <f>IF(D274="","",COUNTIF($D$10:D274,D274))</f>
        <v>3</v>
      </c>
      <c r="C274" s="96">
        <v>45691</v>
      </c>
      <c r="D274" s="76">
        <f t="shared" si="15"/>
        <v>2</v>
      </c>
      <c r="E274" s="77" t="s">
        <v>449</v>
      </c>
      <c r="F274" s="95">
        <v>2</v>
      </c>
      <c r="G274" s="78" t="s">
        <v>588</v>
      </c>
      <c r="H274" s="91">
        <f t="shared" si="16"/>
        <v>2025</v>
      </c>
      <c r="I274" s="7" t="s">
        <v>426</v>
      </c>
      <c r="J274" s="76" t="s">
        <v>587</v>
      </c>
    </row>
    <row r="275" spans="1:10">
      <c r="A275" s="75" t="str">
        <f t="shared" si="14"/>
        <v/>
      </c>
      <c r="B275" s="87">
        <f>IF(D275="","",COUNTIF($D$10:D275,D275))</f>
        <v>4</v>
      </c>
      <c r="C275" s="96">
        <v>45691</v>
      </c>
      <c r="D275" s="76">
        <f t="shared" si="15"/>
        <v>2</v>
      </c>
      <c r="E275" s="77" t="s">
        <v>449</v>
      </c>
      <c r="F275" s="95">
        <v>2</v>
      </c>
      <c r="G275" s="78" t="s">
        <v>589</v>
      </c>
      <c r="H275" s="91">
        <f t="shared" si="16"/>
        <v>2025</v>
      </c>
      <c r="I275" s="7" t="s">
        <v>426</v>
      </c>
      <c r="J275" s="76" t="s">
        <v>587</v>
      </c>
    </row>
    <row r="276" spans="1:10">
      <c r="A276" s="75" t="str">
        <f t="shared" si="14"/>
        <v/>
      </c>
      <c r="B276" s="87">
        <f>IF(D276="","",COUNTIF($D$10:D276,D276))</f>
        <v>5</v>
      </c>
      <c r="C276" s="96">
        <v>45692</v>
      </c>
      <c r="D276" s="76">
        <f t="shared" si="15"/>
        <v>2</v>
      </c>
      <c r="E276" s="77" t="s">
        <v>449</v>
      </c>
      <c r="F276" s="95">
        <v>2</v>
      </c>
      <c r="G276" s="78" t="s">
        <v>590</v>
      </c>
      <c r="H276" s="91">
        <f t="shared" si="16"/>
        <v>2025</v>
      </c>
      <c r="I276" s="7" t="s">
        <v>426</v>
      </c>
      <c r="J276" s="76" t="s">
        <v>587</v>
      </c>
    </row>
    <row r="277" spans="1:10">
      <c r="A277" s="75" t="str">
        <f t="shared" si="14"/>
        <v/>
      </c>
      <c r="B277" s="87">
        <f>IF(D277="","",COUNTIF($D$10:D277,D277))</f>
        <v>6</v>
      </c>
      <c r="C277" s="96">
        <v>45692</v>
      </c>
      <c r="D277" s="76">
        <f t="shared" si="15"/>
        <v>2</v>
      </c>
      <c r="E277" s="77" t="s">
        <v>447</v>
      </c>
      <c r="F277" s="95">
        <v>2</v>
      </c>
      <c r="G277" s="78" t="s">
        <v>591</v>
      </c>
      <c r="H277" s="91">
        <f t="shared" si="16"/>
        <v>2025</v>
      </c>
      <c r="I277" s="7" t="s">
        <v>426</v>
      </c>
      <c r="J277" s="76" t="s">
        <v>587</v>
      </c>
    </row>
    <row r="278" spans="1:10">
      <c r="A278" s="75" t="str">
        <f t="shared" si="14"/>
        <v/>
      </c>
      <c r="B278" s="87">
        <f>IF(D278="","",COUNTIF($D$10:D278,D278))</f>
        <v>7</v>
      </c>
      <c r="C278" s="96">
        <v>45694</v>
      </c>
      <c r="D278" s="76">
        <f t="shared" si="15"/>
        <v>2</v>
      </c>
      <c r="E278" s="77" t="s">
        <v>570</v>
      </c>
      <c r="F278" s="95">
        <v>4</v>
      </c>
      <c r="G278" s="78" t="s">
        <v>439</v>
      </c>
      <c r="H278" s="91">
        <f t="shared" si="16"/>
        <v>2025</v>
      </c>
      <c r="I278" s="7" t="s">
        <v>426</v>
      </c>
      <c r="J278" s="76" t="s">
        <v>587</v>
      </c>
    </row>
    <row r="279" spans="1:10">
      <c r="A279" s="75" t="str">
        <f t="shared" si="14"/>
        <v/>
      </c>
      <c r="B279" s="87">
        <f>IF(D279="","",COUNTIF($D$10:D279,D279))</f>
        <v>8</v>
      </c>
      <c r="C279" s="96">
        <v>45695</v>
      </c>
      <c r="D279" s="76">
        <f t="shared" si="15"/>
        <v>2</v>
      </c>
      <c r="E279" s="77" t="s">
        <v>570</v>
      </c>
      <c r="F279" s="95">
        <v>4</v>
      </c>
      <c r="G279" s="78" t="s">
        <v>475</v>
      </c>
      <c r="H279" s="91">
        <f t="shared" si="16"/>
        <v>2025</v>
      </c>
      <c r="I279" s="7" t="s">
        <v>426</v>
      </c>
      <c r="J279" s="76" t="s">
        <v>587</v>
      </c>
    </row>
    <row r="280" spans="1:10">
      <c r="A280" s="75" t="str">
        <f t="shared" si="14"/>
        <v/>
      </c>
      <c r="B280" s="87">
        <f>IF(D280="","",COUNTIF($D$10:D280,D280))</f>
        <v>9</v>
      </c>
      <c r="C280" s="96">
        <v>45696</v>
      </c>
      <c r="D280" s="76">
        <f t="shared" si="15"/>
        <v>2</v>
      </c>
      <c r="E280" s="77" t="s">
        <v>435</v>
      </c>
      <c r="F280" s="95">
        <v>4</v>
      </c>
      <c r="G280" s="78" t="s">
        <v>491</v>
      </c>
      <c r="H280" s="91">
        <f t="shared" si="16"/>
        <v>2025</v>
      </c>
      <c r="I280" s="7" t="s">
        <v>426</v>
      </c>
      <c r="J280" s="76" t="s">
        <v>587</v>
      </c>
    </row>
    <row r="281" spans="1:10">
      <c r="A281" s="75" t="str">
        <f t="shared" si="14"/>
        <v/>
      </c>
      <c r="B281" s="87">
        <f>IF(D281="","",COUNTIF($D$10:D281,D281))</f>
        <v>10</v>
      </c>
      <c r="C281" s="96">
        <v>45698</v>
      </c>
      <c r="D281" s="76">
        <f t="shared" si="15"/>
        <v>2</v>
      </c>
      <c r="E281" s="77" t="s">
        <v>492</v>
      </c>
      <c r="F281" s="95">
        <v>4</v>
      </c>
      <c r="G281" s="78" t="s">
        <v>466</v>
      </c>
      <c r="H281" s="91">
        <f t="shared" si="16"/>
        <v>2025</v>
      </c>
      <c r="I281" s="7" t="s">
        <v>426</v>
      </c>
      <c r="J281" s="76" t="s">
        <v>587</v>
      </c>
    </row>
    <row r="282" spans="1:10">
      <c r="A282" s="75" t="str">
        <f t="shared" si="14"/>
        <v/>
      </c>
      <c r="B282" s="87">
        <f>IF(D282="","",COUNTIF($D$10:D282,D282))</f>
        <v>11</v>
      </c>
      <c r="C282" s="96">
        <v>45699</v>
      </c>
      <c r="D282" s="76">
        <f t="shared" si="15"/>
        <v>2</v>
      </c>
      <c r="E282" s="77" t="s">
        <v>433</v>
      </c>
      <c r="F282" s="95">
        <v>4</v>
      </c>
      <c r="G282" s="78" t="s">
        <v>586</v>
      </c>
      <c r="H282" s="91">
        <f t="shared" si="16"/>
        <v>2025</v>
      </c>
      <c r="I282" s="7" t="s">
        <v>426</v>
      </c>
      <c r="J282" s="76" t="s">
        <v>587</v>
      </c>
    </row>
    <row r="283" spans="1:10">
      <c r="A283" s="75" t="str">
        <f t="shared" si="14"/>
        <v/>
      </c>
      <c r="B283" s="87">
        <f>IF(D283="","",COUNTIF($D$10:D283,D283))</f>
        <v>12</v>
      </c>
      <c r="C283" s="96">
        <v>45700</v>
      </c>
      <c r="D283" s="76">
        <f t="shared" si="15"/>
        <v>2</v>
      </c>
      <c r="E283" s="77" t="s">
        <v>492</v>
      </c>
      <c r="F283" s="95">
        <v>4</v>
      </c>
      <c r="G283" s="78" t="s">
        <v>545</v>
      </c>
      <c r="H283" s="91">
        <f t="shared" si="16"/>
        <v>2025</v>
      </c>
      <c r="I283" s="7" t="s">
        <v>426</v>
      </c>
      <c r="J283" s="76" t="s">
        <v>587</v>
      </c>
    </row>
    <row r="284" spans="1:10">
      <c r="A284" s="75" t="str">
        <f t="shared" si="14"/>
        <v/>
      </c>
      <c r="B284" s="87">
        <f>IF(D284="","",COUNTIF($D$10:D284,D284))</f>
        <v>13</v>
      </c>
      <c r="C284" s="96">
        <v>45701</v>
      </c>
      <c r="D284" s="76">
        <f t="shared" si="15"/>
        <v>2</v>
      </c>
      <c r="E284" s="77" t="s">
        <v>454</v>
      </c>
      <c r="F284" s="95">
        <v>2</v>
      </c>
      <c r="G284" s="78" t="s">
        <v>592</v>
      </c>
      <c r="H284" s="91">
        <f t="shared" si="16"/>
        <v>2025</v>
      </c>
      <c r="I284" s="7" t="s">
        <v>426</v>
      </c>
      <c r="J284" s="76" t="s">
        <v>587</v>
      </c>
    </row>
    <row r="285" spans="1:10">
      <c r="A285" s="75" t="str">
        <f t="shared" si="14"/>
        <v/>
      </c>
      <c r="B285" s="87">
        <f>IF(D285="","",COUNTIF($D$10:D285,D285))</f>
        <v>14</v>
      </c>
      <c r="C285" s="96">
        <v>45701</v>
      </c>
      <c r="D285" s="76">
        <f t="shared" si="15"/>
        <v>2</v>
      </c>
      <c r="E285" s="77" t="s">
        <v>454</v>
      </c>
      <c r="F285" s="95">
        <v>2</v>
      </c>
      <c r="G285" s="78" t="s">
        <v>549</v>
      </c>
      <c r="H285" s="91">
        <f t="shared" si="16"/>
        <v>2025</v>
      </c>
      <c r="I285" s="7" t="s">
        <v>426</v>
      </c>
      <c r="J285" s="76" t="s">
        <v>587</v>
      </c>
    </row>
    <row r="286" spans="1:10">
      <c r="A286" s="75" t="str">
        <f t="shared" si="14"/>
        <v/>
      </c>
      <c r="B286" s="87">
        <f>IF(D286="","",COUNTIF($D$10:D286,D286))</f>
        <v>15</v>
      </c>
      <c r="C286" s="96">
        <v>45702</v>
      </c>
      <c r="D286" s="76">
        <f t="shared" si="15"/>
        <v>2</v>
      </c>
      <c r="E286" s="77" t="s">
        <v>431</v>
      </c>
      <c r="F286" s="95">
        <v>4</v>
      </c>
      <c r="G286" s="78" t="s">
        <v>491</v>
      </c>
      <c r="H286" s="91">
        <f t="shared" si="16"/>
        <v>2025</v>
      </c>
      <c r="I286" s="7" t="s">
        <v>426</v>
      </c>
      <c r="J286" s="76" t="s">
        <v>587</v>
      </c>
    </row>
    <row r="287" spans="1:10">
      <c r="A287" s="75" t="str">
        <f t="shared" si="14"/>
        <v/>
      </c>
      <c r="B287" s="87">
        <f>IF(D287="","",COUNTIF($D$10:D287,D287))</f>
        <v>16</v>
      </c>
      <c r="C287" s="96">
        <v>45703</v>
      </c>
      <c r="D287" s="76">
        <f t="shared" si="15"/>
        <v>2</v>
      </c>
      <c r="E287" s="77" t="s">
        <v>424</v>
      </c>
      <c r="F287" s="95">
        <v>4</v>
      </c>
      <c r="G287" s="78" t="s">
        <v>491</v>
      </c>
      <c r="H287" s="91">
        <f t="shared" si="16"/>
        <v>2025</v>
      </c>
      <c r="I287" s="7" t="s">
        <v>426</v>
      </c>
      <c r="J287" s="76" t="s">
        <v>587</v>
      </c>
    </row>
    <row r="288" spans="1:10">
      <c r="A288" s="75" t="str">
        <f t="shared" si="14"/>
        <v/>
      </c>
      <c r="B288" s="87">
        <f>IF(D288="","",COUNTIF($D$10:D288,D288))</f>
        <v>17</v>
      </c>
      <c r="C288" s="96">
        <v>45703</v>
      </c>
      <c r="D288" s="76">
        <f t="shared" si="15"/>
        <v>2</v>
      </c>
      <c r="E288" s="77" t="s">
        <v>428</v>
      </c>
      <c r="F288" s="95">
        <v>4</v>
      </c>
      <c r="G288" s="78" t="s">
        <v>491</v>
      </c>
      <c r="H288" s="91">
        <f t="shared" si="16"/>
        <v>2025</v>
      </c>
      <c r="I288" s="7" t="s">
        <v>426</v>
      </c>
      <c r="J288" s="76" t="s">
        <v>587</v>
      </c>
    </row>
    <row r="289" spans="1:10">
      <c r="A289" s="75" t="str">
        <f t="shared" si="14"/>
        <v/>
      </c>
      <c r="B289" s="87">
        <f>IF(D289="","",COUNTIF($D$10:D289,D289))</f>
        <v>18</v>
      </c>
      <c r="C289" s="96">
        <v>45705</v>
      </c>
      <c r="D289" s="76">
        <f t="shared" si="15"/>
        <v>2</v>
      </c>
      <c r="E289" s="77" t="s">
        <v>428</v>
      </c>
      <c r="F289" s="95">
        <v>4</v>
      </c>
      <c r="G289" s="78" t="s">
        <v>491</v>
      </c>
      <c r="H289" s="91">
        <f t="shared" si="16"/>
        <v>2025</v>
      </c>
      <c r="I289" s="7" t="s">
        <v>426</v>
      </c>
      <c r="J289" s="76" t="s">
        <v>587</v>
      </c>
    </row>
    <row r="290" spans="1:10">
      <c r="A290" s="75" t="str">
        <f t="shared" si="14"/>
        <v/>
      </c>
      <c r="B290" s="87">
        <f>IF(D290="","",COUNTIF($D$10:D290,D290))</f>
        <v>19</v>
      </c>
      <c r="C290" s="96">
        <v>45706</v>
      </c>
      <c r="D290" s="76">
        <f t="shared" si="15"/>
        <v>2</v>
      </c>
      <c r="E290" s="77" t="s">
        <v>435</v>
      </c>
      <c r="F290" s="95">
        <v>4</v>
      </c>
      <c r="G290" s="78" t="s">
        <v>472</v>
      </c>
      <c r="H290" s="91">
        <f t="shared" si="16"/>
        <v>2025</v>
      </c>
      <c r="I290" s="7" t="s">
        <v>426</v>
      </c>
      <c r="J290" s="76" t="s">
        <v>587</v>
      </c>
    </row>
    <row r="291" spans="1:10">
      <c r="A291" s="75" t="str">
        <f t="shared" si="14"/>
        <v/>
      </c>
      <c r="B291" s="87">
        <f>IF(D291="","",COUNTIF($D$10:D291,D291))</f>
        <v>20</v>
      </c>
      <c r="C291" s="96">
        <v>45707</v>
      </c>
      <c r="D291" s="76">
        <f t="shared" si="15"/>
        <v>2</v>
      </c>
      <c r="E291" s="77" t="s">
        <v>424</v>
      </c>
      <c r="F291" s="95">
        <v>4</v>
      </c>
      <c r="G291" s="78" t="s">
        <v>593</v>
      </c>
      <c r="H291" s="91">
        <f t="shared" si="16"/>
        <v>2025</v>
      </c>
      <c r="I291" s="7" t="s">
        <v>426</v>
      </c>
      <c r="J291" s="76" t="s">
        <v>587</v>
      </c>
    </row>
    <row r="292" spans="1:10">
      <c r="A292" s="75" t="str">
        <f t="shared" si="14"/>
        <v/>
      </c>
      <c r="B292" s="87">
        <f>IF(D292="","",COUNTIF($D$10:D292,D292))</f>
        <v>21</v>
      </c>
      <c r="C292" s="96">
        <v>45707</v>
      </c>
      <c r="D292" s="76">
        <f t="shared" si="15"/>
        <v>2</v>
      </c>
      <c r="E292" s="77" t="s">
        <v>447</v>
      </c>
      <c r="F292" s="95">
        <v>2</v>
      </c>
      <c r="G292" s="78" t="s">
        <v>471</v>
      </c>
      <c r="H292" s="91">
        <f t="shared" si="16"/>
        <v>2025</v>
      </c>
      <c r="I292" s="7" t="s">
        <v>426</v>
      </c>
      <c r="J292" s="76" t="s">
        <v>587</v>
      </c>
    </row>
    <row r="293" spans="1:10">
      <c r="A293" s="75" t="str">
        <f t="shared" si="14"/>
        <v/>
      </c>
      <c r="B293" s="87">
        <f>IF(D293="","",COUNTIF($D$10:D293,D293))</f>
        <v>22</v>
      </c>
      <c r="C293" s="96">
        <v>45707</v>
      </c>
      <c r="D293" s="76">
        <f t="shared" si="15"/>
        <v>2</v>
      </c>
      <c r="E293" s="77" t="s">
        <v>447</v>
      </c>
      <c r="F293" s="95">
        <v>2</v>
      </c>
      <c r="G293" s="78" t="s">
        <v>594</v>
      </c>
      <c r="H293" s="91">
        <f t="shared" si="16"/>
        <v>2025</v>
      </c>
      <c r="I293" s="7" t="s">
        <v>426</v>
      </c>
      <c r="J293" s="76" t="s">
        <v>587</v>
      </c>
    </row>
    <row r="294" spans="1:10">
      <c r="A294" s="75" t="str">
        <f t="shared" si="14"/>
        <v/>
      </c>
      <c r="B294" s="87">
        <f>IF(D294="","",COUNTIF($D$10:D294,D294))</f>
        <v>23</v>
      </c>
      <c r="C294" s="96">
        <v>45708</v>
      </c>
      <c r="D294" s="76">
        <f t="shared" si="15"/>
        <v>2</v>
      </c>
      <c r="E294" s="77" t="s">
        <v>454</v>
      </c>
      <c r="F294" s="95">
        <v>2</v>
      </c>
      <c r="G294" s="78" t="s">
        <v>591</v>
      </c>
      <c r="H294" s="91">
        <f t="shared" si="16"/>
        <v>2025</v>
      </c>
      <c r="I294" s="7" t="s">
        <v>426</v>
      </c>
      <c r="J294" s="76" t="s">
        <v>587</v>
      </c>
    </row>
    <row r="295" spans="1:10">
      <c r="A295" s="75" t="str">
        <f t="shared" si="14"/>
        <v/>
      </c>
      <c r="B295" s="87">
        <f>IF(D295="","",COUNTIF($D$10:D295,D295))</f>
        <v>24</v>
      </c>
      <c r="C295" s="96">
        <v>45708</v>
      </c>
      <c r="D295" s="76">
        <f t="shared" si="15"/>
        <v>2</v>
      </c>
      <c r="E295" s="77" t="s">
        <v>454</v>
      </c>
      <c r="F295" s="95">
        <v>2</v>
      </c>
      <c r="G295" s="78" t="s">
        <v>595</v>
      </c>
      <c r="H295" s="91">
        <f t="shared" si="16"/>
        <v>2025</v>
      </c>
      <c r="I295" s="7" t="s">
        <v>426</v>
      </c>
      <c r="J295" s="76" t="s">
        <v>587</v>
      </c>
    </row>
    <row r="296" spans="1:10">
      <c r="A296" s="75" t="str">
        <f t="shared" si="14"/>
        <v/>
      </c>
      <c r="B296" s="87">
        <f>IF(D296="","",COUNTIF($D$10:D296,D296))</f>
        <v>25</v>
      </c>
      <c r="C296" s="96">
        <v>45710</v>
      </c>
      <c r="D296" s="76">
        <f t="shared" si="15"/>
        <v>2</v>
      </c>
      <c r="E296" s="77" t="s">
        <v>438</v>
      </c>
      <c r="F296" s="95">
        <v>4</v>
      </c>
      <c r="G296" s="78" t="s">
        <v>473</v>
      </c>
      <c r="H296" s="91">
        <f t="shared" si="16"/>
        <v>2025</v>
      </c>
      <c r="I296" s="7" t="s">
        <v>426</v>
      </c>
      <c r="J296" s="76" t="s">
        <v>587</v>
      </c>
    </row>
    <row r="297" spans="1:10">
      <c r="A297" s="75" t="str">
        <f t="shared" si="14"/>
        <v/>
      </c>
      <c r="B297" s="87">
        <f>IF(D297="","",COUNTIF($D$10:D297,D297))</f>
        <v>26</v>
      </c>
      <c r="C297" s="96">
        <v>45712</v>
      </c>
      <c r="D297" s="76">
        <f t="shared" si="15"/>
        <v>2</v>
      </c>
      <c r="E297" s="77" t="s">
        <v>435</v>
      </c>
      <c r="F297" s="95">
        <v>4</v>
      </c>
      <c r="G297" s="78" t="s">
        <v>596</v>
      </c>
      <c r="H297" s="91">
        <f t="shared" si="16"/>
        <v>2025</v>
      </c>
      <c r="I297" s="7" t="s">
        <v>426</v>
      </c>
      <c r="J297" s="76" t="s">
        <v>587</v>
      </c>
    </row>
    <row r="298" spans="1:10">
      <c r="A298" s="75" t="str">
        <f t="shared" si="14"/>
        <v/>
      </c>
      <c r="B298" s="87">
        <f>IF(D298="","",COUNTIF($D$10:D298,D298))</f>
        <v>27</v>
      </c>
      <c r="C298" s="96">
        <v>45712</v>
      </c>
      <c r="D298" s="76">
        <f t="shared" si="15"/>
        <v>2</v>
      </c>
      <c r="E298" s="77" t="s">
        <v>428</v>
      </c>
      <c r="F298" s="95">
        <v>4</v>
      </c>
      <c r="G298" s="78" t="s">
        <v>472</v>
      </c>
      <c r="H298" s="91">
        <f t="shared" si="16"/>
        <v>2025</v>
      </c>
      <c r="I298" s="7" t="s">
        <v>426</v>
      </c>
      <c r="J298" s="76" t="s">
        <v>587</v>
      </c>
    </row>
    <row r="299" spans="1:10">
      <c r="A299" s="75" t="str">
        <f t="shared" si="14"/>
        <v/>
      </c>
      <c r="B299" s="87">
        <f>IF(D299="","",COUNTIF($D$10:D299,D299))</f>
        <v>28</v>
      </c>
      <c r="C299" s="96">
        <v>45713</v>
      </c>
      <c r="D299" s="76">
        <f t="shared" si="15"/>
        <v>2</v>
      </c>
      <c r="E299" s="77" t="s">
        <v>438</v>
      </c>
      <c r="F299" s="95">
        <v>4</v>
      </c>
      <c r="G299" s="78" t="s">
        <v>597</v>
      </c>
      <c r="H299" s="91">
        <f t="shared" si="16"/>
        <v>2025</v>
      </c>
      <c r="I299" s="7" t="s">
        <v>426</v>
      </c>
      <c r="J299" s="76" t="s">
        <v>587</v>
      </c>
    </row>
    <row r="300" spans="1:10">
      <c r="A300" s="75" t="str">
        <f t="shared" si="14"/>
        <v/>
      </c>
      <c r="B300" s="87">
        <f>IF(D300="","",COUNTIF($D$10:D300,D300))</f>
        <v>29</v>
      </c>
      <c r="C300" s="96">
        <v>45714</v>
      </c>
      <c r="D300" s="76">
        <f t="shared" si="15"/>
        <v>2</v>
      </c>
      <c r="E300" s="77" t="s">
        <v>431</v>
      </c>
      <c r="F300" s="95">
        <v>4</v>
      </c>
      <c r="G300" s="78" t="s">
        <v>442</v>
      </c>
      <c r="H300" s="91">
        <f t="shared" si="16"/>
        <v>2025</v>
      </c>
      <c r="I300" s="7" t="s">
        <v>426</v>
      </c>
      <c r="J300" s="76" t="s">
        <v>587</v>
      </c>
    </row>
    <row r="301" spans="1:10">
      <c r="A301" s="75" t="str">
        <f t="shared" si="14"/>
        <v/>
      </c>
      <c r="B301" s="87">
        <f>IF(D301="","",COUNTIF($D$10:D301,D301))</f>
        <v>30</v>
      </c>
      <c r="C301" s="96">
        <v>45715</v>
      </c>
      <c r="D301" s="76">
        <f t="shared" si="15"/>
        <v>2</v>
      </c>
      <c r="E301" s="77" t="s">
        <v>424</v>
      </c>
      <c r="F301" s="95">
        <v>4</v>
      </c>
      <c r="G301" s="78" t="s">
        <v>549</v>
      </c>
      <c r="H301" s="91">
        <f t="shared" si="16"/>
        <v>2025</v>
      </c>
      <c r="I301" s="7" t="s">
        <v>426</v>
      </c>
      <c r="J301" s="76" t="s">
        <v>587</v>
      </c>
    </row>
    <row r="302" spans="1:10">
      <c r="A302" s="75" t="str">
        <f t="shared" si="14"/>
        <v/>
      </c>
      <c r="B302" s="87">
        <f>IF(D302="","",COUNTIF($D$10:D302,D302))</f>
        <v>31</v>
      </c>
      <c r="C302" s="96">
        <v>45716</v>
      </c>
      <c r="D302" s="76">
        <f t="shared" si="15"/>
        <v>2</v>
      </c>
      <c r="E302" s="77" t="s">
        <v>435</v>
      </c>
      <c r="F302" s="95">
        <v>4</v>
      </c>
      <c r="G302" s="78" t="s">
        <v>598</v>
      </c>
      <c r="H302" s="91">
        <f t="shared" si="16"/>
        <v>2025</v>
      </c>
      <c r="I302" s="7" t="s">
        <v>426</v>
      </c>
      <c r="J302" s="76" t="s">
        <v>587</v>
      </c>
    </row>
    <row r="303" spans="1:10">
      <c r="A303" s="75" t="str">
        <f t="shared" si="14"/>
        <v/>
      </c>
    </row>
    <row r="304" spans="1:10">
      <c r="A304" s="75" t="str">
        <f t="shared" si="14"/>
        <v/>
      </c>
      <c r="B304" s="87">
        <f>IF(D304="","",COUNTIF($D$10:D304,D304))</f>
        <v>1</v>
      </c>
      <c r="C304" s="96">
        <v>45661</v>
      </c>
      <c r="D304" s="76">
        <f t="shared" ref="D304:D344" si="17">MONTH(C304)</f>
        <v>1</v>
      </c>
      <c r="E304" s="77" t="s">
        <v>453</v>
      </c>
      <c r="F304" s="95">
        <v>4</v>
      </c>
      <c r="G304" s="78" t="s">
        <v>458</v>
      </c>
      <c r="H304" s="91">
        <f t="shared" ref="H304:H344" si="18">YEAR(C304)</f>
        <v>2025</v>
      </c>
      <c r="I304" s="7" t="s">
        <v>426</v>
      </c>
      <c r="J304" s="76" t="s">
        <v>599</v>
      </c>
    </row>
    <row r="305" spans="1:10">
      <c r="A305" s="75" t="str">
        <f t="shared" si="14"/>
        <v/>
      </c>
      <c r="B305" s="87">
        <f>IF(D305="","",COUNTIF($D$10:D305,D305))</f>
        <v>2</v>
      </c>
      <c r="C305" s="96">
        <v>45663</v>
      </c>
      <c r="D305" s="76">
        <f t="shared" si="17"/>
        <v>1</v>
      </c>
      <c r="E305" s="77" t="s">
        <v>431</v>
      </c>
      <c r="F305" s="95">
        <v>4</v>
      </c>
      <c r="G305" s="78" t="s">
        <v>555</v>
      </c>
      <c r="H305" s="91">
        <f t="shared" si="18"/>
        <v>2025</v>
      </c>
      <c r="I305" s="7" t="s">
        <v>426</v>
      </c>
      <c r="J305" s="76" t="s">
        <v>599</v>
      </c>
    </row>
    <row r="306" spans="1:10">
      <c r="A306" s="75" t="str">
        <f t="shared" si="14"/>
        <v/>
      </c>
      <c r="B306" s="87">
        <f>IF(D306="","",COUNTIF($D$10:D306,D306))</f>
        <v>3</v>
      </c>
      <c r="C306" s="96">
        <v>45664</v>
      </c>
      <c r="D306" s="76">
        <f t="shared" si="17"/>
        <v>1</v>
      </c>
      <c r="E306" s="77" t="s">
        <v>453</v>
      </c>
      <c r="F306" s="95">
        <v>4</v>
      </c>
      <c r="G306" s="78" t="s">
        <v>567</v>
      </c>
      <c r="H306" s="91">
        <f t="shared" si="18"/>
        <v>2025</v>
      </c>
      <c r="I306" s="7" t="s">
        <v>426</v>
      </c>
      <c r="J306" s="76" t="s">
        <v>599</v>
      </c>
    </row>
    <row r="307" spans="1:10">
      <c r="A307" s="75" t="str">
        <f t="shared" si="14"/>
        <v/>
      </c>
      <c r="B307" s="87">
        <f>IF(D307="","",COUNTIF($D$10:D307,D307))</f>
        <v>4</v>
      </c>
      <c r="C307" s="96">
        <v>45665</v>
      </c>
      <c r="D307" s="76">
        <f t="shared" si="17"/>
        <v>1</v>
      </c>
      <c r="E307" s="77" t="s">
        <v>600</v>
      </c>
      <c r="F307" s="95">
        <v>4</v>
      </c>
      <c r="G307" s="78" t="s">
        <v>601</v>
      </c>
      <c r="H307" s="91">
        <f t="shared" si="18"/>
        <v>2025</v>
      </c>
      <c r="I307" s="7" t="s">
        <v>426</v>
      </c>
      <c r="J307" s="76" t="s">
        <v>599</v>
      </c>
    </row>
    <row r="308" spans="1:10">
      <c r="A308" s="75" t="str">
        <f t="shared" si="14"/>
        <v/>
      </c>
      <c r="B308" s="87">
        <f>IF(D308="","",COUNTIF($D$10:D308,D308))</f>
        <v>5</v>
      </c>
      <c r="C308" s="96">
        <v>45666</v>
      </c>
      <c r="D308" s="76">
        <f t="shared" si="17"/>
        <v>1</v>
      </c>
      <c r="E308" s="77" t="s">
        <v>453</v>
      </c>
      <c r="F308" s="95">
        <v>4</v>
      </c>
      <c r="G308" s="78" t="s">
        <v>602</v>
      </c>
      <c r="H308" s="91">
        <f t="shared" si="18"/>
        <v>2025</v>
      </c>
      <c r="I308" s="7" t="s">
        <v>426</v>
      </c>
      <c r="J308" s="76" t="s">
        <v>599</v>
      </c>
    </row>
    <row r="309" spans="1:10">
      <c r="A309" s="75" t="str">
        <f t="shared" si="14"/>
        <v/>
      </c>
      <c r="B309" s="87">
        <f>IF(D309="","",COUNTIF($D$10:D309,D309))</f>
        <v>6</v>
      </c>
      <c r="C309" s="96">
        <v>45667</v>
      </c>
      <c r="D309" s="76">
        <f t="shared" si="17"/>
        <v>1</v>
      </c>
      <c r="E309" s="77" t="s">
        <v>492</v>
      </c>
      <c r="F309" s="95">
        <v>4</v>
      </c>
      <c r="G309" s="78" t="s">
        <v>603</v>
      </c>
      <c r="H309" s="91">
        <f t="shared" si="18"/>
        <v>2025</v>
      </c>
      <c r="I309" s="7" t="s">
        <v>426</v>
      </c>
      <c r="J309" s="76" t="s">
        <v>599</v>
      </c>
    </row>
    <row r="310" spans="1:10">
      <c r="A310" s="75" t="str">
        <f t="shared" si="14"/>
        <v/>
      </c>
      <c r="B310" s="87">
        <f>IF(D310="","",COUNTIF($D$10:D310,D310))</f>
        <v>7</v>
      </c>
      <c r="C310" s="96">
        <v>45668</v>
      </c>
      <c r="D310" s="76">
        <f t="shared" si="17"/>
        <v>1</v>
      </c>
      <c r="E310" s="77" t="s">
        <v>428</v>
      </c>
      <c r="F310" s="95">
        <v>4</v>
      </c>
      <c r="G310" s="78" t="s">
        <v>491</v>
      </c>
      <c r="H310" s="91">
        <f t="shared" si="18"/>
        <v>2025</v>
      </c>
      <c r="I310" s="7" t="s">
        <v>426</v>
      </c>
      <c r="J310" s="76" t="s">
        <v>599</v>
      </c>
    </row>
    <row r="311" spans="1:10">
      <c r="A311" s="75" t="str">
        <f t="shared" si="14"/>
        <v/>
      </c>
      <c r="B311" s="87">
        <f>IF(D311="","",COUNTIF($D$10:D311,D311))</f>
        <v>8</v>
      </c>
      <c r="C311" s="96">
        <v>45670</v>
      </c>
      <c r="D311" s="76">
        <f t="shared" si="17"/>
        <v>1</v>
      </c>
      <c r="E311" s="77" t="s">
        <v>433</v>
      </c>
      <c r="F311" s="95">
        <v>4</v>
      </c>
      <c r="G311" s="78">
        <v>15.15</v>
      </c>
      <c r="H311" s="91">
        <f t="shared" si="18"/>
        <v>2025</v>
      </c>
      <c r="I311" s="7" t="s">
        <v>426</v>
      </c>
      <c r="J311" s="76" t="s">
        <v>599</v>
      </c>
    </row>
    <row r="312" spans="1:10">
      <c r="A312" s="75" t="str">
        <f t="shared" si="14"/>
        <v/>
      </c>
      <c r="B312" s="87">
        <f>IF(D312="","",COUNTIF($D$10:D312,D312))</f>
        <v>9</v>
      </c>
      <c r="C312" s="96">
        <v>45670</v>
      </c>
      <c r="D312" s="76">
        <f t="shared" si="17"/>
        <v>1</v>
      </c>
      <c r="E312" s="77" t="s">
        <v>431</v>
      </c>
      <c r="F312" s="95">
        <v>4</v>
      </c>
      <c r="G312" s="78" t="s">
        <v>482</v>
      </c>
      <c r="H312" s="91">
        <f t="shared" si="18"/>
        <v>2025</v>
      </c>
      <c r="I312" s="7" t="s">
        <v>426</v>
      </c>
      <c r="J312" s="76" t="s">
        <v>599</v>
      </c>
    </row>
    <row r="313" spans="1:10">
      <c r="A313" s="75" t="str">
        <f t="shared" si="14"/>
        <v/>
      </c>
      <c r="B313" s="87">
        <f>IF(D313="","",COUNTIF($D$10:D313,D313))</f>
        <v>10</v>
      </c>
      <c r="C313" s="96">
        <v>45671</v>
      </c>
      <c r="D313" s="76">
        <f t="shared" si="17"/>
        <v>1</v>
      </c>
      <c r="E313" s="77" t="s">
        <v>454</v>
      </c>
      <c r="F313" s="95">
        <v>2</v>
      </c>
      <c r="G313" s="78" t="s">
        <v>604</v>
      </c>
      <c r="H313" s="91">
        <f t="shared" si="18"/>
        <v>2025</v>
      </c>
      <c r="I313" s="7" t="s">
        <v>426</v>
      </c>
      <c r="J313" s="76" t="s">
        <v>599</v>
      </c>
    </row>
    <row r="314" spans="1:10">
      <c r="A314" s="75" t="str">
        <f t="shared" si="14"/>
        <v/>
      </c>
      <c r="B314" s="87">
        <f>IF(D314="","",COUNTIF($D$10:D314,D314))</f>
        <v>11</v>
      </c>
      <c r="C314" s="96">
        <v>45671</v>
      </c>
      <c r="D314" s="76">
        <f t="shared" si="17"/>
        <v>1</v>
      </c>
      <c r="E314" s="77" t="s">
        <v>454</v>
      </c>
      <c r="F314" s="95">
        <v>2</v>
      </c>
      <c r="G314" s="78" t="s">
        <v>605</v>
      </c>
      <c r="H314" s="91">
        <f t="shared" si="18"/>
        <v>2025</v>
      </c>
      <c r="I314" s="7" t="s">
        <v>426</v>
      </c>
      <c r="J314" s="76" t="s">
        <v>599</v>
      </c>
    </row>
    <row r="315" spans="1:10">
      <c r="A315" s="75" t="str">
        <f t="shared" si="14"/>
        <v/>
      </c>
      <c r="B315" s="87">
        <f>IF(D315="","",COUNTIF($D$10:D315,D315))</f>
        <v>12</v>
      </c>
      <c r="C315" s="96">
        <v>45672</v>
      </c>
      <c r="D315" s="76">
        <f t="shared" si="17"/>
        <v>1</v>
      </c>
      <c r="E315" s="77" t="s">
        <v>454</v>
      </c>
      <c r="F315" s="95">
        <v>2</v>
      </c>
      <c r="G315" s="78" t="s">
        <v>442</v>
      </c>
      <c r="H315" s="91">
        <f t="shared" si="18"/>
        <v>2025</v>
      </c>
      <c r="I315" s="7" t="s">
        <v>426</v>
      </c>
      <c r="J315" s="76" t="s">
        <v>599</v>
      </c>
    </row>
    <row r="316" spans="1:10">
      <c r="A316" s="75" t="str">
        <f t="shared" si="14"/>
        <v/>
      </c>
      <c r="B316" s="87">
        <f>IF(D316="","",COUNTIF($D$10:D316,D316))</f>
        <v>13</v>
      </c>
      <c r="C316" s="96">
        <v>45672</v>
      </c>
      <c r="D316" s="76">
        <f t="shared" si="17"/>
        <v>1</v>
      </c>
      <c r="E316" s="77" t="s">
        <v>454</v>
      </c>
      <c r="F316" s="95">
        <v>2</v>
      </c>
      <c r="G316" s="78" t="s">
        <v>606</v>
      </c>
      <c r="H316" s="91">
        <f t="shared" si="18"/>
        <v>2025</v>
      </c>
      <c r="I316" s="7" t="s">
        <v>426</v>
      </c>
      <c r="J316" s="76" t="s">
        <v>599</v>
      </c>
    </row>
    <row r="317" spans="1:10">
      <c r="A317" s="75" t="str">
        <f t="shared" si="14"/>
        <v/>
      </c>
      <c r="B317" s="87">
        <f>IF(D317="","",COUNTIF($D$10:D317,D317))</f>
        <v>14</v>
      </c>
      <c r="C317" s="96">
        <v>45673</v>
      </c>
      <c r="D317" s="76">
        <f t="shared" si="17"/>
        <v>1</v>
      </c>
      <c r="E317" s="77" t="s">
        <v>449</v>
      </c>
      <c r="F317" s="95">
        <v>2</v>
      </c>
      <c r="G317" s="78" t="s">
        <v>478</v>
      </c>
      <c r="H317" s="91">
        <f t="shared" si="18"/>
        <v>2025</v>
      </c>
      <c r="I317" s="7" t="s">
        <v>426</v>
      </c>
      <c r="J317" s="76" t="s">
        <v>599</v>
      </c>
    </row>
    <row r="318" spans="1:10">
      <c r="A318" s="75" t="str">
        <f t="shared" si="14"/>
        <v/>
      </c>
      <c r="B318" s="87">
        <f>IF(D318="","",COUNTIF($D$10:D318,D318))</f>
        <v>15</v>
      </c>
      <c r="C318" s="96">
        <v>45673</v>
      </c>
      <c r="D318" s="76">
        <f t="shared" si="17"/>
        <v>1</v>
      </c>
      <c r="E318" s="77" t="s">
        <v>449</v>
      </c>
      <c r="F318" s="95">
        <v>2</v>
      </c>
      <c r="G318" s="78" t="s">
        <v>556</v>
      </c>
      <c r="H318" s="91">
        <f t="shared" si="18"/>
        <v>2025</v>
      </c>
      <c r="I318" s="7" t="s">
        <v>426</v>
      </c>
      <c r="J318" s="76" t="s">
        <v>599</v>
      </c>
    </row>
    <row r="319" spans="1:10">
      <c r="A319" s="75" t="str">
        <f t="shared" si="14"/>
        <v/>
      </c>
      <c r="B319" s="87">
        <f>IF(D319="","",COUNTIF($D$10:D319,D319))</f>
        <v>16</v>
      </c>
      <c r="C319" s="96">
        <v>45674</v>
      </c>
      <c r="D319" s="76">
        <f t="shared" si="17"/>
        <v>1</v>
      </c>
      <c r="E319" s="77" t="s">
        <v>447</v>
      </c>
      <c r="F319" s="95">
        <v>2</v>
      </c>
      <c r="G319" s="78" t="s">
        <v>442</v>
      </c>
      <c r="H319" s="91">
        <f t="shared" si="18"/>
        <v>2025</v>
      </c>
      <c r="I319" s="7" t="s">
        <v>426</v>
      </c>
      <c r="J319" s="76" t="s">
        <v>599</v>
      </c>
    </row>
    <row r="320" spans="1:10">
      <c r="A320" s="75" t="str">
        <f t="shared" si="14"/>
        <v/>
      </c>
      <c r="B320" s="87">
        <f>IF(D320="","",COUNTIF($D$10:D320,D320))</f>
        <v>17</v>
      </c>
      <c r="C320" s="96">
        <v>45674</v>
      </c>
      <c r="D320" s="76">
        <f t="shared" si="17"/>
        <v>1</v>
      </c>
      <c r="E320" s="77" t="s">
        <v>447</v>
      </c>
      <c r="F320" s="95">
        <v>2</v>
      </c>
      <c r="G320" s="78" t="s">
        <v>607</v>
      </c>
      <c r="H320" s="91">
        <f t="shared" si="18"/>
        <v>2025</v>
      </c>
      <c r="I320" s="7" t="s">
        <v>426</v>
      </c>
      <c r="J320" s="76" t="s">
        <v>599</v>
      </c>
    </row>
    <row r="321" spans="1:10">
      <c r="A321" s="75" t="str">
        <f t="shared" si="14"/>
        <v/>
      </c>
      <c r="B321" s="87">
        <f>IF(D321="","",COUNTIF($D$10:D321,D321))</f>
        <v>18</v>
      </c>
      <c r="C321" s="96">
        <v>45674</v>
      </c>
      <c r="D321" s="76">
        <f t="shared" si="17"/>
        <v>1</v>
      </c>
      <c r="E321" s="77" t="s">
        <v>453</v>
      </c>
      <c r="F321" s="95">
        <v>4</v>
      </c>
      <c r="G321" s="78" t="s">
        <v>608</v>
      </c>
      <c r="H321" s="91">
        <f t="shared" si="18"/>
        <v>2025</v>
      </c>
      <c r="I321" s="7" t="s">
        <v>426</v>
      </c>
      <c r="J321" s="76" t="s">
        <v>599</v>
      </c>
    </row>
    <row r="322" spans="1:10">
      <c r="A322" s="75" t="str">
        <f t="shared" si="14"/>
        <v/>
      </c>
      <c r="B322" s="87">
        <f>IF(D322="","",COUNTIF($D$10:D322,D322))</f>
        <v>19</v>
      </c>
      <c r="C322" s="96">
        <v>45675</v>
      </c>
      <c r="D322" s="76">
        <f t="shared" si="17"/>
        <v>1</v>
      </c>
      <c r="E322" s="77" t="s">
        <v>447</v>
      </c>
      <c r="F322" s="95">
        <v>2</v>
      </c>
      <c r="G322" s="78" t="s">
        <v>609</v>
      </c>
      <c r="H322" s="91">
        <f t="shared" si="18"/>
        <v>2025</v>
      </c>
      <c r="I322" s="7" t="s">
        <v>426</v>
      </c>
      <c r="J322" s="76" t="s">
        <v>599</v>
      </c>
    </row>
    <row r="323" spans="1:10">
      <c r="A323" s="75" t="str">
        <f t="shared" si="14"/>
        <v/>
      </c>
      <c r="B323" s="87">
        <f>IF(D323="","",COUNTIF($D$10:D323,D323))</f>
        <v>20</v>
      </c>
      <c r="C323" s="96">
        <v>45675</v>
      </c>
      <c r="D323" s="76">
        <f t="shared" si="17"/>
        <v>1</v>
      </c>
      <c r="E323" s="77" t="s">
        <v>447</v>
      </c>
      <c r="F323" s="95">
        <v>2</v>
      </c>
      <c r="G323" s="78">
        <v>16.25</v>
      </c>
      <c r="H323" s="91">
        <f t="shared" si="18"/>
        <v>2025</v>
      </c>
      <c r="I323" s="7" t="s">
        <v>426</v>
      </c>
      <c r="J323" s="76" t="s">
        <v>599</v>
      </c>
    </row>
    <row r="324" spans="1:10">
      <c r="A324" s="75" t="str">
        <f t="shared" si="14"/>
        <v/>
      </c>
      <c r="B324" s="87">
        <f>IF(D324="","",COUNTIF($D$10:D324,D324))</f>
        <v>21</v>
      </c>
      <c r="C324" s="96">
        <v>45677</v>
      </c>
      <c r="D324" s="76">
        <f t="shared" si="17"/>
        <v>1</v>
      </c>
      <c r="E324" s="77" t="s">
        <v>447</v>
      </c>
      <c r="F324" s="95">
        <v>2</v>
      </c>
      <c r="G324" s="78" t="s">
        <v>610</v>
      </c>
      <c r="H324" s="91">
        <f t="shared" si="18"/>
        <v>2025</v>
      </c>
      <c r="I324" s="7" t="s">
        <v>426</v>
      </c>
      <c r="J324" s="76" t="s">
        <v>599</v>
      </c>
    </row>
    <row r="325" spans="1:10">
      <c r="A325" s="75" t="str">
        <f t="shared" si="14"/>
        <v/>
      </c>
      <c r="B325" s="87">
        <f>IF(D325="","",COUNTIF($D$10:D325,D325))</f>
        <v>22</v>
      </c>
      <c r="C325" s="96">
        <v>45677</v>
      </c>
      <c r="D325" s="76">
        <f t="shared" si="17"/>
        <v>1</v>
      </c>
      <c r="E325" s="77" t="s">
        <v>447</v>
      </c>
      <c r="F325" s="95">
        <v>2</v>
      </c>
      <c r="G325" s="78" t="s">
        <v>429</v>
      </c>
      <c r="H325" s="91">
        <f t="shared" si="18"/>
        <v>2025</v>
      </c>
      <c r="I325" s="7" t="s">
        <v>426</v>
      </c>
      <c r="J325" s="76" t="s">
        <v>599</v>
      </c>
    </row>
    <row r="326" spans="1:10">
      <c r="A326" s="75" t="str">
        <f t="shared" si="14"/>
        <v/>
      </c>
      <c r="B326" s="87">
        <f>IF(D326="","",COUNTIF($D$10:D326,D326))</f>
        <v>23</v>
      </c>
      <c r="C326" s="96">
        <v>45678</v>
      </c>
      <c r="D326" s="76">
        <f t="shared" si="17"/>
        <v>1</v>
      </c>
      <c r="E326" s="77" t="s">
        <v>449</v>
      </c>
      <c r="F326" s="95">
        <v>2</v>
      </c>
      <c r="G326" s="78" t="s">
        <v>491</v>
      </c>
      <c r="H326" s="91">
        <f t="shared" si="18"/>
        <v>2025</v>
      </c>
      <c r="I326" s="7" t="s">
        <v>426</v>
      </c>
      <c r="J326" s="76" t="s">
        <v>599</v>
      </c>
    </row>
    <row r="327" spans="1:10">
      <c r="A327" s="75" t="str">
        <f t="shared" si="14"/>
        <v/>
      </c>
      <c r="B327" s="87">
        <f>IF(D327="","",COUNTIF($D$10:D327,D327))</f>
        <v>24</v>
      </c>
      <c r="C327" s="96">
        <v>45678</v>
      </c>
      <c r="D327" s="76">
        <f t="shared" si="17"/>
        <v>1</v>
      </c>
      <c r="E327" s="77" t="s">
        <v>447</v>
      </c>
      <c r="F327" s="95">
        <v>2</v>
      </c>
      <c r="G327" s="78" t="s">
        <v>611</v>
      </c>
      <c r="H327" s="91">
        <f t="shared" si="18"/>
        <v>2025</v>
      </c>
      <c r="I327" s="7" t="s">
        <v>426</v>
      </c>
      <c r="J327" s="76" t="s">
        <v>599</v>
      </c>
    </row>
    <row r="328" spans="1:10">
      <c r="A328" s="75" t="str">
        <f t="shared" si="14"/>
        <v/>
      </c>
      <c r="B328" s="87">
        <f>IF(D328="","",COUNTIF($D$10:D328,D328))</f>
        <v>25</v>
      </c>
      <c r="C328" s="96">
        <v>45679</v>
      </c>
      <c r="D328" s="76">
        <f t="shared" si="17"/>
        <v>1</v>
      </c>
      <c r="E328" s="77" t="s">
        <v>449</v>
      </c>
      <c r="F328" s="95">
        <v>2</v>
      </c>
      <c r="G328" s="78" t="s">
        <v>586</v>
      </c>
      <c r="H328" s="91">
        <f t="shared" si="18"/>
        <v>2025</v>
      </c>
      <c r="I328" s="7" t="s">
        <v>426</v>
      </c>
      <c r="J328" s="76" t="s">
        <v>599</v>
      </c>
    </row>
    <row r="329" spans="1:10">
      <c r="A329" s="75" t="str">
        <f t="shared" si="14"/>
        <v/>
      </c>
      <c r="B329" s="87">
        <f>IF(D329="","",COUNTIF($D$10:D329,D329))</f>
        <v>26</v>
      </c>
      <c r="C329" s="96">
        <v>45679</v>
      </c>
      <c r="D329" s="76">
        <f t="shared" si="17"/>
        <v>1</v>
      </c>
      <c r="E329" s="77" t="s">
        <v>447</v>
      </c>
      <c r="F329" s="95">
        <v>2</v>
      </c>
      <c r="G329" s="78" t="s">
        <v>612</v>
      </c>
      <c r="H329" s="91">
        <f t="shared" si="18"/>
        <v>2025</v>
      </c>
      <c r="I329" s="7" t="s">
        <v>426</v>
      </c>
      <c r="J329" s="76" t="s">
        <v>599</v>
      </c>
    </row>
    <row r="330" spans="1:10">
      <c r="A330" s="75" t="str">
        <f t="shared" si="14"/>
        <v/>
      </c>
      <c r="B330" s="87">
        <f>IF(D330="","",COUNTIF($D$10:D330,D330))</f>
        <v>27</v>
      </c>
      <c r="C330" s="96">
        <v>45680</v>
      </c>
      <c r="D330" s="76">
        <f t="shared" si="17"/>
        <v>1</v>
      </c>
      <c r="E330" s="77" t="s">
        <v>449</v>
      </c>
      <c r="F330" s="95">
        <v>2</v>
      </c>
      <c r="G330" s="78" t="s">
        <v>458</v>
      </c>
      <c r="H330" s="91">
        <f t="shared" si="18"/>
        <v>2025</v>
      </c>
      <c r="I330" s="7" t="s">
        <v>426</v>
      </c>
      <c r="J330" s="76" t="s">
        <v>599</v>
      </c>
    </row>
    <row r="331" spans="1:10">
      <c r="A331" s="75" t="str">
        <f t="shared" ref="A331:A394" si="19">IF(AND($E$3="ALL",$E$4="ALL"),"ALL",IF(AND($E$3="ALL",$E$4&lt;&gt;"ALL"),IF(D331=$E$4,D331,""),IF(AND($E$3&lt;&gt;"ALL",$E$4="ALL"),IF(I331=$E$3,I331,""),"")))</f>
        <v/>
      </c>
      <c r="B331" s="87">
        <f>IF(D331="","",COUNTIF($D$10:D331,D331))</f>
        <v>28</v>
      </c>
      <c r="C331" s="96">
        <v>45680</v>
      </c>
      <c r="D331" s="76">
        <f t="shared" si="17"/>
        <v>1</v>
      </c>
      <c r="E331" s="77" t="s">
        <v>447</v>
      </c>
      <c r="F331" s="95">
        <v>2</v>
      </c>
      <c r="G331" s="78">
        <v>10.029999999999999</v>
      </c>
      <c r="H331" s="91">
        <f t="shared" si="18"/>
        <v>2025</v>
      </c>
      <c r="I331" s="7" t="s">
        <v>426</v>
      </c>
      <c r="J331" s="76" t="s">
        <v>599</v>
      </c>
    </row>
    <row r="332" spans="1:10">
      <c r="A332" s="75" t="str">
        <f t="shared" si="19"/>
        <v/>
      </c>
      <c r="B332" s="87">
        <f>IF(D332="","",COUNTIF($D$10:D332,D332))</f>
        <v>29</v>
      </c>
      <c r="C332" s="96">
        <v>45681</v>
      </c>
      <c r="D332" s="76">
        <f t="shared" si="17"/>
        <v>1</v>
      </c>
      <c r="E332" s="77" t="s">
        <v>454</v>
      </c>
      <c r="F332" s="95">
        <v>2</v>
      </c>
      <c r="G332" s="78" t="s">
        <v>613</v>
      </c>
      <c r="H332" s="91">
        <f t="shared" si="18"/>
        <v>2025</v>
      </c>
      <c r="I332" s="7" t="s">
        <v>426</v>
      </c>
      <c r="J332" s="76" t="s">
        <v>599</v>
      </c>
    </row>
    <row r="333" spans="1:10">
      <c r="A333" s="75" t="str">
        <f t="shared" si="19"/>
        <v/>
      </c>
      <c r="B333" s="87">
        <f>IF(D333="","",COUNTIF($D$10:D333,D333))</f>
        <v>30</v>
      </c>
      <c r="C333" s="96">
        <v>45681</v>
      </c>
      <c r="D333" s="76">
        <f t="shared" si="17"/>
        <v>1</v>
      </c>
      <c r="E333" s="77" t="s">
        <v>449</v>
      </c>
      <c r="F333" s="95">
        <v>2</v>
      </c>
      <c r="G333" s="78" t="s">
        <v>441</v>
      </c>
      <c r="H333" s="91">
        <f t="shared" si="18"/>
        <v>2025</v>
      </c>
      <c r="I333" s="7" t="s">
        <v>426</v>
      </c>
      <c r="J333" s="76" t="s">
        <v>599</v>
      </c>
    </row>
    <row r="334" spans="1:10">
      <c r="A334" s="75" t="str">
        <f t="shared" si="19"/>
        <v/>
      </c>
      <c r="B334" s="87">
        <f>IF(D334="","",COUNTIF($D$10:D334,D334))</f>
        <v>31</v>
      </c>
      <c r="C334" s="96">
        <v>45682</v>
      </c>
      <c r="D334" s="76">
        <f t="shared" si="17"/>
        <v>1</v>
      </c>
      <c r="E334" s="77" t="s">
        <v>454</v>
      </c>
      <c r="F334" s="95">
        <v>2</v>
      </c>
      <c r="G334" s="78" t="s">
        <v>510</v>
      </c>
      <c r="H334" s="91">
        <f t="shared" si="18"/>
        <v>2025</v>
      </c>
      <c r="I334" s="7" t="s">
        <v>426</v>
      </c>
      <c r="J334" s="76" t="s">
        <v>599</v>
      </c>
    </row>
    <row r="335" spans="1:10">
      <c r="A335" s="75" t="str">
        <f t="shared" si="19"/>
        <v/>
      </c>
      <c r="B335" s="87">
        <f>IF(D335="","",COUNTIF($D$10:D335,D335))</f>
        <v>32</v>
      </c>
      <c r="C335" s="96">
        <v>45682</v>
      </c>
      <c r="D335" s="76">
        <f t="shared" si="17"/>
        <v>1</v>
      </c>
      <c r="E335" s="77" t="s">
        <v>454</v>
      </c>
      <c r="F335" s="95">
        <v>2</v>
      </c>
      <c r="G335" s="78" t="s">
        <v>614</v>
      </c>
      <c r="H335" s="91">
        <f t="shared" si="18"/>
        <v>2025</v>
      </c>
      <c r="I335" s="7" t="s">
        <v>426</v>
      </c>
      <c r="J335" s="76" t="s">
        <v>599</v>
      </c>
    </row>
    <row r="336" spans="1:10">
      <c r="A336" s="75" t="str">
        <f t="shared" si="19"/>
        <v/>
      </c>
      <c r="B336" s="87">
        <f>IF(D336="","",COUNTIF($D$10:D336,D336))</f>
        <v>33</v>
      </c>
      <c r="C336" s="96">
        <v>45684</v>
      </c>
      <c r="D336" s="76">
        <f t="shared" si="17"/>
        <v>1</v>
      </c>
      <c r="E336" s="77" t="s">
        <v>454</v>
      </c>
      <c r="F336" s="95">
        <v>2</v>
      </c>
      <c r="G336" s="78" t="s">
        <v>504</v>
      </c>
      <c r="H336" s="91">
        <f t="shared" si="18"/>
        <v>2025</v>
      </c>
      <c r="I336" s="7" t="s">
        <v>426</v>
      </c>
      <c r="J336" s="76" t="s">
        <v>599</v>
      </c>
    </row>
    <row r="337" spans="1:10">
      <c r="A337" s="75" t="str">
        <f t="shared" si="19"/>
        <v/>
      </c>
      <c r="B337" s="87">
        <f>IF(D337="","",COUNTIF($D$10:D337,D337))</f>
        <v>34</v>
      </c>
      <c r="C337" s="96">
        <v>45684</v>
      </c>
      <c r="D337" s="76">
        <f t="shared" si="17"/>
        <v>1</v>
      </c>
      <c r="E337" s="77" t="s">
        <v>449</v>
      </c>
      <c r="F337" s="95">
        <v>2</v>
      </c>
      <c r="G337" s="78" t="s">
        <v>504</v>
      </c>
      <c r="H337" s="91">
        <f t="shared" si="18"/>
        <v>2025</v>
      </c>
      <c r="I337" s="7" t="s">
        <v>426</v>
      </c>
      <c r="J337" s="76" t="s">
        <v>599</v>
      </c>
    </row>
    <row r="338" spans="1:10">
      <c r="A338" s="75" t="str">
        <f t="shared" si="19"/>
        <v/>
      </c>
      <c r="B338" s="87">
        <f>IF(D338="","",COUNTIF($D$10:D338,D338))</f>
        <v>35</v>
      </c>
      <c r="C338" s="96">
        <v>45685</v>
      </c>
      <c r="D338" s="76">
        <f t="shared" si="17"/>
        <v>1</v>
      </c>
      <c r="E338" s="77" t="s">
        <v>431</v>
      </c>
      <c r="F338" s="95">
        <v>4</v>
      </c>
      <c r="G338" s="78" t="s">
        <v>508</v>
      </c>
      <c r="H338" s="91">
        <f t="shared" si="18"/>
        <v>2025</v>
      </c>
      <c r="I338" s="7" t="s">
        <v>426</v>
      </c>
      <c r="J338" s="76" t="s">
        <v>599</v>
      </c>
    </row>
    <row r="339" spans="1:10">
      <c r="A339" s="75" t="str">
        <f t="shared" si="19"/>
        <v/>
      </c>
      <c r="B339" s="87">
        <f>IF(D339="","",COUNTIF($D$10:D339,D339))</f>
        <v>36</v>
      </c>
      <c r="C339" s="96">
        <v>45686</v>
      </c>
      <c r="D339" s="76">
        <f t="shared" si="17"/>
        <v>1</v>
      </c>
      <c r="E339" s="77" t="s">
        <v>449</v>
      </c>
      <c r="F339" s="95">
        <v>2</v>
      </c>
      <c r="G339" s="78" t="s">
        <v>567</v>
      </c>
      <c r="H339" s="91">
        <f t="shared" si="18"/>
        <v>2025</v>
      </c>
      <c r="I339" s="7" t="s">
        <v>426</v>
      </c>
      <c r="J339" s="76" t="s">
        <v>599</v>
      </c>
    </row>
    <row r="340" spans="1:10">
      <c r="A340" s="75" t="str">
        <f t="shared" si="19"/>
        <v/>
      </c>
      <c r="B340" s="87">
        <f>IF(D340="","",COUNTIF($D$10:D340,D340))</f>
        <v>37</v>
      </c>
      <c r="C340" s="96">
        <v>45686</v>
      </c>
      <c r="D340" s="76">
        <f t="shared" si="17"/>
        <v>1</v>
      </c>
      <c r="E340" s="77" t="s">
        <v>454</v>
      </c>
      <c r="F340" s="95">
        <v>2</v>
      </c>
      <c r="G340" s="78" t="s">
        <v>462</v>
      </c>
      <c r="H340" s="91">
        <f t="shared" si="18"/>
        <v>2025</v>
      </c>
      <c r="I340" s="7" t="s">
        <v>426</v>
      </c>
      <c r="J340" s="76" t="s">
        <v>599</v>
      </c>
    </row>
    <row r="341" spans="1:10">
      <c r="A341" s="75" t="str">
        <f t="shared" si="19"/>
        <v/>
      </c>
      <c r="B341" s="87">
        <f>IF(D341="","",COUNTIF($D$10:D341,D341))</f>
        <v>38</v>
      </c>
      <c r="C341" s="96">
        <v>45687</v>
      </c>
      <c r="D341" s="76">
        <f t="shared" si="17"/>
        <v>1</v>
      </c>
      <c r="E341" s="77" t="s">
        <v>447</v>
      </c>
      <c r="F341" s="95">
        <v>2</v>
      </c>
      <c r="G341" s="78" t="s">
        <v>615</v>
      </c>
      <c r="H341" s="91">
        <f t="shared" si="18"/>
        <v>2025</v>
      </c>
      <c r="I341" s="7" t="s">
        <v>426</v>
      </c>
      <c r="J341" s="76" t="s">
        <v>599</v>
      </c>
    </row>
    <row r="342" spans="1:10">
      <c r="A342" s="75" t="str">
        <f t="shared" si="19"/>
        <v/>
      </c>
      <c r="B342" s="87">
        <f>IF(D342="","",COUNTIF($D$10:D342,D342))</f>
        <v>39</v>
      </c>
      <c r="C342" s="96">
        <v>45687</v>
      </c>
      <c r="D342" s="76">
        <f t="shared" si="17"/>
        <v>1</v>
      </c>
      <c r="E342" s="77" t="s">
        <v>447</v>
      </c>
      <c r="F342" s="95">
        <v>2</v>
      </c>
      <c r="G342" s="78" t="s">
        <v>597</v>
      </c>
      <c r="H342" s="91">
        <f t="shared" si="18"/>
        <v>2025</v>
      </c>
      <c r="I342" s="7" t="s">
        <v>426</v>
      </c>
      <c r="J342" s="76" t="s">
        <v>599</v>
      </c>
    </row>
    <row r="343" spans="1:10">
      <c r="A343" s="75" t="str">
        <f t="shared" si="19"/>
        <v/>
      </c>
      <c r="B343" s="87">
        <f>IF(D343="","",COUNTIF($D$10:D343,D343))</f>
        <v>40</v>
      </c>
      <c r="C343" s="96">
        <v>45688</v>
      </c>
      <c r="D343" s="76">
        <f t="shared" si="17"/>
        <v>1</v>
      </c>
      <c r="E343" s="77" t="s">
        <v>449</v>
      </c>
      <c r="F343" s="95">
        <v>2</v>
      </c>
      <c r="G343" s="78" t="s">
        <v>459</v>
      </c>
      <c r="H343" s="91">
        <f t="shared" si="18"/>
        <v>2025</v>
      </c>
      <c r="I343" s="7" t="s">
        <v>426</v>
      </c>
      <c r="J343" s="76" t="s">
        <v>599</v>
      </c>
    </row>
    <row r="344" spans="1:10">
      <c r="A344" s="75" t="str">
        <f t="shared" si="19"/>
        <v/>
      </c>
      <c r="B344" s="87">
        <f>IF(D344="","",COUNTIF($D$10:D344,D344))</f>
        <v>41</v>
      </c>
      <c r="C344" s="96">
        <v>45688</v>
      </c>
      <c r="D344" s="76">
        <f t="shared" si="17"/>
        <v>1</v>
      </c>
      <c r="E344" s="77" t="s">
        <v>447</v>
      </c>
      <c r="F344" s="95">
        <v>2</v>
      </c>
      <c r="G344" s="78" t="s">
        <v>462</v>
      </c>
      <c r="H344" s="91">
        <f t="shared" si="18"/>
        <v>2025</v>
      </c>
      <c r="I344" s="7" t="s">
        <v>426</v>
      </c>
      <c r="J344" s="76" t="s">
        <v>599</v>
      </c>
    </row>
    <row r="345" spans="1:10">
      <c r="A345" s="75" t="str">
        <f t="shared" si="19"/>
        <v/>
      </c>
    </row>
    <row r="346" spans="1:10">
      <c r="A346" s="75" t="str">
        <f t="shared" si="19"/>
        <v/>
      </c>
      <c r="B346" s="87">
        <f>IF(D346="","",COUNTIF($D$10:D346,D346))</f>
        <v>1</v>
      </c>
      <c r="C346" s="96">
        <v>45628</v>
      </c>
      <c r="D346" s="76">
        <f t="shared" ref="D346:D374" si="20">MONTH(C346)</f>
        <v>12</v>
      </c>
      <c r="E346" s="77" t="s">
        <v>616</v>
      </c>
      <c r="F346" s="95">
        <v>4</v>
      </c>
      <c r="G346" s="99">
        <v>0.28402777777777777</v>
      </c>
      <c r="H346" s="91">
        <f t="shared" ref="H346:H374" si="21">YEAR(C346)</f>
        <v>2024</v>
      </c>
      <c r="I346" s="7" t="s">
        <v>426</v>
      </c>
      <c r="J346" s="76" t="s">
        <v>617</v>
      </c>
    </row>
    <row r="347" spans="1:10">
      <c r="A347" s="75" t="str">
        <f t="shared" si="19"/>
        <v/>
      </c>
      <c r="B347" s="87">
        <f>IF(D347="","",COUNTIF($D$10:D347,D347))</f>
        <v>2</v>
      </c>
      <c r="C347" s="96">
        <v>45631</v>
      </c>
      <c r="D347" s="76">
        <f t="shared" si="20"/>
        <v>12</v>
      </c>
      <c r="E347" s="77" t="s">
        <v>431</v>
      </c>
      <c r="F347" s="95">
        <v>4</v>
      </c>
      <c r="G347" s="99">
        <v>0.31388888888888888</v>
      </c>
      <c r="H347" s="91">
        <f t="shared" si="21"/>
        <v>2024</v>
      </c>
      <c r="I347" s="7" t="s">
        <v>426</v>
      </c>
      <c r="J347" s="76" t="s">
        <v>617</v>
      </c>
    </row>
    <row r="348" spans="1:10">
      <c r="A348" s="75" t="str">
        <f t="shared" si="19"/>
        <v/>
      </c>
      <c r="B348" s="87">
        <f>IF(D348="","",COUNTIF($D$10:D348,D348))</f>
        <v>3</v>
      </c>
      <c r="C348" s="96">
        <v>45632</v>
      </c>
      <c r="D348" s="76">
        <f t="shared" si="20"/>
        <v>12</v>
      </c>
      <c r="E348" s="77" t="s">
        <v>435</v>
      </c>
      <c r="F348" s="95">
        <v>4</v>
      </c>
      <c r="G348" s="99">
        <v>0.30555555555555558</v>
      </c>
      <c r="H348" s="91">
        <f t="shared" si="21"/>
        <v>2024</v>
      </c>
      <c r="I348" s="7" t="s">
        <v>426</v>
      </c>
      <c r="J348" s="76" t="s">
        <v>617</v>
      </c>
    </row>
    <row r="349" spans="1:10">
      <c r="A349" s="75" t="str">
        <f t="shared" si="19"/>
        <v/>
      </c>
      <c r="B349" s="87">
        <f>IF(D349="","",COUNTIF($D$10:D349,D349))</f>
        <v>4</v>
      </c>
      <c r="C349" s="96">
        <v>45633</v>
      </c>
      <c r="D349" s="76">
        <f t="shared" si="20"/>
        <v>12</v>
      </c>
      <c r="E349" s="77" t="s">
        <v>447</v>
      </c>
      <c r="F349" s="95">
        <v>2</v>
      </c>
      <c r="G349" s="99">
        <v>0.27777777777777779</v>
      </c>
      <c r="H349" s="91">
        <f t="shared" si="21"/>
        <v>2024</v>
      </c>
      <c r="I349" s="7" t="s">
        <v>426</v>
      </c>
      <c r="J349" s="76" t="s">
        <v>617</v>
      </c>
    </row>
    <row r="350" spans="1:10">
      <c r="A350" s="75" t="str">
        <f t="shared" si="19"/>
        <v/>
      </c>
      <c r="B350" s="87">
        <f>IF(D350="","",COUNTIF($D$10:D350,D350))</f>
        <v>5</v>
      </c>
      <c r="C350" s="96">
        <v>45633</v>
      </c>
      <c r="D350" s="76">
        <f t="shared" si="20"/>
        <v>12</v>
      </c>
      <c r="E350" s="77" t="s">
        <v>447</v>
      </c>
      <c r="F350" s="95">
        <v>2</v>
      </c>
      <c r="G350" s="99">
        <v>8.01</v>
      </c>
      <c r="H350" s="91">
        <f t="shared" si="21"/>
        <v>2024</v>
      </c>
      <c r="I350" s="7" t="s">
        <v>426</v>
      </c>
      <c r="J350" s="76" t="s">
        <v>617</v>
      </c>
    </row>
    <row r="351" spans="1:10">
      <c r="A351" s="75" t="str">
        <f t="shared" si="19"/>
        <v/>
      </c>
      <c r="B351" s="87">
        <f>IF(D351="","",COUNTIF($D$10:D351,D351))</f>
        <v>6</v>
      </c>
      <c r="C351" s="96">
        <v>45635</v>
      </c>
      <c r="D351" s="76">
        <f t="shared" si="20"/>
        <v>12</v>
      </c>
      <c r="E351" s="77" t="s">
        <v>449</v>
      </c>
      <c r="F351" s="95">
        <v>2</v>
      </c>
      <c r="G351" s="99">
        <v>0.29166666666666669</v>
      </c>
      <c r="H351" s="91">
        <f t="shared" si="21"/>
        <v>2024</v>
      </c>
      <c r="I351" s="7" t="s">
        <v>426</v>
      </c>
      <c r="J351" s="76" t="s">
        <v>617</v>
      </c>
    </row>
    <row r="352" spans="1:10">
      <c r="A352" s="75" t="str">
        <f t="shared" si="19"/>
        <v/>
      </c>
      <c r="B352" s="87">
        <f>IF(D352="","",COUNTIF($D$10:D352,D352))</f>
        <v>7</v>
      </c>
      <c r="C352" s="96">
        <v>45635</v>
      </c>
      <c r="D352" s="76">
        <f t="shared" si="20"/>
        <v>12</v>
      </c>
      <c r="E352" s="77" t="s">
        <v>454</v>
      </c>
      <c r="F352" s="95">
        <v>2</v>
      </c>
      <c r="G352" s="99">
        <v>0.3263888888888889</v>
      </c>
      <c r="H352" s="91">
        <f t="shared" si="21"/>
        <v>2024</v>
      </c>
      <c r="I352" s="7" t="s">
        <v>426</v>
      </c>
      <c r="J352" s="76" t="s">
        <v>617</v>
      </c>
    </row>
    <row r="353" spans="1:10">
      <c r="A353" s="75" t="str">
        <f t="shared" si="19"/>
        <v/>
      </c>
      <c r="B353" s="87">
        <f>IF(D353="","",COUNTIF($D$10:D353,D353))</f>
        <v>8</v>
      </c>
      <c r="C353" s="96">
        <v>45636</v>
      </c>
      <c r="D353" s="76">
        <f t="shared" si="20"/>
        <v>12</v>
      </c>
      <c r="E353" s="77" t="s">
        <v>447</v>
      </c>
      <c r="F353" s="95">
        <v>2</v>
      </c>
      <c r="G353" s="99">
        <v>0.29375000000000001</v>
      </c>
      <c r="H353" s="91">
        <f t="shared" si="21"/>
        <v>2024</v>
      </c>
      <c r="I353" s="7" t="s">
        <v>426</v>
      </c>
      <c r="J353" s="76" t="s">
        <v>617</v>
      </c>
    </row>
    <row r="354" spans="1:10">
      <c r="A354" s="75" t="str">
        <f t="shared" si="19"/>
        <v/>
      </c>
      <c r="B354" s="87">
        <f>IF(D354="","",COUNTIF($D$10:D354,D354))</f>
        <v>9</v>
      </c>
      <c r="C354" s="96">
        <v>45636</v>
      </c>
      <c r="D354" s="76">
        <f t="shared" si="20"/>
        <v>12</v>
      </c>
      <c r="E354" s="77" t="s">
        <v>447</v>
      </c>
      <c r="F354" s="95">
        <v>2</v>
      </c>
      <c r="G354" s="99">
        <v>0.34027777777777773</v>
      </c>
      <c r="H354" s="91">
        <f t="shared" si="21"/>
        <v>2024</v>
      </c>
      <c r="I354" s="7" t="s">
        <v>426</v>
      </c>
      <c r="J354" s="76" t="s">
        <v>617</v>
      </c>
    </row>
    <row r="355" spans="1:10">
      <c r="A355" s="75" t="str">
        <f t="shared" si="19"/>
        <v/>
      </c>
      <c r="B355" s="87">
        <f>IF(D355="","",COUNTIF($D$10:D355,D355))</f>
        <v>10</v>
      </c>
      <c r="C355" s="96">
        <v>45637</v>
      </c>
      <c r="D355" s="76">
        <f t="shared" si="20"/>
        <v>12</v>
      </c>
      <c r="E355" s="77" t="s">
        <v>618</v>
      </c>
      <c r="F355" s="95">
        <v>4</v>
      </c>
      <c r="G355" s="99">
        <v>0.29652777777777778</v>
      </c>
      <c r="H355" s="91">
        <f t="shared" si="21"/>
        <v>2024</v>
      </c>
      <c r="I355" s="7" t="s">
        <v>426</v>
      </c>
      <c r="J355" s="76" t="s">
        <v>617</v>
      </c>
    </row>
    <row r="356" spans="1:10">
      <c r="A356" s="75" t="str">
        <f t="shared" si="19"/>
        <v/>
      </c>
      <c r="B356" s="87">
        <f>IF(D356="","",COUNTIF($D$10:D356,D356))</f>
        <v>11</v>
      </c>
      <c r="C356" s="96">
        <v>45637</v>
      </c>
      <c r="D356" s="76">
        <f t="shared" si="20"/>
        <v>12</v>
      </c>
      <c r="E356" s="77" t="s">
        <v>454</v>
      </c>
      <c r="F356" s="95">
        <v>2</v>
      </c>
      <c r="G356" s="99">
        <v>0.44791666666666669</v>
      </c>
      <c r="H356" s="91">
        <f t="shared" si="21"/>
        <v>2024</v>
      </c>
      <c r="I356" s="7" t="s">
        <v>426</v>
      </c>
      <c r="J356" s="76" t="s">
        <v>617</v>
      </c>
    </row>
    <row r="357" spans="1:10">
      <c r="A357" s="75" t="str">
        <f t="shared" si="19"/>
        <v/>
      </c>
      <c r="B357" s="87">
        <f>IF(D357="","",COUNTIF($D$10:D357,D357))</f>
        <v>12</v>
      </c>
      <c r="C357" s="96">
        <v>45637</v>
      </c>
      <c r="D357" s="76">
        <f t="shared" si="20"/>
        <v>12</v>
      </c>
      <c r="E357" s="77" t="s">
        <v>454</v>
      </c>
      <c r="F357" s="95">
        <v>2</v>
      </c>
      <c r="G357" s="99">
        <v>0.53333333333333333</v>
      </c>
      <c r="H357" s="91">
        <f t="shared" si="21"/>
        <v>2024</v>
      </c>
      <c r="I357" s="7" t="s">
        <v>426</v>
      </c>
      <c r="J357" s="76" t="s">
        <v>617</v>
      </c>
    </row>
    <row r="358" spans="1:10">
      <c r="A358" s="75" t="str">
        <f t="shared" si="19"/>
        <v/>
      </c>
      <c r="B358" s="87">
        <f>IF(D358="","",COUNTIF($D$10:D358,D358))</f>
        <v>13</v>
      </c>
      <c r="C358" s="96">
        <v>45638</v>
      </c>
      <c r="D358" s="76">
        <f t="shared" si="20"/>
        <v>12</v>
      </c>
      <c r="E358" s="77" t="s">
        <v>619</v>
      </c>
      <c r="F358" s="95">
        <v>2</v>
      </c>
      <c r="G358" s="99">
        <v>0.27638888888888891</v>
      </c>
      <c r="H358" s="91">
        <f t="shared" si="21"/>
        <v>2024</v>
      </c>
      <c r="I358" s="7" t="s">
        <v>426</v>
      </c>
      <c r="J358" s="76" t="s">
        <v>617</v>
      </c>
    </row>
    <row r="359" spans="1:10">
      <c r="A359" s="75" t="str">
        <f t="shared" si="19"/>
        <v/>
      </c>
      <c r="B359" s="87">
        <f>IF(D359="","",COUNTIF($D$10:D359,D359))</f>
        <v>14</v>
      </c>
      <c r="C359" s="96">
        <v>45638</v>
      </c>
      <c r="D359" s="76">
        <f t="shared" si="20"/>
        <v>12</v>
      </c>
      <c r="E359" s="77" t="s">
        <v>619</v>
      </c>
      <c r="F359" s="95">
        <v>2</v>
      </c>
      <c r="G359" s="99">
        <v>0.32500000000000001</v>
      </c>
      <c r="H359" s="91">
        <f t="shared" si="21"/>
        <v>2024</v>
      </c>
      <c r="I359" s="7" t="s">
        <v>426</v>
      </c>
      <c r="J359" s="76" t="s">
        <v>617</v>
      </c>
    </row>
    <row r="360" spans="1:10">
      <c r="A360" s="75" t="str">
        <f t="shared" si="19"/>
        <v/>
      </c>
      <c r="B360" s="87">
        <f>IF(D360="","",COUNTIF($D$10:D360,D360))</f>
        <v>15</v>
      </c>
      <c r="C360" s="96">
        <v>45638</v>
      </c>
      <c r="D360" s="76">
        <f t="shared" si="20"/>
        <v>12</v>
      </c>
      <c r="E360" s="77" t="s">
        <v>620</v>
      </c>
      <c r="F360" s="95">
        <v>4</v>
      </c>
      <c r="G360" s="99">
        <v>0.2722222222222222</v>
      </c>
      <c r="H360" s="91">
        <f t="shared" si="21"/>
        <v>2024</v>
      </c>
      <c r="I360" s="7" t="s">
        <v>426</v>
      </c>
      <c r="J360" s="76" t="s">
        <v>617</v>
      </c>
    </row>
    <row r="361" spans="1:10">
      <c r="A361" s="75" t="str">
        <f t="shared" si="19"/>
        <v/>
      </c>
      <c r="B361" s="87">
        <f>IF(D361="","",COUNTIF($D$10:D361,D361))</f>
        <v>16</v>
      </c>
      <c r="C361" s="96">
        <v>45639</v>
      </c>
      <c r="D361" s="76">
        <f t="shared" si="20"/>
        <v>12</v>
      </c>
      <c r="E361" s="77" t="s">
        <v>620</v>
      </c>
      <c r="F361" s="95">
        <v>4</v>
      </c>
      <c r="G361" s="99">
        <v>0.60555555555555562</v>
      </c>
      <c r="H361" s="91">
        <f t="shared" si="21"/>
        <v>2024</v>
      </c>
      <c r="I361" s="7" t="s">
        <v>426</v>
      </c>
      <c r="J361" s="76" t="s">
        <v>617</v>
      </c>
    </row>
    <row r="362" spans="1:10">
      <c r="A362" s="75" t="str">
        <f t="shared" si="19"/>
        <v/>
      </c>
      <c r="B362" s="87">
        <f>IF(D362="","",COUNTIF($D$10:D362,D362))</f>
        <v>17</v>
      </c>
      <c r="C362" s="96">
        <v>45640</v>
      </c>
      <c r="D362" s="76">
        <f t="shared" si="20"/>
        <v>12</v>
      </c>
      <c r="E362" s="77" t="s">
        <v>447</v>
      </c>
      <c r="F362" s="95">
        <v>2</v>
      </c>
      <c r="G362" s="99">
        <v>0.29930555555555555</v>
      </c>
      <c r="H362" s="91">
        <f t="shared" si="21"/>
        <v>2024</v>
      </c>
      <c r="I362" s="7" t="s">
        <v>426</v>
      </c>
      <c r="J362" s="76" t="s">
        <v>617</v>
      </c>
    </row>
    <row r="363" spans="1:10">
      <c r="A363" s="75" t="str">
        <f t="shared" si="19"/>
        <v/>
      </c>
      <c r="B363" s="87">
        <f>IF(D363="","",COUNTIF($D$10:D363,D363))</f>
        <v>18</v>
      </c>
      <c r="C363" s="96">
        <v>45640</v>
      </c>
      <c r="D363" s="76">
        <f t="shared" si="20"/>
        <v>12</v>
      </c>
      <c r="E363" s="77" t="s">
        <v>447</v>
      </c>
      <c r="F363" s="95">
        <v>2</v>
      </c>
      <c r="G363" s="99">
        <v>0.37916666666666665</v>
      </c>
      <c r="H363" s="91">
        <f t="shared" si="21"/>
        <v>2024</v>
      </c>
      <c r="I363" s="7" t="s">
        <v>426</v>
      </c>
      <c r="J363" s="76" t="s">
        <v>617</v>
      </c>
    </row>
    <row r="364" spans="1:10">
      <c r="A364" s="75" t="str">
        <f t="shared" si="19"/>
        <v/>
      </c>
      <c r="B364" s="87">
        <f>IF(D364="","",COUNTIF($D$10:D364,D364))</f>
        <v>19</v>
      </c>
      <c r="C364" s="96">
        <v>45643</v>
      </c>
      <c r="D364" s="76">
        <f t="shared" si="20"/>
        <v>12</v>
      </c>
      <c r="E364" s="77" t="s">
        <v>431</v>
      </c>
      <c r="F364" s="95">
        <v>4</v>
      </c>
      <c r="G364" s="99">
        <v>0.64583333333333337</v>
      </c>
      <c r="H364" s="91">
        <f t="shared" si="21"/>
        <v>2024</v>
      </c>
      <c r="I364" s="7" t="s">
        <v>426</v>
      </c>
      <c r="J364" s="76" t="s">
        <v>617</v>
      </c>
    </row>
    <row r="365" spans="1:10">
      <c r="A365" s="75" t="str">
        <f t="shared" si="19"/>
        <v/>
      </c>
      <c r="B365" s="87">
        <f>IF(D365="","",COUNTIF($D$10:D365,D365))</f>
        <v>20</v>
      </c>
      <c r="C365" s="96">
        <v>45644</v>
      </c>
      <c r="D365" s="76">
        <f t="shared" si="20"/>
        <v>12</v>
      </c>
      <c r="E365" s="77" t="s">
        <v>620</v>
      </c>
      <c r="F365" s="95">
        <v>4</v>
      </c>
      <c r="G365" s="99">
        <v>0.30486111111111114</v>
      </c>
      <c r="H365" s="91">
        <f t="shared" si="21"/>
        <v>2024</v>
      </c>
      <c r="I365" s="7" t="s">
        <v>426</v>
      </c>
      <c r="J365" s="76" t="s">
        <v>617</v>
      </c>
    </row>
    <row r="366" spans="1:10">
      <c r="A366" s="75" t="str">
        <f t="shared" si="19"/>
        <v/>
      </c>
      <c r="B366" s="87">
        <f>IF(D366="","",COUNTIF($D$10:D366,D366))</f>
        <v>21</v>
      </c>
      <c r="C366" s="96">
        <v>45646</v>
      </c>
      <c r="D366" s="76">
        <f t="shared" si="20"/>
        <v>12</v>
      </c>
      <c r="E366" s="77" t="s">
        <v>453</v>
      </c>
      <c r="F366" s="95">
        <v>4</v>
      </c>
      <c r="G366" s="99">
        <v>0.2722222222222222</v>
      </c>
      <c r="H366" s="91">
        <f t="shared" si="21"/>
        <v>2024</v>
      </c>
      <c r="I366" s="7" t="s">
        <v>426</v>
      </c>
      <c r="J366" s="76" t="s">
        <v>617</v>
      </c>
    </row>
    <row r="367" spans="1:10">
      <c r="A367" s="75" t="str">
        <f t="shared" si="19"/>
        <v/>
      </c>
      <c r="B367" s="87">
        <f>IF(D367="","",COUNTIF($D$10:D367,D367))</f>
        <v>22</v>
      </c>
      <c r="C367" s="96">
        <v>45647</v>
      </c>
      <c r="D367" s="76">
        <f t="shared" si="20"/>
        <v>12</v>
      </c>
      <c r="E367" s="77" t="s">
        <v>438</v>
      </c>
      <c r="F367" s="95">
        <v>4</v>
      </c>
      <c r="G367" s="99">
        <v>0.30555555555555558</v>
      </c>
      <c r="H367" s="91">
        <f t="shared" si="21"/>
        <v>2024</v>
      </c>
      <c r="I367" s="7" t="s">
        <v>426</v>
      </c>
      <c r="J367" s="76" t="s">
        <v>617</v>
      </c>
    </row>
    <row r="368" spans="1:10">
      <c r="A368" s="75" t="str">
        <f t="shared" si="19"/>
        <v/>
      </c>
      <c r="B368" s="87">
        <f>IF(D368="","",COUNTIF($D$10:D368,D368))</f>
        <v>23</v>
      </c>
      <c r="C368" s="96">
        <v>45649</v>
      </c>
      <c r="D368" s="76">
        <f t="shared" si="20"/>
        <v>12</v>
      </c>
      <c r="E368" s="77" t="s">
        <v>616</v>
      </c>
      <c r="F368" s="95">
        <v>4</v>
      </c>
      <c r="G368" s="99">
        <v>0.28472222222222221</v>
      </c>
      <c r="H368" s="91">
        <f t="shared" si="21"/>
        <v>2024</v>
      </c>
      <c r="I368" s="7" t="s">
        <v>426</v>
      </c>
      <c r="J368" s="76" t="s">
        <v>617</v>
      </c>
    </row>
    <row r="369" spans="1:10">
      <c r="A369" s="75" t="str">
        <f t="shared" si="19"/>
        <v/>
      </c>
      <c r="B369" s="87">
        <f>IF(D369="","",COUNTIF($D$10:D369,D369))</f>
        <v>24</v>
      </c>
      <c r="C369" s="96">
        <v>45650</v>
      </c>
      <c r="D369" s="76">
        <f t="shared" si="20"/>
        <v>12</v>
      </c>
      <c r="E369" s="77" t="s">
        <v>431</v>
      </c>
      <c r="F369" s="95">
        <v>4</v>
      </c>
      <c r="G369" s="99">
        <v>0.64861111111111114</v>
      </c>
      <c r="H369" s="91">
        <f t="shared" si="21"/>
        <v>2024</v>
      </c>
      <c r="I369" s="7" t="s">
        <v>426</v>
      </c>
      <c r="J369" s="76" t="s">
        <v>617</v>
      </c>
    </row>
    <row r="370" spans="1:10">
      <c r="A370" s="75" t="str">
        <f t="shared" si="19"/>
        <v/>
      </c>
      <c r="B370" s="87">
        <f>IF(D370="","",COUNTIF($D$10:D370,D370))</f>
        <v>25</v>
      </c>
      <c r="C370" s="96">
        <v>45650</v>
      </c>
      <c r="D370" s="76">
        <f t="shared" si="20"/>
        <v>12</v>
      </c>
      <c r="E370" s="77" t="s">
        <v>438</v>
      </c>
      <c r="F370" s="95">
        <v>4</v>
      </c>
      <c r="G370" s="99">
        <v>0.29930555555555555</v>
      </c>
      <c r="H370" s="91">
        <f t="shared" si="21"/>
        <v>2024</v>
      </c>
      <c r="I370" s="7" t="s">
        <v>426</v>
      </c>
      <c r="J370" s="76" t="s">
        <v>617</v>
      </c>
    </row>
    <row r="371" spans="1:10">
      <c r="A371" s="75" t="str">
        <f t="shared" si="19"/>
        <v/>
      </c>
      <c r="B371" s="87">
        <f>IF(D371="","",COUNTIF($D$10:D371,D371))</f>
        <v>26</v>
      </c>
      <c r="C371" s="96">
        <v>45651</v>
      </c>
      <c r="D371" s="76">
        <f t="shared" si="20"/>
        <v>12</v>
      </c>
      <c r="E371" s="77" t="s">
        <v>616</v>
      </c>
      <c r="F371" s="95">
        <v>4</v>
      </c>
      <c r="G371" s="99">
        <v>0.30208333333333337</v>
      </c>
      <c r="H371" s="91">
        <f t="shared" si="21"/>
        <v>2024</v>
      </c>
      <c r="I371" s="7" t="s">
        <v>426</v>
      </c>
      <c r="J371" s="76" t="s">
        <v>617</v>
      </c>
    </row>
    <row r="372" spans="1:10">
      <c r="A372" s="75" t="str">
        <f t="shared" si="19"/>
        <v/>
      </c>
      <c r="B372" s="87">
        <f>IF(D372="","",COUNTIF($D$10:D372,D372))</f>
        <v>27</v>
      </c>
      <c r="C372" s="96">
        <v>45652</v>
      </c>
      <c r="D372" s="76">
        <f t="shared" si="20"/>
        <v>12</v>
      </c>
      <c r="E372" s="77" t="s">
        <v>453</v>
      </c>
      <c r="F372" s="95">
        <v>4</v>
      </c>
      <c r="G372" s="99">
        <v>0.2673611111111111</v>
      </c>
      <c r="H372" s="91">
        <f t="shared" si="21"/>
        <v>2024</v>
      </c>
      <c r="I372" s="7" t="s">
        <v>426</v>
      </c>
      <c r="J372" s="76" t="s">
        <v>617</v>
      </c>
    </row>
    <row r="373" spans="1:10">
      <c r="A373" s="75" t="str">
        <f t="shared" si="19"/>
        <v/>
      </c>
      <c r="B373" s="87">
        <f>IF(D373="","",COUNTIF($D$10:D373,D373))</f>
        <v>28</v>
      </c>
      <c r="C373" s="96">
        <v>45653</v>
      </c>
      <c r="D373" s="76">
        <f t="shared" si="20"/>
        <v>12</v>
      </c>
      <c r="E373" s="77" t="s">
        <v>431</v>
      </c>
      <c r="F373" s="95">
        <v>4</v>
      </c>
      <c r="G373" s="99">
        <v>0.29166666666666669</v>
      </c>
      <c r="H373" s="91">
        <f t="shared" si="21"/>
        <v>2024</v>
      </c>
      <c r="I373" s="7" t="s">
        <v>426</v>
      </c>
      <c r="J373" s="76" t="s">
        <v>617</v>
      </c>
    </row>
    <row r="374" spans="1:10">
      <c r="A374" s="75" t="str">
        <f t="shared" si="19"/>
        <v/>
      </c>
      <c r="B374" s="87">
        <f>IF(D374="","",COUNTIF($D$10:D374,D374))</f>
        <v>29</v>
      </c>
      <c r="C374" s="96">
        <v>45656</v>
      </c>
      <c r="D374" s="76">
        <f t="shared" si="20"/>
        <v>12</v>
      </c>
      <c r="E374" s="77" t="s">
        <v>428</v>
      </c>
      <c r="F374" s="95">
        <v>4</v>
      </c>
      <c r="G374" s="99">
        <v>0.28125</v>
      </c>
      <c r="H374" s="91">
        <f t="shared" si="21"/>
        <v>2024</v>
      </c>
      <c r="I374" s="7" t="s">
        <v>426</v>
      </c>
      <c r="J374" s="76" t="s">
        <v>617</v>
      </c>
    </row>
    <row r="375" spans="1:10">
      <c r="A375" s="75" t="str">
        <f t="shared" si="19"/>
        <v/>
      </c>
    </row>
    <row r="376" spans="1:10">
      <c r="A376" s="75">
        <f t="shared" si="19"/>
        <v>11</v>
      </c>
      <c r="B376" s="87">
        <v>1</v>
      </c>
      <c r="C376" s="96">
        <v>45597</v>
      </c>
      <c r="D376" s="76">
        <f t="shared" ref="D376:D415" si="22">MONTH(C376)</f>
        <v>11</v>
      </c>
      <c r="E376" s="77" t="s">
        <v>428</v>
      </c>
      <c r="F376" s="95">
        <v>4</v>
      </c>
      <c r="G376" s="78" t="s">
        <v>569</v>
      </c>
      <c r="H376" s="91">
        <f t="shared" ref="H376:H415" si="23">YEAR(C376)</f>
        <v>2024</v>
      </c>
      <c r="I376" s="7" t="s">
        <v>426</v>
      </c>
      <c r="J376" s="76" t="s">
        <v>621</v>
      </c>
    </row>
    <row r="377" spans="1:10">
      <c r="A377" s="75">
        <f t="shared" si="19"/>
        <v>11</v>
      </c>
      <c r="B377" s="87">
        <v>2</v>
      </c>
      <c r="C377" s="96">
        <v>45598</v>
      </c>
      <c r="D377" s="76">
        <f t="shared" si="22"/>
        <v>11</v>
      </c>
      <c r="E377" s="77" t="s">
        <v>447</v>
      </c>
      <c r="F377" s="95">
        <v>2</v>
      </c>
      <c r="G377" s="78" t="s">
        <v>491</v>
      </c>
      <c r="H377" s="91">
        <f t="shared" si="23"/>
        <v>2024</v>
      </c>
      <c r="I377" s="7" t="s">
        <v>426</v>
      </c>
      <c r="J377" s="76" t="s">
        <v>621</v>
      </c>
    </row>
    <row r="378" spans="1:10">
      <c r="A378" s="75">
        <f t="shared" si="19"/>
        <v>11</v>
      </c>
      <c r="B378" s="87">
        <v>3</v>
      </c>
      <c r="C378" s="96">
        <v>45598</v>
      </c>
      <c r="D378" s="76">
        <f t="shared" si="22"/>
        <v>11</v>
      </c>
      <c r="E378" s="77" t="s">
        <v>449</v>
      </c>
      <c r="F378" s="95">
        <v>2</v>
      </c>
      <c r="G378" s="78" t="s">
        <v>622</v>
      </c>
      <c r="H378" s="91">
        <f t="shared" si="23"/>
        <v>2024</v>
      </c>
      <c r="I378" s="7" t="s">
        <v>426</v>
      </c>
      <c r="J378" s="76" t="s">
        <v>621</v>
      </c>
    </row>
    <row r="379" spans="1:10">
      <c r="A379" s="75">
        <f t="shared" si="19"/>
        <v>11</v>
      </c>
      <c r="B379" s="87">
        <v>4</v>
      </c>
      <c r="C379" s="96">
        <v>45600</v>
      </c>
      <c r="D379" s="76">
        <f t="shared" si="22"/>
        <v>11</v>
      </c>
      <c r="E379" s="77" t="s">
        <v>600</v>
      </c>
      <c r="F379" s="95">
        <v>4</v>
      </c>
      <c r="G379" s="78" t="s">
        <v>557</v>
      </c>
      <c r="H379" s="91">
        <f t="shared" si="23"/>
        <v>2024</v>
      </c>
      <c r="I379" s="7" t="s">
        <v>623</v>
      </c>
      <c r="J379" s="76" t="s">
        <v>621</v>
      </c>
    </row>
    <row r="380" spans="1:10">
      <c r="A380" s="75">
        <f t="shared" si="19"/>
        <v>11</v>
      </c>
      <c r="B380" s="87">
        <v>5</v>
      </c>
      <c r="C380" s="96">
        <v>45600</v>
      </c>
      <c r="D380" s="76">
        <f t="shared" si="22"/>
        <v>11</v>
      </c>
      <c r="E380" s="77" t="s">
        <v>431</v>
      </c>
      <c r="F380" s="95">
        <v>4</v>
      </c>
      <c r="G380" s="78" t="s">
        <v>624</v>
      </c>
      <c r="H380" s="91">
        <f t="shared" si="23"/>
        <v>2024</v>
      </c>
      <c r="I380" s="7" t="s">
        <v>625</v>
      </c>
      <c r="J380" s="76" t="s">
        <v>621</v>
      </c>
    </row>
    <row r="381" spans="1:10">
      <c r="A381" s="75">
        <f t="shared" si="19"/>
        <v>11</v>
      </c>
      <c r="B381" s="87">
        <v>6</v>
      </c>
      <c r="C381" s="96">
        <v>45600</v>
      </c>
      <c r="D381" s="76">
        <f t="shared" si="22"/>
        <v>11</v>
      </c>
      <c r="E381" s="77" t="s">
        <v>431</v>
      </c>
      <c r="F381" s="95">
        <v>4</v>
      </c>
      <c r="G381" s="78" t="s">
        <v>455</v>
      </c>
      <c r="H381" s="91">
        <f t="shared" si="23"/>
        <v>2024</v>
      </c>
      <c r="I381" s="7" t="s">
        <v>426</v>
      </c>
      <c r="J381" s="76" t="s">
        <v>621</v>
      </c>
    </row>
    <row r="382" spans="1:10">
      <c r="A382" s="75">
        <f t="shared" si="19"/>
        <v>11</v>
      </c>
      <c r="B382" s="87">
        <v>7</v>
      </c>
      <c r="C382" s="96">
        <v>45601</v>
      </c>
      <c r="D382" s="76">
        <f t="shared" si="22"/>
        <v>11</v>
      </c>
      <c r="E382" s="77" t="s">
        <v>600</v>
      </c>
      <c r="F382" s="95">
        <v>4</v>
      </c>
      <c r="G382" s="78" t="s">
        <v>557</v>
      </c>
      <c r="H382" s="91">
        <f t="shared" si="23"/>
        <v>2024</v>
      </c>
      <c r="I382" s="7" t="s">
        <v>426</v>
      </c>
      <c r="J382" s="76" t="s">
        <v>621</v>
      </c>
    </row>
    <row r="383" spans="1:10">
      <c r="A383" s="75">
        <f t="shared" si="19"/>
        <v>11</v>
      </c>
      <c r="B383" s="87">
        <v>8</v>
      </c>
      <c r="C383" s="96">
        <v>45602</v>
      </c>
      <c r="D383" s="76">
        <f t="shared" si="22"/>
        <v>11</v>
      </c>
      <c r="E383" s="77" t="s">
        <v>431</v>
      </c>
      <c r="F383" s="95">
        <v>4</v>
      </c>
      <c r="G383" s="78" t="s">
        <v>583</v>
      </c>
      <c r="H383" s="91">
        <f t="shared" si="23"/>
        <v>2024</v>
      </c>
      <c r="I383" s="7" t="s">
        <v>426</v>
      </c>
      <c r="J383" s="76" t="s">
        <v>621</v>
      </c>
    </row>
    <row r="384" spans="1:10">
      <c r="A384" s="75">
        <f t="shared" si="19"/>
        <v>11</v>
      </c>
      <c r="B384" s="87">
        <v>9</v>
      </c>
      <c r="C384" s="96">
        <v>45603</v>
      </c>
      <c r="D384" s="76">
        <f t="shared" si="22"/>
        <v>11</v>
      </c>
      <c r="E384" s="77" t="s">
        <v>435</v>
      </c>
      <c r="F384" s="95">
        <v>4</v>
      </c>
      <c r="G384" s="78" t="s">
        <v>437</v>
      </c>
      <c r="H384" s="91">
        <f t="shared" si="23"/>
        <v>2024</v>
      </c>
      <c r="I384" s="7" t="s">
        <v>426</v>
      </c>
      <c r="J384" s="76" t="s">
        <v>621</v>
      </c>
    </row>
    <row r="385" spans="1:10">
      <c r="A385" s="75">
        <f t="shared" si="19"/>
        <v>11</v>
      </c>
      <c r="B385" s="87">
        <v>10</v>
      </c>
      <c r="C385" s="96">
        <v>45604</v>
      </c>
      <c r="D385" s="76">
        <f t="shared" si="22"/>
        <v>11</v>
      </c>
      <c r="E385" s="77" t="s">
        <v>447</v>
      </c>
      <c r="F385" s="95">
        <v>2</v>
      </c>
      <c r="G385" s="78" t="s">
        <v>491</v>
      </c>
      <c r="H385" s="91">
        <f t="shared" si="23"/>
        <v>2024</v>
      </c>
      <c r="I385" s="7" t="s">
        <v>426</v>
      </c>
      <c r="J385" s="76" t="s">
        <v>621</v>
      </c>
    </row>
    <row r="386" spans="1:10">
      <c r="A386" s="75">
        <f t="shared" si="19"/>
        <v>11</v>
      </c>
      <c r="B386" s="87">
        <v>11</v>
      </c>
      <c r="C386" s="96">
        <v>45604</v>
      </c>
      <c r="D386" s="76">
        <f t="shared" si="22"/>
        <v>11</v>
      </c>
      <c r="E386" s="77" t="s">
        <v>447</v>
      </c>
      <c r="F386" s="95">
        <v>2</v>
      </c>
      <c r="G386" s="78" t="s">
        <v>626</v>
      </c>
      <c r="H386" s="91">
        <f t="shared" si="23"/>
        <v>2024</v>
      </c>
      <c r="I386" s="7" t="s">
        <v>426</v>
      </c>
      <c r="J386" s="76" t="s">
        <v>621</v>
      </c>
    </row>
    <row r="387" spans="1:10">
      <c r="A387" s="75">
        <f t="shared" si="19"/>
        <v>11</v>
      </c>
      <c r="B387" s="87">
        <v>12</v>
      </c>
      <c r="C387" s="96">
        <v>45605</v>
      </c>
      <c r="D387" s="76">
        <f t="shared" si="22"/>
        <v>11</v>
      </c>
      <c r="E387" s="77" t="s">
        <v>449</v>
      </c>
      <c r="F387" s="95">
        <v>2</v>
      </c>
      <c r="G387" s="78" t="s">
        <v>491</v>
      </c>
      <c r="H387" s="91">
        <f t="shared" si="23"/>
        <v>2024</v>
      </c>
      <c r="I387" s="7" t="s">
        <v>426</v>
      </c>
      <c r="J387" s="76" t="s">
        <v>621</v>
      </c>
    </row>
    <row r="388" spans="1:10">
      <c r="A388" s="75">
        <f t="shared" si="19"/>
        <v>11</v>
      </c>
      <c r="B388" s="87">
        <v>13</v>
      </c>
      <c r="C388" s="96">
        <v>45605</v>
      </c>
      <c r="D388" s="76">
        <f t="shared" si="22"/>
        <v>11</v>
      </c>
      <c r="E388" s="77" t="s">
        <v>449</v>
      </c>
      <c r="F388" s="95">
        <v>2</v>
      </c>
      <c r="G388" s="78" t="s">
        <v>627</v>
      </c>
      <c r="H388" s="91">
        <f t="shared" si="23"/>
        <v>2024</v>
      </c>
      <c r="I388" s="7" t="s">
        <v>426</v>
      </c>
      <c r="J388" s="76" t="s">
        <v>621</v>
      </c>
    </row>
    <row r="389" spans="1:10">
      <c r="A389" s="75">
        <f t="shared" si="19"/>
        <v>11</v>
      </c>
      <c r="B389" s="87">
        <v>14</v>
      </c>
      <c r="C389" s="96">
        <v>45607</v>
      </c>
      <c r="D389" s="76">
        <f t="shared" si="22"/>
        <v>11</v>
      </c>
      <c r="E389" s="77" t="s">
        <v>447</v>
      </c>
      <c r="F389" s="95">
        <v>2</v>
      </c>
      <c r="G389" s="78" t="s">
        <v>473</v>
      </c>
      <c r="H389" s="91">
        <f t="shared" si="23"/>
        <v>2024</v>
      </c>
      <c r="I389" s="7" t="s">
        <v>426</v>
      </c>
      <c r="J389" s="76" t="s">
        <v>621</v>
      </c>
    </row>
    <row r="390" spans="1:10">
      <c r="A390" s="75">
        <f t="shared" si="19"/>
        <v>11</v>
      </c>
      <c r="B390" s="87">
        <v>15</v>
      </c>
      <c r="C390" s="96">
        <v>45607</v>
      </c>
      <c r="D390" s="76">
        <f t="shared" si="22"/>
        <v>11</v>
      </c>
      <c r="E390" s="77" t="s">
        <v>447</v>
      </c>
      <c r="F390" s="95">
        <v>2</v>
      </c>
      <c r="G390" s="78" t="s">
        <v>602</v>
      </c>
      <c r="H390" s="91">
        <f t="shared" si="23"/>
        <v>2024</v>
      </c>
      <c r="I390" s="7" t="s">
        <v>426</v>
      </c>
      <c r="J390" s="76" t="s">
        <v>621</v>
      </c>
    </row>
    <row r="391" spans="1:10">
      <c r="A391" s="75">
        <f t="shared" si="19"/>
        <v>11</v>
      </c>
      <c r="B391" s="87">
        <v>16</v>
      </c>
      <c r="C391" s="96">
        <v>45608</v>
      </c>
      <c r="D391" s="76">
        <f t="shared" si="22"/>
        <v>11</v>
      </c>
      <c r="E391" s="77" t="s">
        <v>447</v>
      </c>
      <c r="F391" s="95">
        <v>2</v>
      </c>
      <c r="G391" s="78" t="s">
        <v>559</v>
      </c>
      <c r="H391" s="91">
        <f t="shared" si="23"/>
        <v>2024</v>
      </c>
      <c r="I391" s="7" t="s">
        <v>426</v>
      </c>
      <c r="J391" s="76" t="s">
        <v>621</v>
      </c>
    </row>
    <row r="392" spans="1:10">
      <c r="A392" s="75">
        <f t="shared" si="19"/>
        <v>11</v>
      </c>
      <c r="B392" s="87">
        <v>17</v>
      </c>
      <c r="C392" s="96">
        <v>45608</v>
      </c>
      <c r="D392" s="76">
        <f t="shared" si="22"/>
        <v>11</v>
      </c>
      <c r="E392" s="77" t="s">
        <v>447</v>
      </c>
      <c r="F392" s="95">
        <v>2</v>
      </c>
      <c r="G392" s="78" t="s">
        <v>628</v>
      </c>
      <c r="H392" s="91">
        <f t="shared" si="23"/>
        <v>2024</v>
      </c>
      <c r="I392" s="7" t="s">
        <v>426</v>
      </c>
      <c r="J392" s="76" t="s">
        <v>621</v>
      </c>
    </row>
    <row r="393" spans="1:10">
      <c r="A393" s="75">
        <f t="shared" si="19"/>
        <v>11</v>
      </c>
      <c r="B393" s="87">
        <v>18</v>
      </c>
      <c r="C393" s="96">
        <v>45609</v>
      </c>
      <c r="D393" s="76">
        <f t="shared" si="22"/>
        <v>11</v>
      </c>
      <c r="E393" s="77" t="s">
        <v>447</v>
      </c>
      <c r="F393" s="95">
        <v>2</v>
      </c>
      <c r="G393" s="78" t="s">
        <v>559</v>
      </c>
      <c r="H393" s="91">
        <f t="shared" si="23"/>
        <v>2024</v>
      </c>
      <c r="I393" s="7" t="s">
        <v>426</v>
      </c>
      <c r="J393" s="76" t="s">
        <v>621</v>
      </c>
    </row>
    <row r="394" spans="1:10">
      <c r="A394" s="75">
        <f t="shared" si="19"/>
        <v>11</v>
      </c>
      <c r="B394" s="87">
        <v>19</v>
      </c>
      <c r="C394" s="96">
        <v>45609</v>
      </c>
      <c r="D394" s="76">
        <f t="shared" si="22"/>
        <v>11</v>
      </c>
      <c r="E394" s="77" t="s">
        <v>449</v>
      </c>
      <c r="F394" s="95">
        <v>2</v>
      </c>
      <c r="G394" s="78" t="s">
        <v>589</v>
      </c>
      <c r="H394" s="91">
        <f t="shared" si="23"/>
        <v>2024</v>
      </c>
      <c r="I394" s="7" t="s">
        <v>426</v>
      </c>
      <c r="J394" s="76" t="s">
        <v>621</v>
      </c>
    </row>
    <row r="395" spans="1:10">
      <c r="A395" s="75">
        <f t="shared" ref="A395:A458" si="24">IF(AND($E$3="ALL",$E$4="ALL"),"ALL",IF(AND($E$3="ALL",$E$4&lt;&gt;"ALL"),IF(D395=$E$4,D395,""),IF(AND($E$3&lt;&gt;"ALL",$E$4="ALL"),IF(I395=$E$3,I395,""),"")))</f>
        <v>11</v>
      </c>
      <c r="B395" s="87">
        <v>20</v>
      </c>
      <c r="C395" s="96">
        <v>45610</v>
      </c>
      <c r="D395" s="76">
        <f t="shared" si="22"/>
        <v>11</v>
      </c>
      <c r="E395" s="77" t="s">
        <v>454</v>
      </c>
      <c r="F395" s="95">
        <v>2</v>
      </c>
      <c r="G395" s="78" t="s">
        <v>507</v>
      </c>
      <c r="H395" s="91">
        <f t="shared" si="23"/>
        <v>2024</v>
      </c>
      <c r="I395" s="7" t="s">
        <v>426</v>
      </c>
      <c r="J395" s="76" t="s">
        <v>621</v>
      </c>
    </row>
    <row r="396" spans="1:10">
      <c r="A396" s="75">
        <f t="shared" si="24"/>
        <v>11</v>
      </c>
      <c r="B396" s="87">
        <v>21</v>
      </c>
      <c r="C396" s="96">
        <v>45610</v>
      </c>
      <c r="D396" s="76">
        <f t="shared" si="22"/>
        <v>11</v>
      </c>
      <c r="E396" s="77" t="s">
        <v>447</v>
      </c>
      <c r="F396" s="95">
        <v>2</v>
      </c>
      <c r="G396" s="78" t="s">
        <v>559</v>
      </c>
      <c r="H396" s="91">
        <f t="shared" si="23"/>
        <v>2024</v>
      </c>
      <c r="I396" s="7" t="s">
        <v>426</v>
      </c>
      <c r="J396" s="76" t="s">
        <v>621</v>
      </c>
    </row>
    <row r="397" spans="1:10">
      <c r="A397" s="75">
        <f t="shared" si="24"/>
        <v>11</v>
      </c>
      <c r="B397" s="87">
        <v>22</v>
      </c>
      <c r="C397" s="96">
        <v>45611</v>
      </c>
      <c r="D397" s="76">
        <f t="shared" si="22"/>
        <v>11</v>
      </c>
      <c r="E397" s="77" t="s">
        <v>454</v>
      </c>
      <c r="F397" s="95">
        <v>2</v>
      </c>
      <c r="G397" s="78" t="s">
        <v>475</v>
      </c>
      <c r="H397" s="91">
        <f t="shared" si="23"/>
        <v>2024</v>
      </c>
      <c r="I397" s="7" t="s">
        <v>426</v>
      </c>
      <c r="J397" s="76" t="s">
        <v>621</v>
      </c>
    </row>
    <row r="398" spans="1:10">
      <c r="A398" s="75">
        <f t="shared" si="24"/>
        <v>11</v>
      </c>
      <c r="B398" s="87">
        <v>23</v>
      </c>
      <c r="C398" s="96">
        <v>45611</v>
      </c>
      <c r="D398" s="76">
        <f t="shared" si="22"/>
        <v>11</v>
      </c>
      <c r="E398" s="77" t="s">
        <v>454</v>
      </c>
      <c r="F398" s="95">
        <v>2</v>
      </c>
      <c r="G398" s="78" t="s">
        <v>575</v>
      </c>
      <c r="H398" s="91">
        <f t="shared" si="23"/>
        <v>2024</v>
      </c>
      <c r="I398" s="7" t="s">
        <v>426</v>
      </c>
      <c r="J398" s="76" t="s">
        <v>621</v>
      </c>
    </row>
    <row r="399" spans="1:10">
      <c r="A399" s="75">
        <f t="shared" si="24"/>
        <v>11</v>
      </c>
      <c r="B399" s="87">
        <v>24</v>
      </c>
      <c r="C399" s="96">
        <v>45612</v>
      </c>
      <c r="D399" s="76">
        <f t="shared" si="22"/>
        <v>11</v>
      </c>
      <c r="E399" s="77" t="s">
        <v>449</v>
      </c>
      <c r="F399" s="95">
        <v>2</v>
      </c>
      <c r="G399" s="78" t="s">
        <v>549</v>
      </c>
      <c r="H399" s="91">
        <f t="shared" si="23"/>
        <v>2024</v>
      </c>
      <c r="I399" s="7" t="s">
        <v>426</v>
      </c>
      <c r="J399" s="76" t="s">
        <v>621</v>
      </c>
    </row>
    <row r="400" spans="1:10">
      <c r="A400" s="75">
        <f t="shared" si="24"/>
        <v>11</v>
      </c>
      <c r="B400" s="87">
        <v>25</v>
      </c>
      <c r="C400" s="96">
        <v>45612</v>
      </c>
      <c r="D400" s="76">
        <f t="shared" si="22"/>
        <v>11</v>
      </c>
      <c r="E400" s="77" t="s">
        <v>449</v>
      </c>
      <c r="F400" s="95">
        <v>2</v>
      </c>
      <c r="G400" s="78" t="s">
        <v>470</v>
      </c>
      <c r="H400" s="91">
        <f t="shared" si="23"/>
        <v>2024</v>
      </c>
      <c r="I400" s="7" t="s">
        <v>426</v>
      </c>
      <c r="J400" s="76" t="s">
        <v>621</v>
      </c>
    </row>
    <row r="401" spans="1:10">
      <c r="A401" s="75">
        <f t="shared" si="24"/>
        <v>11</v>
      </c>
      <c r="B401" s="87">
        <v>26</v>
      </c>
      <c r="C401" s="96">
        <v>45614</v>
      </c>
      <c r="D401" s="76">
        <f t="shared" si="22"/>
        <v>11</v>
      </c>
      <c r="E401" s="77" t="s">
        <v>449</v>
      </c>
      <c r="F401" s="95">
        <v>2</v>
      </c>
      <c r="G401" s="78" t="s">
        <v>482</v>
      </c>
      <c r="H401" s="91">
        <f t="shared" si="23"/>
        <v>2024</v>
      </c>
      <c r="I401" s="7" t="s">
        <v>426</v>
      </c>
      <c r="J401" s="76" t="s">
        <v>621</v>
      </c>
    </row>
    <row r="402" spans="1:10">
      <c r="A402" s="75">
        <f t="shared" si="24"/>
        <v>11</v>
      </c>
      <c r="B402" s="87">
        <v>27</v>
      </c>
      <c r="C402" s="96">
        <v>45614</v>
      </c>
      <c r="D402" s="76">
        <f t="shared" si="22"/>
        <v>11</v>
      </c>
      <c r="E402" s="77" t="s">
        <v>454</v>
      </c>
      <c r="F402" s="95">
        <v>2</v>
      </c>
      <c r="G402" s="78" t="s">
        <v>512</v>
      </c>
      <c r="H402" s="91">
        <f t="shared" si="23"/>
        <v>2024</v>
      </c>
      <c r="I402" s="7" t="s">
        <v>426</v>
      </c>
      <c r="J402" s="76" t="s">
        <v>621</v>
      </c>
    </row>
    <row r="403" spans="1:10">
      <c r="A403" s="75">
        <f t="shared" si="24"/>
        <v>11</v>
      </c>
      <c r="B403" s="87">
        <v>28</v>
      </c>
      <c r="C403" s="96">
        <v>45614</v>
      </c>
      <c r="D403" s="76">
        <f t="shared" si="22"/>
        <v>11</v>
      </c>
      <c r="E403" s="77" t="s">
        <v>428</v>
      </c>
      <c r="F403" s="95">
        <v>4</v>
      </c>
      <c r="G403" s="78" t="s">
        <v>629</v>
      </c>
      <c r="H403" s="91">
        <f t="shared" si="23"/>
        <v>2024</v>
      </c>
      <c r="I403" s="7" t="s">
        <v>426</v>
      </c>
      <c r="J403" s="76" t="s">
        <v>621</v>
      </c>
    </row>
    <row r="404" spans="1:10">
      <c r="A404" s="75">
        <f t="shared" si="24"/>
        <v>11</v>
      </c>
      <c r="B404" s="87">
        <v>29</v>
      </c>
      <c r="C404" s="96">
        <v>45615</v>
      </c>
      <c r="D404" s="76">
        <f t="shared" si="22"/>
        <v>11</v>
      </c>
      <c r="E404" s="77" t="s">
        <v>447</v>
      </c>
      <c r="F404" s="95">
        <v>2</v>
      </c>
      <c r="G404" s="78" t="s">
        <v>442</v>
      </c>
      <c r="H404" s="91">
        <f t="shared" si="23"/>
        <v>2024</v>
      </c>
      <c r="I404" s="7" t="s">
        <v>426</v>
      </c>
      <c r="J404" s="76" t="s">
        <v>621</v>
      </c>
    </row>
    <row r="405" spans="1:10">
      <c r="A405" s="75">
        <f t="shared" si="24"/>
        <v>11</v>
      </c>
      <c r="B405" s="87">
        <v>30</v>
      </c>
      <c r="C405" s="96">
        <v>45615</v>
      </c>
      <c r="D405" s="76">
        <f t="shared" si="22"/>
        <v>11</v>
      </c>
      <c r="E405" s="77" t="s">
        <v>447</v>
      </c>
      <c r="F405" s="95">
        <v>2</v>
      </c>
      <c r="G405" s="78" t="s">
        <v>628</v>
      </c>
      <c r="H405" s="91">
        <f t="shared" si="23"/>
        <v>2024</v>
      </c>
      <c r="I405" s="7" t="s">
        <v>426</v>
      </c>
      <c r="J405" s="76" t="s">
        <v>621</v>
      </c>
    </row>
    <row r="406" spans="1:10">
      <c r="A406" s="75">
        <f t="shared" si="24"/>
        <v>11</v>
      </c>
      <c r="B406" s="87">
        <v>31</v>
      </c>
      <c r="C406" s="96">
        <v>45616</v>
      </c>
      <c r="D406" s="76">
        <f t="shared" si="22"/>
        <v>11</v>
      </c>
      <c r="E406" s="77" t="s">
        <v>453</v>
      </c>
      <c r="F406" s="95">
        <v>4</v>
      </c>
      <c r="G406" s="78" t="s">
        <v>630</v>
      </c>
      <c r="H406" s="91">
        <f t="shared" si="23"/>
        <v>2024</v>
      </c>
      <c r="I406" s="7" t="s">
        <v>426</v>
      </c>
      <c r="J406" s="76" t="s">
        <v>621</v>
      </c>
    </row>
    <row r="407" spans="1:10">
      <c r="A407" s="75">
        <f t="shared" si="24"/>
        <v>11</v>
      </c>
      <c r="B407" s="87">
        <v>32</v>
      </c>
      <c r="C407" s="96">
        <v>45617</v>
      </c>
      <c r="D407" s="76">
        <f t="shared" si="22"/>
        <v>11</v>
      </c>
      <c r="E407" s="77" t="s">
        <v>438</v>
      </c>
      <c r="F407" s="95">
        <v>4</v>
      </c>
      <c r="G407" s="78" t="s">
        <v>425</v>
      </c>
      <c r="H407" s="91">
        <f t="shared" si="23"/>
        <v>2024</v>
      </c>
      <c r="I407" s="7" t="s">
        <v>426</v>
      </c>
      <c r="J407" s="76" t="s">
        <v>621</v>
      </c>
    </row>
    <row r="408" spans="1:10">
      <c r="A408" s="75">
        <f t="shared" si="24"/>
        <v>11</v>
      </c>
      <c r="B408" s="87">
        <v>33</v>
      </c>
      <c r="C408" s="96">
        <v>45618</v>
      </c>
      <c r="D408" s="76">
        <f t="shared" si="22"/>
        <v>11</v>
      </c>
      <c r="E408" s="77" t="s">
        <v>492</v>
      </c>
      <c r="F408" s="95">
        <v>4</v>
      </c>
      <c r="G408" s="78" t="s">
        <v>473</v>
      </c>
      <c r="H408" s="91">
        <f t="shared" si="23"/>
        <v>2024</v>
      </c>
      <c r="I408" s="7" t="s">
        <v>426</v>
      </c>
      <c r="J408" s="76" t="s">
        <v>621</v>
      </c>
    </row>
    <row r="409" spans="1:10">
      <c r="A409" s="75">
        <f t="shared" si="24"/>
        <v>11</v>
      </c>
      <c r="B409" s="87">
        <v>34</v>
      </c>
      <c r="C409" s="96">
        <v>45619</v>
      </c>
      <c r="D409" s="76">
        <f t="shared" si="22"/>
        <v>11</v>
      </c>
      <c r="E409" s="77" t="s">
        <v>428</v>
      </c>
      <c r="F409" s="95">
        <v>4</v>
      </c>
      <c r="G409" s="78" t="s">
        <v>430</v>
      </c>
      <c r="H409" s="91">
        <f t="shared" si="23"/>
        <v>2024</v>
      </c>
      <c r="I409" s="7" t="s">
        <v>426</v>
      </c>
      <c r="J409" s="76" t="s">
        <v>621</v>
      </c>
    </row>
    <row r="410" spans="1:10">
      <c r="A410" s="75">
        <f t="shared" si="24"/>
        <v>11</v>
      </c>
      <c r="B410" s="87">
        <v>35</v>
      </c>
      <c r="C410" s="96">
        <v>45621</v>
      </c>
      <c r="D410" s="76">
        <f t="shared" si="22"/>
        <v>11</v>
      </c>
      <c r="E410" s="77" t="s">
        <v>438</v>
      </c>
      <c r="F410" s="95">
        <v>4</v>
      </c>
      <c r="G410" s="78" t="s">
        <v>563</v>
      </c>
      <c r="H410" s="91">
        <f t="shared" si="23"/>
        <v>2024</v>
      </c>
      <c r="I410" s="7" t="s">
        <v>426</v>
      </c>
      <c r="J410" s="76" t="s">
        <v>621</v>
      </c>
    </row>
    <row r="411" spans="1:10">
      <c r="A411" s="75">
        <f t="shared" si="24"/>
        <v>11</v>
      </c>
      <c r="B411" s="87">
        <v>36</v>
      </c>
      <c r="C411" s="96">
        <v>45622</v>
      </c>
      <c r="D411" s="76">
        <f t="shared" si="22"/>
        <v>11</v>
      </c>
      <c r="E411" s="77" t="s">
        <v>453</v>
      </c>
      <c r="F411" s="95">
        <v>4</v>
      </c>
      <c r="G411" s="78" t="s">
        <v>631</v>
      </c>
      <c r="H411" s="91">
        <f t="shared" si="23"/>
        <v>2024</v>
      </c>
      <c r="I411" s="7" t="s">
        <v>426</v>
      </c>
      <c r="J411" s="76" t="s">
        <v>621</v>
      </c>
    </row>
    <row r="412" spans="1:10">
      <c r="A412" s="75">
        <f t="shared" si="24"/>
        <v>11</v>
      </c>
      <c r="B412" s="87">
        <v>37</v>
      </c>
      <c r="C412" s="96">
        <v>45624</v>
      </c>
      <c r="D412" s="76">
        <f t="shared" si="22"/>
        <v>11</v>
      </c>
      <c r="E412" s="77" t="s">
        <v>431</v>
      </c>
      <c r="F412" s="95">
        <v>4</v>
      </c>
      <c r="G412" s="78" t="s">
        <v>632</v>
      </c>
      <c r="H412" s="91">
        <f t="shared" si="23"/>
        <v>2024</v>
      </c>
      <c r="I412" s="7" t="s">
        <v>426</v>
      </c>
      <c r="J412" s="76" t="s">
        <v>621</v>
      </c>
    </row>
    <row r="413" spans="1:10">
      <c r="A413" s="75">
        <f t="shared" si="24"/>
        <v>11</v>
      </c>
      <c r="B413" s="87">
        <v>38</v>
      </c>
      <c r="C413" s="96">
        <v>45624</v>
      </c>
      <c r="D413" s="76">
        <f t="shared" si="22"/>
        <v>11</v>
      </c>
      <c r="E413" s="77" t="s">
        <v>428</v>
      </c>
      <c r="F413" s="95">
        <v>4</v>
      </c>
      <c r="G413" s="78" t="s">
        <v>590</v>
      </c>
      <c r="H413" s="91">
        <f t="shared" si="23"/>
        <v>2024</v>
      </c>
      <c r="I413" s="7" t="s">
        <v>426</v>
      </c>
      <c r="J413" s="76" t="s">
        <v>621</v>
      </c>
    </row>
    <row r="414" spans="1:10">
      <c r="A414" s="75">
        <f t="shared" si="24"/>
        <v>11</v>
      </c>
      <c r="B414" s="87">
        <v>39</v>
      </c>
      <c r="C414" s="96">
        <v>45626</v>
      </c>
      <c r="D414" s="76">
        <f t="shared" si="22"/>
        <v>11</v>
      </c>
      <c r="E414" s="77" t="s">
        <v>431</v>
      </c>
      <c r="F414" s="95">
        <v>4</v>
      </c>
      <c r="G414" s="78" t="s">
        <v>446</v>
      </c>
      <c r="H414" s="91">
        <f t="shared" si="23"/>
        <v>2024</v>
      </c>
      <c r="I414" s="7" t="s">
        <v>426</v>
      </c>
      <c r="J414" s="76" t="s">
        <v>621</v>
      </c>
    </row>
    <row r="415" spans="1:10">
      <c r="A415" s="75">
        <f t="shared" si="24"/>
        <v>11</v>
      </c>
      <c r="B415" s="87">
        <v>40</v>
      </c>
      <c r="C415" s="96">
        <v>45626</v>
      </c>
      <c r="D415" s="76">
        <f t="shared" si="22"/>
        <v>11</v>
      </c>
      <c r="E415" s="77" t="s">
        <v>438</v>
      </c>
      <c r="F415" s="95">
        <v>4</v>
      </c>
      <c r="G415" s="78" t="s">
        <v>633</v>
      </c>
      <c r="H415" s="91">
        <f t="shared" si="23"/>
        <v>2024</v>
      </c>
      <c r="I415" s="7" t="s">
        <v>426</v>
      </c>
      <c r="J415" s="76" t="s">
        <v>621</v>
      </c>
    </row>
    <row r="416" spans="1:10">
      <c r="A416" s="75" t="str">
        <f t="shared" si="24"/>
        <v/>
      </c>
    </row>
    <row r="417" spans="1:10">
      <c r="A417" s="75" t="str">
        <f t="shared" si="24"/>
        <v/>
      </c>
      <c r="B417" s="87">
        <v>1</v>
      </c>
      <c r="C417" s="96">
        <v>45566</v>
      </c>
      <c r="D417" s="76">
        <f t="shared" ref="D417:D459" si="25">MONTH(C417)</f>
        <v>10</v>
      </c>
      <c r="E417" s="77" t="s">
        <v>435</v>
      </c>
      <c r="F417" s="95">
        <v>4</v>
      </c>
      <c r="G417" s="78" t="s">
        <v>559</v>
      </c>
      <c r="H417" s="91">
        <f t="shared" ref="H417:H459" si="26">YEAR(C417)</f>
        <v>2024</v>
      </c>
      <c r="I417" s="7" t="s">
        <v>426</v>
      </c>
      <c r="J417" s="76" t="s">
        <v>634</v>
      </c>
    </row>
    <row r="418" spans="1:10">
      <c r="A418" s="75" t="str">
        <f t="shared" si="24"/>
        <v/>
      </c>
      <c r="B418" s="87">
        <v>2</v>
      </c>
      <c r="C418" s="96">
        <v>45566</v>
      </c>
      <c r="D418" s="76">
        <f t="shared" si="25"/>
        <v>10</v>
      </c>
      <c r="E418" s="77" t="s">
        <v>438</v>
      </c>
      <c r="F418" s="95">
        <v>4</v>
      </c>
      <c r="G418" s="78" t="s">
        <v>635</v>
      </c>
      <c r="H418" s="91">
        <f t="shared" si="26"/>
        <v>2024</v>
      </c>
      <c r="I418" s="7" t="s">
        <v>426</v>
      </c>
      <c r="J418" s="76" t="s">
        <v>634</v>
      </c>
    </row>
    <row r="419" spans="1:10">
      <c r="A419" s="75" t="str">
        <f t="shared" si="24"/>
        <v/>
      </c>
      <c r="B419" s="87">
        <v>3</v>
      </c>
      <c r="C419" s="96">
        <v>45567</v>
      </c>
      <c r="D419" s="76">
        <f t="shared" si="25"/>
        <v>10</v>
      </c>
      <c r="E419" s="77" t="s">
        <v>431</v>
      </c>
      <c r="F419" s="95">
        <v>4</v>
      </c>
      <c r="G419" s="78" t="s">
        <v>636</v>
      </c>
      <c r="H419" s="91">
        <f t="shared" si="26"/>
        <v>2024</v>
      </c>
      <c r="I419" s="7" t="s">
        <v>623</v>
      </c>
      <c r="J419" s="76" t="s">
        <v>634</v>
      </c>
    </row>
    <row r="420" spans="1:10">
      <c r="A420" s="75" t="str">
        <f t="shared" si="24"/>
        <v/>
      </c>
      <c r="B420" s="87">
        <v>4</v>
      </c>
      <c r="C420" s="96">
        <v>45567</v>
      </c>
      <c r="D420" s="76">
        <f t="shared" si="25"/>
        <v>10</v>
      </c>
      <c r="E420" s="77" t="s">
        <v>428</v>
      </c>
      <c r="F420" s="95">
        <v>4</v>
      </c>
      <c r="G420" s="78" t="s">
        <v>569</v>
      </c>
      <c r="H420" s="91">
        <f t="shared" si="26"/>
        <v>2024</v>
      </c>
      <c r="I420" s="7" t="s">
        <v>623</v>
      </c>
      <c r="J420" s="76" t="s">
        <v>634</v>
      </c>
    </row>
    <row r="421" spans="1:10">
      <c r="A421" s="75" t="str">
        <f t="shared" si="24"/>
        <v/>
      </c>
      <c r="B421" s="87">
        <v>5</v>
      </c>
      <c r="C421" s="96">
        <v>45567</v>
      </c>
      <c r="D421" s="76">
        <f t="shared" si="25"/>
        <v>10</v>
      </c>
      <c r="E421" s="77" t="s">
        <v>447</v>
      </c>
      <c r="F421" s="95">
        <v>2</v>
      </c>
      <c r="G421" s="78" t="s">
        <v>491</v>
      </c>
      <c r="H421" s="91">
        <f t="shared" si="26"/>
        <v>2024</v>
      </c>
      <c r="I421" s="7" t="s">
        <v>426</v>
      </c>
      <c r="J421" s="76" t="s">
        <v>634</v>
      </c>
    </row>
    <row r="422" spans="1:10">
      <c r="A422" s="75" t="str">
        <f t="shared" si="24"/>
        <v/>
      </c>
      <c r="B422" s="87">
        <v>6</v>
      </c>
      <c r="C422" s="96">
        <v>45567</v>
      </c>
      <c r="D422" s="76">
        <f t="shared" si="25"/>
        <v>10</v>
      </c>
      <c r="E422" s="77" t="s">
        <v>447</v>
      </c>
      <c r="F422" s="95">
        <v>2</v>
      </c>
      <c r="G422" s="78" t="s">
        <v>588</v>
      </c>
      <c r="H422" s="91">
        <f t="shared" si="26"/>
        <v>2024</v>
      </c>
      <c r="I422" s="7" t="s">
        <v>426</v>
      </c>
      <c r="J422" s="76" t="s">
        <v>634</v>
      </c>
    </row>
    <row r="423" spans="1:10">
      <c r="A423" s="75" t="str">
        <f t="shared" si="24"/>
        <v/>
      </c>
      <c r="B423" s="87">
        <v>7</v>
      </c>
      <c r="C423" s="96">
        <v>45568</v>
      </c>
      <c r="D423" s="76">
        <f t="shared" si="25"/>
        <v>10</v>
      </c>
      <c r="E423" s="77" t="s">
        <v>449</v>
      </c>
      <c r="F423" s="95">
        <v>2</v>
      </c>
      <c r="G423" s="78" t="s">
        <v>622</v>
      </c>
      <c r="H423" s="91">
        <f t="shared" si="26"/>
        <v>2024</v>
      </c>
      <c r="I423" s="7" t="s">
        <v>426</v>
      </c>
      <c r="J423" s="76" t="s">
        <v>634</v>
      </c>
    </row>
    <row r="424" spans="1:10">
      <c r="A424" s="75" t="str">
        <f t="shared" si="24"/>
        <v/>
      </c>
      <c r="B424" s="87">
        <v>8</v>
      </c>
      <c r="C424" s="96">
        <v>45568</v>
      </c>
      <c r="D424" s="76">
        <f t="shared" si="25"/>
        <v>10</v>
      </c>
      <c r="E424" s="77" t="s">
        <v>449</v>
      </c>
      <c r="F424" s="95">
        <v>2</v>
      </c>
      <c r="G424" s="78" t="s">
        <v>482</v>
      </c>
      <c r="H424" s="91">
        <f t="shared" si="26"/>
        <v>2024</v>
      </c>
      <c r="I424" s="7" t="s">
        <v>426</v>
      </c>
      <c r="J424" s="76" t="s">
        <v>634</v>
      </c>
    </row>
    <row r="425" spans="1:10">
      <c r="A425" s="75" t="str">
        <f t="shared" si="24"/>
        <v/>
      </c>
      <c r="B425" s="87">
        <v>9</v>
      </c>
      <c r="C425" s="96">
        <v>45569</v>
      </c>
      <c r="D425" s="76">
        <f t="shared" si="25"/>
        <v>10</v>
      </c>
      <c r="E425" s="77" t="s">
        <v>453</v>
      </c>
      <c r="F425" s="95">
        <v>4</v>
      </c>
      <c r="G425" s="78" t="s">
        <v>637</v>
      </c>
      <c r="H425" s="91">
        <f t="shared" si="26"/>
        <v>2024</v>
      </c>
      <c r="I425" s="7" t="s">
        <v>426</v>
      </c>
      <c r="J425" s="76" t="s">
        <v>634</v>
      </c>
    </row>
    <row r="426" spans="1:10">
      <c r="A426" s="75" t="str">
        <f t="shared" si="24"/>
        <v/>
      </c>
      <c r="B426" s="87">
        <v>10</v>
      </c>
      <c r="C426" s="96">
        <v>45570</v>
      </c>
      <c r="D426" s="76">
        <f t="shared" si="25"/>
        <v>10</v>
      </c>
      <c r="E426" s="77" t="s">
        <v>447</v>
      </c>
      <c r="F426" s="95">
        <v>2</v>
      </c>
      <c r="G426" s="78" t="s">
        <v>506</v>
      </c>
      <c r="H426" s="91">
        <f t="shared" si="26"/>
        <v>2024</v>
      </c>
      <c r="I426" s="7" t="s">
        <v>426</v>
      </c>
      <c r="J426" s="76" t="s">
        <v>634</v>
      </c>
    </row>
    <row r="427" spans="1:10">
      <c r="A427" s="75" t="str">
        <f t="shared" si="24"/>
        <v/>
      </c>
      <c r="B427" s="87">
        <v>11</v>
      </c>
      <c r="C427" s="96">
        <v>45570</v>
      </c>
      <c r="D427" s="76">
        <f t="shared" si="25"/>
        <v>10</v>
      </c>
      <c r="E427" s="77" t="s">
        <v>447</v>
      </c>
      <c r="F427" s="95">
        <v>2</v>
      </c>
      <c r="G427" s="78" t="s">
        <v>441</v>
      </c>
      <c r="H427" s="91">
        <f t="shared" si="26"/>
        <v>2024</v>
      </c>
      <c r="I427" s="7" t="s">
        <v>426</v>
      </c>
      <c r="J427" s="76" t="s">
        <v>634</v>
      </c>
    </row>
    <row r="428" spans="1:10">
      <c r="A428" s="75" t="str">
        <f t="shared" si="24"/>
        <v/>
      </c>
      <c r="B428" s="87">
        <v>12</v>
      </c>
      <c r="C428" s="96">
        <v>45572</v>
      </c>
      <c r="D428" s="76">
        <f t="shared" si="25"/>
        <v>10</v>
      </c>
      <c r="E428" s="77" t="s">
        <v>447</v>
      </c>
      <c r="F428" s="95">
        <v>2</v>
      </c>
      <c r="G428" s="78" t="s">
        <v>569</v>
      </c>
      <c r="H428" s="91">
        <f t="shared" si="26"/>
        <v>2024</v>
      </c>
      <c r="I428" s="7" t="s">
        <v>426</v>
      </c>
      <c r="J428" s="76" t="s">
        <v>634</v>
      </c>
    </row>
    <row r="429" spans="1:10">
      <c r="A429" s="75" t="str">
        <f t="shared" si="24"/>
        <v/>
      </c>
      <c r="B429" s="87">
        <v>13</v>
      </c>
      <c r="C429" s="96">
        <v>45572</v>
      </c>
      <c r="D429" s="76">
        <f t="shared" si="25"/>
        <v>10</v>
      </c>
      <c r="E429" s="77" t="s">
        <v>449</v>
      </c>
      <c r="F429" s="95">
        <v>2</v>
      </c>
      <c r="G429" s="78" t="s">
        <v>482</v>
      </c>
      <c r="H429" s="91">
        <f t="shared" si="26"/>
        <v>2024</v>
      </c>
      <c r="I429" s="7" t="s">
        <v>426</v>
      </c>
      <c r="J429" s="76" t="s">
        <v>634</v>
      </c>
    </row>
    <row r="430" spans="1:10">
      <c r="A430" s="75" t="str">
        <f t="shared" si="24"/>
        <v/>
      </c>
      <c r="B430" s="87">
        <v>14</v>
      </c>
      <c r="C430" s="96">
        <v>45573</v>
      </c>
      <c r="D430" s="76">
        <f t="shared" si="25"/>
        <v>10</v>
      </c>
      <c r="E430" s="77" t="s">
        <v>447</v>
      </c>
      <c r="F430" s="95">
        <v>2</v>
      </c>
      <c r="G430" s="78" t="s">
        <v>562</v>
      </c>
      <c r="H430" s="91">
        <f t="shared" si="26"/>
        <v>2024</v>
      </c>
      <c r="I430" s="7" t="s">
        <v>426</v>
      </c>
      <c r="J430" s="76" t="s">
        <v>634</v>
      </c>
    </row>
    <row r="431" spans="1:10">
      <c r="A431" s="75" t="str">
        <f t="shared" si="24"/>
        <v/>
      </c>
      <c r="B431" s="87">
        <v>15</v>
      </c>
      <c r="C431" s="96">
        <v>45573</v>
      </c>
      <c r="D431" s="76">
        <f t="shared" si="25"/>
        <v>10</v>
      </c>
      <c r="E431" s="77" t="s">
        <v>449</v>
      </c>
      <c r="F431" s="95">
        <v>2</v>
      </c>
      <c r="G431" s="78" t="s">
        <v>482</v>
      </c>
      <c r="H431" s="91">
        <f t="shared" si="26"/>
        <v>2024</v>
      </c>
      <c r="I431" s="7" t="s">
        <v>426</v>
      </c>
      <c r="J431" s="76" t="s">
        <v>634</v>
      </c>
    </row>
    <row r="432" spans="1:10">
      <c r="A432" s="75" t="str">
        <f t="shared" si="24"/>
        <v/>
      </c>
      <c r="B432" s="87">
        <v>16</v>
      </c>
      <c r="C432" s="96">
        <v>45576</v>
      </c>
      <c r="D432" s="76">
        <f t="shared" si="25"/>
        <v>10</v>
      </c>
      <c r="E432" s="77" t="s">
        <v>431</v>
      </c>
      <c r="F432" s="95">
        <v>4</v>
      </c>
      <c r="G432" s="78" t="s">
        <v>437</v>
      </c>
      <c r="H432" s="91">
        <f t="shared" si="26"/>
        <v>2024</v>
      </c>
      <c r="I432" s="7" t="s">
        <v>426</v>
      </c>
      <c r="J432" s="76" t="s">
        <v>634</v>
      </c>
    </row>
    <row r="433" spans="1:10">
      <c r="A433" s="75" t="str">
        <f t="shared" si="24"/>
        <v/>
      </c>
      <c r="B433" s="87">
        <v>17</v>
      </c>
      <c r="C433" s="96">
        <v>45576</v>
      </c>
      <c r="D433" s="76">
        <f t="shared" si="25"/>
        <v>10</v>
      </c>
      <c r="E433" s="77" t="s">
        <v>453</v>
      </c>
      <c r="F433" s="95">
        <v>4</v>
      </c>
      <c r="G433" s="78" t="s">
        <v>465</v>
      </c>
      <c r="H433" s="91">
        <f t="shared" si="26"/>
        <v>2024</v>
      </c>
      <c r="I433" s="7" t="s">
        <v>426</v>
      </c>
      <c r="J433" s="76" t="s">
        <v>634</v>
      </c>
    </row>
    <row r="434" spans="1:10">
      <c r="A434" s="75" t="str">
        <f t="shared" si="24"/>
        <v/>
      </c>
      <c r="B434" s="87">
        <v>18</v>
      </c>
      <c r="C434" s="96">
        <v>45577</v>
      </c>
      <c r="D434" s="76">
        <f t="shared" si="25"/>
        <v>10</v>
      </c>
      <c r="E434" s="77" t="s">
        <v>435</v>
      </c>
      <c r="F434" s="95">
        <v>4</v>
      </c>
      <c r="G434" s="78" t="s">
        <v>638</v>
      </c>
      <c r="H434" s="91">
        <f t="shared" si="26"/>
        <v>2024</v>
      </c>
      <c r="I434" s="7" t="s">
        <v>426</v>
      </c>
      <c r="J434" s="76" t="s">
        <v>634</v>
      </c>
    </row>
    <row r="435" spans="1:10">
      <c r="A435" s="75" t="str">
        <f t="shared" si="24"/>
        <v/>
      </c>
      <c r="B435" s="87">
        <v>19</v>
      </c>
      <c r="C435" s="96">
        <v>45579</v>
      </c>
      <c r="D435" s="76">
        <f t="shared" si="25"/>
        <v>10</v>
      </c>
      <c r="E435" s="77" t="s">
        <v>454</v>
      </c>
      <c r="F435" s="95">
        <v>2</v>
      </c>
      <c r="G435" s="78" t="s">
        <v>507</v>
      </c>
      <c r="H435" s="91">
        <f t="shared" si="26"/>
        <v>2024</v>
      </c>
      <c r="I435" s="7" t="s">
        <v>426</v>
      </c>
      <c r="J435" s="76" t="s">
        <v>634</v>
      </c>
    </row>
    <row r="436" spans="1:10">
      <c r="A436" s="75" t="str">
        <f t="shared" si="24"/>
        <v/>
      </c>
      <c r="B436" s="87">
        <v>20</v>
      </c>
      <c r="C436" s="96">
        <v>45579</v>
      </c>
      <c r="D436" s="76">
        <f t="shared" si="25"/>
        <v>10</v>
      </c>
      <c r="E436" s="77" t="s">
        <v>454</v>
      </c>
      <c r="F436" s="95">
        <v>2</v>
      </c>
      <c r="G436" s="78" t="s">
        <v>475</v>
      </c>
      <c r="H436" s="91">
        <f t="shared" si="26"/>
        <v>2024</v>
      </c>
      <c r="I436" s="7" t="s">
        <v>426</v>
      </c>
      <c r="J436" s="76" t="s">
        <v>634</v>
      </c>
    </row>
    <row r="437" spans="1:10">
      <c r="A437" s="75" t="str">
        <f t="shared" si="24"/>
        <v/>
      </c>
      <c r="B437" s="87">
        <v>21</v>
      </c>
      <c r="C437" s="96">
        <v>45580</v>
      </c>
      <c r="D437" s="76">
        <f t="shared" si="25"/>
        <v>10</v>
      </c>
      <c r="E437" s="77" t="s">
        <v>447</v>
      </c>
      <c r="F437" s="95">
        <v>2</v>
      </c>
      <c r="G437" s="78" t="s">
        <v>549</v>
      </c>
      <c r="H437" s="91">
        <f t="shared" si="26"/>
        <v>2024</v>
      </c>
      <c r="I437" s="7" t="s">
        <v>426</v>
      </c>
      <c r="J437" s="76" t="s">
        <v>634</v>
      </c>
    </row>
    <row r="438" spans="1:10">
      <c r="A438" s="75" t="str">
        <f t="shared" si="24"/>
        <v/>
      </c>
      <c r="B438" s="87">
        <v>22</v>
      </c>
      <c r="C438" s="96">
        <v>45580</v>
      </c>
      <c r="D438" s="76">
        <f t="shared" si="25"/>
        <v>10</v>
      </c>
      <c r="E438" s="77" t="s">
        <v>447</v>
      </c>
      <c r="F438" s="95">
        <v>2</v>
      </c>
      <c r="G438" s="78" t="s">
        <v>590</v>
      </c>
      <c r="H438" s="91">
        <f t="shared" si="26"/>
        <v>2024</v>
      </c>
      <c r="I438" s="7" t="s">
        <v>426</v>
      </c>
      <c r="J438" s="76" t="s">
        <v>634</v>
      </c>
    </row>
    <row r="439" spans="1:10">
      <c r="A439" s="75" t="str">
        <f t="shared" si="24"/>
        <v/>
      </c>
      <c r="B439" s="87">
        <v>23</v>
      </c>
      <c r="C439" s="96">
        <v>45581</v>
      </c>
      <c r="D439" s="76">
        <f t="shared" si="25"/>
        <v>10</v>
      </c>
      <c r="E439" s="77" t="s">
        <v>449</v>
      </c>
      <c r="F439" s="95">
        <v>2</v>
      </c>
      <c r="G439" s="78" t="s">
        <v>477</v>
      </c>
      <c r="H439" s="91">
        <f t="shared" si="26"/>
        <v>2024</v>
      </c>
      <c r="I439" s="7" t="s">
        <v>426</v>
      </c>
      <c r="J439" s="76" t="s">
        <v>634</v>
      </c>
    </row>
    <row r="440" spans="1:10">
      <c r="A440" s="75" t="str">
        <f t="shared" si="24"/>
        <v/>
      </c>
      <c r="B440" s="87">
        <v>24</v>
      </c>
      <c r="C440" s="96">
        <v>45581</v>
      </c>
      <c r="D440" s="76">
        <f t="shared" si="25"/>
        <v>10</v>
      </c>
      <c r="E440" s="77" t="s">
        <v>447</v>
      </c>
      <c r="F440" s="95">
        <v>2</v>
      </c>
      <c r="G440" s="78" t="s">
        <v>556</v>
      </c>
      <c r="H440" s="91">
        <f t="shared" si="26"/>
        <v>2024</v>
      </c>
      <c r="I440" s="7" t="s">
        <v>426</v>
      </c>
      <c r="J440" s="76" t="s">
        <v>634</v>
      </c>
    </row>
    <row r="441" spans="1:10">
      <c r="A441" s="75" t="str">
        <f t="shared" si="24"/>
        <v/>
      </c>
      <c r="B441" s="87">
        <v>25</v>
      </c>
      <c r="C441" s="96">
        <v>45582</v>
      </c>
      <c r="D441" s="76">
        <f t="shared" si="25"/>
        <v>10</v>
      </c>
      <c r="E441" s="77" t="s">
        <v>447</v>
      </c>
      <c r="F441" s="95">
        <v>2</v>
      </c>
      <c r="G441" s="78" t="s">
        <v>636</v>
      </c>
      <c r="H441" s="91">
        <f t="shared" si="26"/>
        <v>2024</v>
      </c>
      <c r="I441" s="7" t="s">
        <v>426</v>
      </c>
      <c r="J441" s="76" t="s">
        <v>634</v>
      </c>
    </row>
    <row r="442" spans="1:10">
      <c r="A442" s="75" t="str">
        <f t="shared" si="24"/>
        <v/>
      </c>
      <c r="B442" s="87">
        <v>26</v>
      </c>
      <c r="C442" s="96">
        <v>45582</v>
      </c>
      <c r="D442" s="76">
        <f t="shared" si="25"/>
        <v>10</v>
      </c>
      <c r="E442" s="77" t="s">
        <v>447</v>
      </c>
      <c r="F442" s="95">
        <v>2</v>
      </c>
      <c r="G442" s="78" t="s">
        <v>636</v>
      </c>
      <c r="H442" s="91">
        <f t="shared" si="26"/>
        <v>2024</v>
      </c>
      <c r="I442" s="7" t="s">
        <v>426</v>
      </c>
      <c r="J442" s="76" t="s">
        <v>634</v>
      </c>
    </row>
    <row r="443" spans="1:10">
      <c r="A443" s="75" t="str">
        <f t="shared" si="24"/>
        <v/>
      </c>
      <c r="B443" s="87">
        <v>27</v>
      </c>
      <c r="C443" s="96">
        <v>45582</v>
      </c>
      <c r="D443" s="76">
        <f t="shared" si="25"/>
        <v>10</v>
      </c>
      <c r="E443" s="77" t="s">
        <v>438</v>
      </c>
      <c r="F443" s="95">
        <v>4</v>
      </c>
      <c r="G443" s="78" t="s">
        <v>636</v>
      </c>
      <c r="H443" s="91">
        <f t="shared" si="26"/>
        <v>2024</v>
      </c>
      <c r="I443" s="7" t="s">
        <v>623</v>
      </c>
      <c r="J443" s="76" t="s">
        <v>634</v>
      </c>
    </row>
    <row r="444" spans="1:10">
      <c r="A444" s="75" t="str">
        <f t="shared" si="24"/>
        <v/>
      </c>
      <c r="B444" s="87">
        <v>28</v>
      </c>
      <c r="C444" s="96">
        <v>45583</v>
      </c>
      <c r="D444" s="76">
        <f t="shared" si="25"/>
        <v>10</v>
      </c>
      <c r="E444" s="77" t="s">
        <v>447</v>
      </c>
      <c r="F444" s="95">
        <v>2</v>
      </c>
      <c r="G444" s="78" t="s">
        <v>591</v>
      </c>
      <c r="H444" s="91">
        <f t="shared" si="26"/>
        <v>2024</v>
      </c>
      <c r="I444" s="7" t="s">
        <v>426</v>
      </c>
      <c r="J444" s="76" t="s">
        <v>634</v>
      </c>
    </row>
    <row r="445" spans="1:10">
      <c r="A445" s="75" t="str">
        <f t="shared" si="24"/>
        <v/>
      </c>
      <c r="B445" s="87">
        <v>29</v>
      </c>
      <c r="C445" s="96">
        <v>45583</v>
      </c>
      <c r="D445" s="76">
        <f t="shared" si="25"/>
        <v>10</v>
      </c>
      <c r="E445" s="77" t="s">
        <v>447</v>
      </c>
      <c r="F445" s="95">
        <v>2</v>
      </c>
      <c r="G445" s="78" t="s">
        <v>569</v>
      </c>
      <c r="H445" s="91">
        <f t="shared" si="26"/>
        <v>2024</v>
      </c>
      <c r="I445" s="7" t="s">
        <v>426</v>
      </c>
      <c r="J445" s="76" t="s">
        <v>634</v>
      </c>
    </row>
    <row r="446" spans="1:10">
      <c r="A446" s="75" t="str">
        <f t="shared" si="24"/>
        <v/>
      </c>
      <c r="B446" s="87">
        <v>30</v>
      </c>
      <c r="C446" s="96">
        <v>45586</v>
      </c>
      <c r="D446" s="76">
        <f t="shared" si="25"/>
        <v>10</v>
      </c>
      <c r="E446" s="77" t="s">
        <v>428</v>
      </c>
      <c r="F446" s="95">
        <v>4</v>
      </c>
      <c r="G446" s="78" t="s">
        <v>639</v>
      </c>
      <c r="H446" s="91">
        <f t="shared" si="26"/>
        <v>2024</v>
      </c>
      <c r="I446" s="7" t="s">
        <v>426</v>
      </c>
      <c r="J446" s="76" t="s">
        <v>634</v>
      </c>
    </row>
    <row r="447" spans="1:10">
      <c r="A447" s="75" t="str">
        <f t="shared" si="24"/>
        <v/>
      </c>
      <c r="B447" s="87">
        <v>31</v>
      </c>
      <c r="C447" s="96">
        <v>45586</v>
      </c>
      <c r="D447" s="76">
        <f t="shared" si="25"/>
        <v>10</v>
      </c>
      <c r="E447" s="77" t="s">
        <v>454</v>
      </c>
      <c r="F447" s="95">
        <v>2</v>
      </c>
      <c r="G447" s="78" t="s">
        <v>640</v>
      </c>
      <c r="H447" s="91">
        <f t="shared" si="26"/>
        <v>2024</v>
      </c>
      <c r="I447" s="7" t="s">
        <v>426</v>
      </c>
      <c r="J447" s="76" t="s">
        <v>634</v>
      </c>
    </row>
    <row r="448" spans="1:10">
      <c r="A448" s="75" t="str">
        <f t="shared" si="24"/>
        <v/>
      </c>
      <c r="B448" s="87">
        <v>32</v>
      </c>
      <c r="C448" s="96">
        <v>45586</v>
      </c>
      <c r="D448" s="76">
        <f t="shared" si="25"/>
        <v>10</v>
      </c>
      <c r="E448" s="77" t="s">
        <v>447</v>
      </c>
      <c r="F448" s="95">
        <v>2</v>
      </c>
      <c r="G448" s="78" t="s">
        <v>569</v>
      </c>
      <c r="H448" s="91">
        <f t="shared" si="26"/>
        <v>2024</v>
      </c>
      <c r="I448" s="7" t="s">
        <v>426</v>
      </c>
      <c r="J448" s="76" t="s">
        <v>634</v>
      </c>
    </row>
    <row r="449" spans="1:10">
      <c r="A449" s="75" t="str">
        <f t="shared" si="24"/>
        <v/>
      </c>
      <c r="B449" s="87">
        <v>33</v>
      </c>
      <c r="C449" s="96">
        <v>45587</v>
      </c>
      <c r="D449" s="76">
        <f t="shared" si="25"/>
        <v>10</v>
      </c>
      <c r="E449" s="77" t="s">
        <v>447</v>
      </c>
      <c r="F449" s="95">
        <v>2</v>
      </c>
      <c r="G449" s="78" t="s">
        <v>472</v>
      </c>
      <c r="H449" s="91">
        <f t="shared" si="26"/>
        <v>2024</v>
      </c>
      <c r="I449" s="7" t="s">
        <v>426</v>
      </c>
      <c r="J449" s="76" t="s">
        <v>634</v>
      </c>
    </row>
    <row r="450" spans="1:10">
      <c r="A450" s="75" t="str">
        <f t="shared" si="24"/>
        <v/>
      </c>
      <c r="B450" s="87">
        <v>34</v>
      </c>
      <c r="C450" s="96">
        <v>45587</v>
      </c>
      <c r="D450" s="76">
        <f t="shared" si="25"/>
        <v>10</v>
      </c>
      <c r="E450" s="77" t="s">
        <v>447</v>
      </c>
      <c r="F450" s="95">
        <v>2</v>
      </c>
      <c r="G450" s="78" t="s">
        <v>641</v>
      </c>
      <c r="H450" s="91">
        <f t="shared" si="26"/>
        <v>2024</v>
      </c>
      <c r="I450" s="7" t="s">
        <v>426</v>
      </c>
      <c r="J450" s="76" t="s">
        <v>634</v>
      </c>
    </row>
    <row r="451" spans="1:10">
      <c r="A451" s="75" t="str">
        <f t="shared" si="24"/>
        <v/>
      </c>
      <c r="B451" s="87">
        <v>35</v>
      </c>
      <c r="C451" s="96">
        <v>45588</v>
      </c>
      <c r="D451" s="76">
        <f t="shared" si="25"/>
        <v>10</v>
      </c>
      <c r="E451" s="77" t="s">
        <v>433</v>
      </c>
      <c r="F451" s="95">
        <v>4</v>
      </c>
      <c r="G451" s="78" t="s">
        <v>446</v>
      </c>
      <c r="H451" s="91">
        <f t="shared" si="26"/>
        <v>2024</v>
      </c>
      <c r="I451" s="7" t="s">
        <v>426</v>
      </c>
      <c r="J451" s="76" t="s">
        <v>634</v>
      </c>
    </row>
    <row r="452" spans="1:10">
      <c r="A452" s="75" t="str">
        <f t="shared" si="24"/>
        <v/>
      </c>
      <c r="B452" s="87">
        <v>36</v>
      </c>
      <c r="C452" s="96">
        <v>45589</v>
      </c>
      <c r="D452" s="76">
        <f t="shared" si="25"/>
        <v>10</v>
      </c>
      <c r="E452" s="77" t="s">
        <v>431</v>
      </c>
      <c r="F452" s="95">
        <v>4</v>
      </c>
      <c r="G452" s="78" t="s">
        <v>563</v>
      </c>
      <c r="H452" s="91">
        <f t="shared" si="26"/>
        <v>2024</v>
      </c>
      <c r="I452" s="7" t="s">
        <v>426</v>
      </c>
      <c r="J452" s="76" t="s">
        <v>634</v>
      </c>
    </row>
    <row r="453" spans="1:10">
      <c r="A453" s="75" t="str">
        <f t="shared" si="24"/>
        <v/>
      </c>
      <c r="B453" s="87">
        <v>37</v>
      </c>
      <c r="C453" s="96">
        <v>45590</v>
      </c>
      <c r="D453" s="76">
        <f t="shared" si="25"/>
        <v>10</v>
      </c>
      <c r="E453" s="77" t="s">
        <v>431</v>
      </c>
      <c r="F453" s="95">
        <v>4</v>
      </c>
      <c r="G453" s="78" t="s">
        <v>473</v>
      </c>
      <c r="H453" s="91">
        <f t="shared" si="26"/>
        <v>2024</v>
      </c>
      <c r="I453" s="7" t="s">
        <v>625</v>
      </c>
      <c r="J453" s="76" t="s">
        <v>634</v>
      </c>
    </row>
    <row r="454" spans="1:10">
      <c r="A454" s="75" t="str">
        <f t="shared" si="24"/>
        <v/>
      </c>
      <c r="B454" s="87">
        <v>38</v>
      </c>
      <c r="C454" s="96">
        <v>45590</v>
      </c>
      <c r="D454" s="76">
        <f t="shared" si="25"/>
        <v>10</v>
      </c>
      <c r="E454" s="77" t="s">
        <v>438</v>
      </c>
      <c r="F454" s="95">
        <v>4</v>
      </c>
      <c r="G454" s="78" t="s">
        <v>636</v>
      </c>
      <c r="H454" s="91">
        <f t="shared" si="26"/>
        <v>2024</v>
      </c>
      <c r="I454" s="7" t="s">
        <v>623</v>
      </c>
      <c r="J454" s="76" t="s">
        <v>634</v>
      </c>
    </row>
    <row r="455" spans="1:10">
      <c r="A455" s="75" t="str">
        <f t="shared" si="24"/>
        <v/>
      </c>
      <c r="B455" s="87">
        <v>39</v>
      </c>
      <c r="C455" s="96">
        <v>45591</v>
      </c>
      <c r="D455" s="76">
        <f t="shared" si="25"/>
        <v>10</v>
      </c>
      <c r="E455" s="77" t="s">
        <v>435</v>
      </c>
      <c r="F455" s="95">
        <v>4</v>
      </c>
      <c r="G455" s="78" t="s">
        <v>475</v>
      </c>
      <c r="H455" s="91">
        <f t="shared" si="26"/>
        <v>2024</v>
      </c>
      <c r="I455" s="7" t="s">
        <v>426</v>
      </c>
      <c r="J455" s="76" t="s">
        <v>634</v>
      </c>
    </row>
    <row r="456" spans="1:10">
      <c r="A456" s="75" t="str">
        <f t="shared" si="24"/>
        <v/>
      </c>
      <c r="B456" s="87">
        <v>40</v>
      </c>
      <c r="C456" s="96">
        <v>45591</v>
      </c>
      <c r="D456" s="76">
        <f t="shared" si="25"/>
        <v>10</v>
      </c>
      <c r="E456" s="77" t="s">
        <v>438</v>
      </c>
      <c r="F456" s="95">
        <v>4</v>
      </c>
      <c r="G456" s="78" t="s">
        <v>491</v>
      </c>
      <c r="H456" s="91">
        <f t="shared" si="26"/>
        <v>2024</v>
      </c>
      <c r="I456" s="7" t="s">
        <v>426</v>
      </c>
      <c r="J456" s="76" t="s">
        <v>634</v>
      </c>
    </row>
    <row r="457" spans="1:10">
      <c r="A457" s="75" t="str">
        <f t="shared" si="24"/>
        <v/>
      </c>
      <c r="B457" s="87">
        <v>41</v>
      </c>
      <c r="C457" s="96">
        <v>45593</v>
      </c>
      <c r="D457" s="76">
        <f t="shared" si="25"/>
        <v>10</v>
      </c>
      <c r="E457" s="77" t="s">
        <v>453</v>
      </c>
      <c r="F457" s="95">
        <v>4</v>
      </c>
      <c r="G457" s="78" t="s">
        <v>443</v>
      </c>
      <c r="H457" s="91">
        <f t="shared" si="26"/>
        <v>2024</v>
      </c>
      <c r="I457" s="7" t="s">
        <v>426</v>
      </c>
      <c r="J457" s="76" t="s">
        <v>634</v>
      </c>
    </row>
    <row r="458" spans="1:10">
      <c r="A458" s="75" t="str">
        <f t="shared" si="24"/>
        <v/>
      </c>
      <c r="B458" s="87">
        <v>42</v>
      </c>
      <c r="C458" s="96">
        <v>45594</v>
      </c>
      <c r="D458" s="76">
        <f t="shared" si="25"/>
        <v>10</v>
      </c>
      <c r="E458" s="77" t="s">
        <v>600</v>
      </c>
      <c r="F458" s="95">
        <v>4</v>
      </c>
      <c r="G458" s="78" t="s">
        <v>642</v>
      </c>
      <c r="H458" s="91">
        <f t="shared" si="26"/>
        <v>2024</v>
      </c>
      <c r="I458" s="7" t="s">
        <v>426</v>
      </c>
      <c r="J458" s="76" t="s">
        <v>634</v>
      </c>
    </row>
    <row r="459" spans="1:10">
      <c r="A459" s="75" t="str">
        <f t="shared" ref="A459:A522" si="27">IF(AND($E$3="ALL",$E$4="ALL"),"ALL",IF(AND($E$3="ALL",$E$4&lt;&gt;"ALL"),IF(D459=$E$4,D459,""),IF(AND($E$3&lt;&gt;"ALL",$E$4="ALL"),IF(I459=$E$3,I459,""),"")))</f>
        <v/>
      </c>
      <c r="B459" s="87">
        <v>43</v>
      </c>
      <c r="C459" s="96">
        <v>45595</v>
      </c>
      <c r="D459" s="76">
        <f t="shared" si="25"/>
        <v>10</v>
      </c>
      <c r="E459" s="77" t="s">
        <v>424</v>
      </c>
      <c r="F459" s="95">
        <v>4</v>
      </c>
      <c r="G459" s="78" t="s">
        <v>491</v>
      </c>
      <c r="H459" s="91">
        <f t="shared" si="26"/>
        <v>2024</v>
      </c>
      <c r="I459" s="7" t="s">
        <v>426</v>
      </c>
      <c r="J459" s="76" t="s">
        <v>634</v>
      </c>
    </row>
    <row r="460" spans="1:10">
      <c r="A460" s="75" t="str">
        <f t="shared" si="27"/>
        <v/>
      </c>
    </row>
    <row r="461" spans="1:10">
      <c r="A461" s="75" t="str">
        <f t="shared" si="27"/>
        <v/>
      </c>
      <c r="B461" s="87">
        <v>1</v>
      </c>
      <c r="C461" s="96">
        <v>45537</v>
      </c>
      <c r="D461" s="76">
        <f t="shared" ref="D461:D502" si="28">MONTH(C461)</f>
        <v>9</v>
      </c>
      <c r="E461" s="77" t="s">
        <v>570</v>
      </c>
      <c r="F461" s="95">
        <v>4</v>
      </c>
      <c r="G461" s="78" t="s">
        <v>473</v>
      </c>
      <c r="H461" s="91">
        <f t="shared" ref="H461:H502" si="29">YEAR(C461)</f>
        <v>2024</v>
      </c>
      <c r="I461" s="7" t="s">
        <v>426</v>
      </c>
      <c r="J461" s="76" t="s">
        <v>643</v>
      </c>
    </row>
    <row r="462" spans="1:10">
      <c r="A462" s="75" t="str">
        <f t="shared" si="27"/>
        <v/>
      </c>
      <c r="B462" s="87">
        <v>2</v>
      </c>
      <c r="C462" s="96">
        <v>45539</v>
      </c>
      <c r="D462" s="76">
        <f t="shared" si="28"/>
        <v>9</v>
      </c>
      <c r="E462" s="77" t="s">
        <v>438</v>
      </c>
      <c r="F462" s="95">
        <v>4</v>
      </c>
      <c r="G462" s="78" t="s">
        <v>441</v>
      </c>
      <c r="H462" s="91">
        <f t="shared" si="29"/>
        <v>2024</v>
      </c>
      <c r="I462" s="7" t="s">
        <v>625</v>
      </c>
      <c r="J462" s="76" t="s">
        <v>643</v>
      </c>
    </row>
    <row r="463" spans="1:10">
      <c r="A463" s="75" t="str">
        <f t="shared" si="27"/>
        <v/>
      </c>
      <c r="B463" s="87">
        <v>3</v>
      </c>
      <c r="C463" s="96">
        <v>45539</v>
      </c>
      <c r="D463" s="76">
        <f t="shared" si="28"/>
        <v>9</v>
      </c>
      <c r="E463" s="77" t="s">
        <v>428</v>
      </c>
      <c r="F463" s="95">
        <v>4</v>
      </c>
      <c r="G463" s="78" t="s">
        <v>473</v>
      </c>
      <c r="H463" s="91">
        <f t="shared" si="29"/>
        <v>2024</v>
      </c>
      <c r="I463" s="7" t="s">
        <v>644</v>
      </c>
      <c r="J463" s="76" t="s">
        <v>643</v>
      </c>
    </row>
    <row r="464" spans="1:10">
      <c r="A464" s="75" t="str">
        <f t="shared" si="27"/>
        <v/>
      </c>
      <c r="B464" s="87">
        <v>4</v>
      </c>
      <c r="C464" s="96">
        <v>45539</v>
      </c>
      <c r="D464" s="76">
        <f t="shared" si="28"/>
        <v>9</v>
      </c>
      <c r="E464" s="77" t="s">
        <v>424</v>
      </c>
      <c r="F464" s="95">
        <v>4</v>
      </c>
      <c r="G464" s="78" t="s">
        <v>645</v>
      </c>
      <c r="H464" s="91">
        <f t="shared" si="29"/>
        <v>2024</v>
      </c>
      <c r="I464" s="7" t="s">
        <v>426</v>
      </c>
      <c r="J464" s="76" t="s">
        <v>643</v>
      </c>
    </row>
    <row r="465" spans="1:10">
      <c r="A465" s="75" t="str">
        <f t="shared" si="27"/>
        <v/>
      </c>
      <c r="B465" s="87">
        <v>5</v>
      </c>
      <c r="C465" s="96">
        <v>45540</v>
      </c>
      <c r="D465" s="76">
        <f t="shared" si="28"/>
        <v>9</v>
      </c>
      <c r="E465" s="77" t="s">
        <v>449</v>
      </c>
      <c r="F465" s="95">
        <v>2</v>
      </c>
      <c r="G465" s="78" t="s">
        <v>627</v>
      </c>
      <c r="H465" s="91">
        <f t="shared" si="29"/>
        <v>2024</v>
      </c>
      <c r="I465" s="7" t="s">
        <v>426</v>
      </c>
      <c r="J465" s="76" t="s">
        <v>643</v>
      </c>
    </row>
    <row r="466" spans="1:10">
      <c r="A466" s="75" t="str">
        <f t="shared" si="27"/>
        <v/>
      </c>
      <c r="B466" s="87">
        <v>6</v>
      </c>
      <c r="C466" s="96">
        <v>45540</v>
      </c>
      <c r="D466" s="76">
        <f t="shared" si="28"/>
        <v>9</v>
      </c>
      <c r="E466" s="77" t="s">
        <v>449</v>
      </c>
      <c r="F466" s="95">
        <v>2</v>
      </c>
      <c r="G466" s="78" t="s">
        <v>434</v>
      </c>
      <c r="H466" s="91">
        <f t="shared" si="29"/>
        <v>2024</v>
      </c>
      <c r="I466" s="7" t="s">
        <v>426</v>
      </c>
      <c r="J466" s="76" t="s">
        <v>643</v>
      </c>
    </row>
    <row r="467" spans="1:10">
      <c r="A467" s="75" t="str">
        <f t="shared" si="27"/>
        <v/>
      </c>
      <c r="B467" s="87">
        <v>7</v>
      </c>
      <c r="C467" s="96">
        <v>45541</v>
      </c>
      <c r="D467" s="76">
        <f t="shared" si="28"/>
        <v>9</v>
      </c>
      <c r="E467" s="77" t="s">
        <v>449</v>
      </c>
      <c r="F467" s="95">
        <v>2</v>
      </c>
      <c r="G467" s="78" t="s">
        <v>646</v>
      </c>
      <c r="H467" s="91">
        <f t="shared" si="29"/>
        <v>2024</v>
      </c>
      <c r="I467" s="7" t="s">
        <v>426</v>
      </c>
      <c r="J467" s="76" t="s">
        <v>643</v>
      </c>
    </row>
    <row r="468" spans="1:10">
      <c r="A468" s="75" t="str">
        <f t="shared" si="27"/>
        <v/>
      </c>
      <c r="B468" s="87">
        <v>8</v>
      </c>
      <c r="C468" s="96">
        <v>45541</v>
      </c>
      <c r="D468" s="76">
        <f t="shared" si="28"/>
        <v>9</v>
      </c>
      <c r="E468" s="77" t="s">
        <v>449</v>
      </c>
      <c r="F468" s="95">
        <v>2</v>
      </c>
      <c r="G468" s="78" t="s">
        <v>556</v>
      </c>
      <c r="H468" s="91">
        <f t="shared" si="29"/>
        <v>2024</v>
      </c>
      <c r="I468" s="7" t="s">
        <v>426</v>
      </c>
      <c r="J468" s="76" t="s">
        <v>643</v>
      </c>
    </row>
    <row r="469" spans="1:10">
      <c r="A469" s="75" t="str">
        <f t="shared" si="27"/>
        <v/>
      </c>
      <c r="B469" s="87">
        <v>9</v>
      </c>
      <c r="C469" s="96">
        <v>45542</v>
      </c>
      <c r="D469" s="76">
        <f t="shared" si="28"/>
        <v>9</v>
      </c>
      <c r="E469" s="77" t="s">
        <v>447</v>
      </c>
      <c r="F469" s="95">
        <v>2</v>
      </c>
      <c r="G469" s="78" t="s">
        <v>647</v>
      </c>
      <c r="H469" s="91">
        <f t="shared" si="29"/>
        <v>2024</v>
      </c>
      <c r="I469" s="7" t="s">
        <v>426</v>
      </c>
      <c r="J469" s="76" t="s">
        <v>643</v>
      </c>
    </row>
    <row r="470" spans="1:10">
      <c r="A470" s="75" t="str">
        <f t="shared" si="27"/>
        <v/>
      </c>
      <c r="B470" s="87">
        <v>10</v>
      </c>
      <c r="C470" s="96">
        <v>45542</v>
      </c>
      <c r="D470" s="76">
        <f t="shared" si="28"/>
        <v>9</v>
      </c>
      <c r="E470" s="77" t="s">
        <v>447</v>
      </c>
      <c r="F470" s="95">
        <v>2</v>
      </c>
      <c r="G470" s="78" t="s">
        <v>545</v>
      </c>
      <c r="H470" s="91">
        <f t="shared" si="29"/>
        <v>2024</v>
      </c>
      <c r="I470" s="7" t="s">
        <v>426</v>
      </c>
      <c r="J470" s="76" t="s">
        <v>643</v>
      </c>
    </row>
    <row r="471" spans="1:10">
      <c r="A471" s="75" t="str">
        <f t="shared" si="27"/>
        <v/>
      </c>
      <c r="B471" s="87">
        <v>11</v>
      </c>
      <c r="C471" s="96">
        <v>45542</v>
      </c>
      <c r="D471" s="76">
        <f t="shared" si="28"/>
        <v>9</v>
      </c>
      <c r="E471" s="77" t="s">
        <v>424</v>
      </c>
      <c r="F471" s="95">
        <v>4</v>
      </c>
      <c r="G471" s="78" t="s">
        <v>648</v>
      </c>
      <c r="H471" s="91">
        <f t="shared" si="29"/>
        <v>2024</v>
      </c>
      <c r="I471" s="7" t="s">
        <v>625</v>
      </c>
      <c r="J471" s="76" t="s">
        <v>643</v>
      </c>
    </row>
    <row r="472" spans="1:10">
      <c r="A472" s="75" t="str">
        <f t="shared" si="27"/>
        <v/>
      </c>
      <c r="B472" s="87">
        <v>12</v>
      </c>
      <c r="C472" s="96">
        <v>45542</v>
      </c>
      <c r="D472" s="76">
        <f t="shared" si="28"/>
        <v>9</v>
      </c>
      <c r="E472" s="77" t="s">
        <v>438</v>
      </c>
      <c r="F472" s="95">
        <v>4</v>
      </c>
      <c r="G472" s="78" t="s">
        <v>649</v>
      </c>
      <c r="H472" s="91">
        <f t="shared" si="29"/>
        <v>2024</v>
      </c>
      <c r="I472" s="7" t="s">
        <v>644</v>
      </c>
      <c r="J472" s="76" t="s">
        <v>643</v>
      </c>
    </row>
    <row r="473" spans="1:10">
      <c r="A473" s="75" t="str">
        <f t="shared" si="27"/>
        <v/>
      </c>
      <c r="B473" s="87">
        <v>13</v>
      </c>
      <c r="C473" s="96">
        <v>45544</v>
      </c>
      <c r="D473" s="76">
        <f t="shared" si="28"/>
        <v>9</v>
      </c>
      <c r="E473" s="77" t="s">
        <v>454</v>
      </c>
      <c r="F473" s="95">
        <v>2</v>
      </c>
      <c r="G473" s="78" t="s">
        <v>602</v>
      </c>
      <c r="H473" s="91">
        <f t="shared" si="29"/>
        <v>2024</v>
      </c>
      <c r="I473" s="7" t="s">
        <v>426</v>
      </c>
      <c r="J473" s="76" t="s">
        <v>643</v>
      </c>
    </row>
    <row r="474" spans="1:10">
      <c r="A474" s="75" t="str">
        <f t="shared" si="27"/>
        <v/>
      </c>
      <c r="B474" s="87">
        <v>14</v>
      </c>
      <c r="C474" s="96">
        <v>45544</v>
      </c>
      <c r="D474" s="76">
        <f t="shared" si="28"/>
        <v>9</v>
      </c>
      <c r="E474" s="77" t="s">
        <v>454</v>
      </c>
      <c r="F474" s="95">
        <v>2</v>
      </c>
      <c r="G474" s="78" t="s">
        <v>650</v>
      </c>
      <c r="H474" s="91">
        <f t="shared" si="29"/>
        <v>2024</v>
      </c>
      <c r="I474" s="7" t="s">
        <v>426</v>
      </c>
      <c r="J474" s="76" t="s">
        <v>643</v>
      </c>
    </row>
    <row r="475" spans="1:10">
      <c r="A475" s="75" t="str">
        <f t="shared" si="27"/>
        <v/>
      </c>
      <c r="B475" s="87">
        <v>15</v>
      </c>
      <c r="C475" s="96">
        <v>45545</v>
      </c>
      <c r="D475" s="76">
        <f t="shared" si="28"/>
        <v>9</v>
      </c>
      <c r="E475" s="77" t="s">
        <v>570</v>
      </c>
      <c r="F475" s="95">
        <v>4</v>
      </c>
      <c r="G475" s="78" t="s">
        <v>442</v>
      </c>
      <c r="H475" s="91">
        <f t="shared" si="29"/>
        <v>2024</v>
      </c>
      <c r="I475" s="7" t="s">
        <v>426</v>
      </c>
      <c r="J475" s="76" t="s">
        <v>643</v>
      </c>
    </row>
    <row r="476" spans="1:10">
      <c r="A476" s="75" t="str">
        <f t="shared" si="27"/>
        <v/>
      </c>
      <c r="B476" s="87">
        <v>16</v>
      </c>
      <c r="C476" s="96">
        <v>45546</v>
      </c>
      <c r="D476" s="76">
        <f t="shared" si="28"/>
        <v>9</v>
      </c>
      <c r="E476" s="77" t="s">
        <v>454</v>
      </c>
      <c r="F476" s="95">
        <v>2</v>
      </c>
      <c r="G476" s="78" t="s">
        <v>452</v>
      </c>
      <c r="H476" s="91">
        <f t="shared" si="29"/>
        <v>2024</v>
      </c>
      <c r="I476" s="7" t="s">
        <v>426</v>
      </c>
      <c r="J476" s="76" t="s">
        <v>643</v>
      </c>
    </row>
    <row r="477" spans="1:10">
      <c r="A477" s="75" t="str">
        <f t="shared" si="27"/>
        <v/>
      </c>
      <c r="B477" s="87">
        <v>17</v>
      </c>
      <c r="C477" s="96">
        <v>45546</v>
      </c>
      <c r="D477" s="76">
        <f t="shared" si="28"/>
        <v>9</v>
      </c>
      <c r="E477" s="77" t="s">
        <v>454</v>
      </c>
      <c r="F477" s="95">
        <v>2</v>
      </c>
      <c r="G477" s="78" t="s">
        <v>476</v>
      </c>
      <c r="H477" s="91">
        <f t="shared" si="29"/>
        <v>2024</v>
      </c>
      <c r="I477" s="7" t="s">
        <v>426</v>
      </c>
      <c r="J477" s="76" t="s">
        <v>643</v>
      </c>
    </row>
    <row r="478" spans="1:10">
      <c r="A478" s="75" t="str">
        <f t="shared" si="27"/>
        <v/>
      </c>
      <c r="B478" s="87">
        <v>18</v>
      </c>
      <c r="C478" s="96">
        <v>45546</v>
      </c>
      <c r="D478" s="76">
        <f t="shared" si="28"/>
        <v>9</v>
      </c>
      <c r="E478" s="77" t="s">
        <v>438</v>
      </c>
      <c r="F478" s="95">
        <v>4</v>
      </c>
      <c r="G478" s="78" t="s">
        <v>565</v>
      </c>
      <c r="H478" s="91">
        <f t="shared" si="29"/>
        <v>2024</v>
      </c>
      <c r="I478" s="7" t="s">
        <v>623</v>
      </c>
      <c r="J478" s="76" t="s">
        <v>643</v>
      </c>
    </row>
    <row r="479" spans="1:10">
      <c r="A479" s="75" t="str">
        <f t="shared" si="27"/>
        <v/>
      </c>
      <c r="B479" s="87">
        <v>19</v>
      </c>
      <c r="C479" s="96">
        <v>45546</v>
      </c>
      <c r="D479" s="76">
        <f t="shared" si="28"/>
        <v>9</v>
      </c>
      <c r="E479" s="77" t="s">
        <v>428</v>
      </c>
      <c r="F479" s="95">
        <v>4</v>
      </c>
      <c r="G479" s="78" t="s">
        <v>651</v>
      </c>
      <c r="H479" s="91">
        <f t="shared" si="29"/>
        <v>2024</v>
      </c>
      <c r="I479" s="7" t="s">
        <v>625</v>
      </c>
      <c r="J479" s="76" t="s">
        <v>643</v>
      </c>
    </row>
    <row r="480" spans="1:10">
      <c r="A480" s="75" t="str">
        <f t="shared" si="27"/>
        <v/>
      </c>
      <c r="B480" s="87">
        <v>20</v>
      </c>
      <c r="C480" s="96">
        <v>45546</v>
      </c>
      <c r="D480" s="76">
        <f t="shared" si="28"/>
        <v>9</v>
      </c>
      <c r="E480" s="77" t="s">
        <v>570</v>
      </c>
      <c r="F480" s="95">
        <v>4</v>
      </c>
      <c r="G480" s="78" t="s">
        <v>652</v>
      </c>
      <c r="H480" s="91">
        <f t="shared" si="29"/>
        <v>2024</v>
      </c>
      <c r="I480" s="7" t="s">
        <v>653</v>
      </c>
      <c r="J480" s="76" t="s">
        <v>643</v>
      </c>
    </row>
    <row r="481" spans="1:10">
      <c r="A481" s="75" t="str">
        <f t="shared" si="27"/>
        <v/>
      </c>
      <c r="B481" s="87">
        <v>21</v>
      </c>
      <c r="C481" s="96">
        <v>45547</v>
      </c>
      <c r="D481" s="76">
        <f t="shared" si="28"/>
        <v>9</v>
      </c>
      <c r="E481" s="77" t="s">
        <v>447</v>
      </c>
      <c r="F481" s="95">
        <v>2</v>
      </c>
      <c r="G481" s="78" t="s">
        <v>650</v>
      </c>
      <c r="H481" s="91">
        <f t="shared" si="29"/>
        <v>2024</v>
      </c>
      <c r="I481" s="7" t="s">
        <v>426</v>
      </c>
      <c r="J481" s="76" t="s">
        <v>643</v>
      </c>
    </row>
    <row r="482" spans="1:10">
      <c r="A482" s="75" t="str">
        <f t="shared" si="27"/>
        <v/>
      </c>
      <c r="B482" s="87">
        <v>22</v>
      </c>
      <c r="C482" s="96">
        <v>45547</v>
      </c>
      <c r="D482" s="76">
        <f t="shared" si="28"/>
        <v>9</v>
      </c>
      <c r="E482" s="77" t="s">
        <v>447</v>
      </c>
      <c r="F482" s="95">
        <v>2</v>
      </c>
      <c r="G482" s="78" t="s">
        <v>654</v>
      </c>
      <c r="H482" s="91">
        <f t="shared" si="29"/>
        <v>2024</v>
      </c>
      <c r="I482" s="7" t="s">
        <v>426</v>
      </c>
      <c r="J482" s="76" t="s">
        <v>643</v>
      </c>
    </row>
    <row r="483" spans="1:10">
      <c r="A483" s="75" t="str">
        <f t="shared" si="27"/>
        <v/>
      </c>
      <c r="B483" s="87">
        <v>23</v>
      </c>
      <c r="C483" s="96">
        <v>45548</v>
      </c>
      <c r="D483" s="76">
        <f t="shared" si="28"/>
        <v>9</v>
      </c>
      <c r="E483" s="77" t="s">
        <v>424</v>
      </c>
      <c r="F483" s="95">
        <v>4</v>
      </c>
      <c r="G483" s="78" t="s">
        <v>437</v>
      </c>
      <c r="H483" s="91">
        <f t="shared" si="29"/>
        <v>2024</v>
      </c>
      <c r="I483" s="7" t="s">
        <v>426</v>
      </c>
      <c r="J483" s="76" t="s">
        <v>643</v>
      </c>
    </row>
    <row r="484" spans="1:10">
      <c r="A484" s="75" t="str">
        <f t="shared" si="27"/>
        <v/>
      </c>
      <c r="B484" s="87">
        <v>24</v>
      </c>
      <c r="C484" s="96">
        <v>45551</v>
      </c>
      <c r="D484" s="76">
        <f t="shared" si="28"/>
        <v>9</v>
      </c>
      <c r="E484" s="77" t="s">
        <v>454</v>
      </c>
      <c r="F484" s="95">
        <v>2</v>
      </c>
      <c r="G484" s="78" t="s">
        <v>506</v>
      </c>
      <c r="H484" s="91">
        <f t="shared" si="29"/>
        <v>2024</v>
      </c>
      <c r="I484" s="7" t="s">
        <v>426</v>
      </c>
      <c r="J484" s="76" t="s">
        <v>643</v>
      </c>
    </row>
    <row r="485" spans="1:10">
      <c r="A485" s="75" t="str">
        <f t="shared" si="27"/>
        <v/>
      </c>
      <c r="B485" s="87">
        <v>25</v>
      </c>
      <c r="C485" s="96">
        <v>45551</v>
      </c>
      <c r="D485" s="76">
        <f t="shared" si="28"/>
        <v>9</v>
      </c>
      <c r="E485" s="77" t="s">
        <v>454</v>
      </c>
      <c r="F485" s="95">
        <v>2</v>
      </c>
      <c r="G485" s="78" t="s">
        <v>602</v>
      </c>
      <c r="H485" s="91">
        <f t="shared" si="29"/>
        <v>2024</v>
      </c>
      <c r="I485" s="7" t="s">
        <v>426</v>
      </c>
      <c r="J485" s="76" t="s">
        <v>643</v>
      </c>
    </row>
    <row r="486" spans="1:10">
      <c r="A486" s="75" t="str">
        <f t="shared" si="27"/>
        <v/>
      </c>
      <c r="B486" s="87">
        <v>26</v>
      </c>
      <c r="C486" s="96">
        <v>45552</v>
      </c>
      <c r="D486" s="76">
        <f t="shared" si="28"/>
        <v>9</v>
      </c>
      <c r="E486" s="77" t="s">
        <v>428</v>
      </c>
      <c r="F486" s="95">
        <v>4</v>
      </c>
      <c r="G486" s="78" t="s">
        <v>441</v>
      </c>
      <c r="H486" s="91">
        <f t="shared" si="29"/>
        <v>2024</v>
      </c>
      <c r="I486" s="7" t="s">
        <v>426</v>
      </c>
      <c r="J486" s="76" t="s">
        <v>643</v>
      </c>
    </row>
    <row r="487" spans="1:10">
      <c r="A487" s="75" t="str">
        <f t="shared" si="27"/>
        <v/>
      </c>
      <c r="B487" s="87">
        <v>27</v>
      </c>
      <c r="C487" s="96">
        <v>45552</v>
      </c>
      <c r="D487" s="76">
        <f t="shared" si="28"/>
        <v>9</v>
      </c>
      <c r="E487" s="77" t="s">
        <v>600</v>
      </c>
      <c r="F487" s="95">
        <v>4</v>
      </c>
      <c r="G487" s="78" t="s">
        <v>655</v>
      </c>
      <c r="H487" s="91">
        <f t="shared" si="29"/>
        <v>2024</v>
      </c>
      <c r="I487" s="7" t="s">
        <v>625</v>
      </c>
      <c r="J487" s="76" t="s">
        <v>643</v>
      </c>
    </row>
    <row r="488" spans="1:10">
      <c r="A488" s="75" t="str">
        <f t="shared" si="27"/>
        <v/>
      </c>
      <c r="B488" s="87">
        <v>28</v>
      </c>
      <c r="C488" s="96">
        <v>45552</v>
      </c>
      <c r="D488" s="76">
        <f t="shared" si="28"/>
        <v>9</v>
      </c>
      <c r="E488" s="77" t="s">
        <v>438</v>
      </c>
      <c r="F488" s="95">
        <v>4</v>
      </c>
      <c r="G488" s="78" t="s">
        <v>656</v>
      </c>
      <c r="H488" s="91">
        <f t="shared" si="29"/>
        <v>2024</v>
      </c>
      <c r="I488" s="7" t="s">
        <v>653</v>
      </c>
      <c r="J488" s="76" t="s">
        <v>643</v>
      </c>
    </row>
    <row r="489" spans="1:10">
      <c r="A489" s="75" t="str">
        <f t="shared" si="27"/>
        <v/>
      </c>
      <c r="B489" s="87">
        <v>29</v>
      </c>
      <c r="C489" s="96">
        <v>45552</v>
      </c>
      <c r="D489" s="76">
        <f t="shared" si="28"/>
        <v>9</v>
      </c>
      <c r="E489" s="77" t="s">
        <v>431</v>
      </c>
      <c r="F489" s="95">
        <v>4</v>
      </c>
      <c r="G489" s="78" t="s">
        <v>542</v>
      </c>
      <c r="H489" s="91">
        <f t="shared" si="29"/>
        <v>2024</v>
      </c>
      <c r="I489" s="7" t="s">
        <v>623</v>
      </c>
      <c r="J489" s="76" t="s">
        <v>643</v>
      </c>
    </row>
    <row r="490" spans="1:10">
      <c r="A490" s="75" t="str">
        <f t="shared" si="27"/>
        <v/>
      </c>
      <c r="B490" s="87">
        <v>30</v>
      </c>
      <c r="C490" s="96">
        <v>45556</v>
      </c>
      <c r="D490" s="76">
        <f t="shared" si="28"/>
        <v>9</v>
      </c>
      <c r="E490" s="77" t="s">
        <v>433</v>
      </c>
      <c r="F490" s="95">
        <v>4</v>
      </c>
      <c r="G490" s="78" t="s">
        <v>657</v>
      </c>
      <c r="H490" s="91">
        <f t="shared" si="29"/>
        <v>2024</v>
      </c>
      <c r="I490" s="7" t="s">
        <v>426</v>
      </c>
      <c r="J490" s="76" t="s">
        <v>643</v>
      </c>
    </row>
    <row r="491" spans="1:10">
      <c r="A491" s="75" t="str">
        <f t="shared" si="27"/>
        <v/>
      </c>
      <c r="B491" s="87">
        <v>31</v>
      </c>
      <c r="C491" s="96">
        <v>45558</v>
      </c>
      <c r="D491" s="76">
        <f t="shared" si="28"/>
        <v>9</v>
      </c>
      <c r="E491" s="77" t="s">
        <v>428</v>
      </c>
      <c r="F491" s="95">
        <v>4</v>
      </c>
      <c r="G491" s="78" t="s">
        <v>437</v>
      </c>
      <c r="H491" s="91">
        <f t="shared" si="29"/>
        <v>2024</v>
      </c>
      <c r="I491" s="7" t="s">
        <v>426</v>
      </c>
      <c r="J491" s="76" t="s">
        <v>643</v>
      </c>
    </row>
    <row r="492" spans="1:10">
      <c r="A492" s="75" t="str">
        <f t="shared" si="27"/>
        <v/>
      </c>
      <c r="B492" s="87">
        <v>32</v>
      </c>
      <c r="C492" s="96">
        <v>45559</v>
      </c>
      <c r="D492" s="76">
        <f t="shared" si="28"/>
        <v>9</v>
      </c>
      <c r="E492" s="77" t="s">
        <v>438</v>
      </c>
      <c r="F492" s="95">
        <v>4</v>
      </c>
      <c r="G492" s="78" t="s">
        <v>658</v>
      </c>
      <c r="H492" s="91">
        <f t="shared" si="29"/>
        <v>2024</v>
      </c>
      <c r="I492" s="7" t="s">
        <v>625</v>
      </c>
      <c r="J492" s="76" t="s">
        <v>643</v>
      </c>
    </row>
    <row r="493" spans="1:10">
      <c r="A493" s="75" t="str">
        <f t="shared" si="27"/>
        <v/>
      </c>
      <c r="B493" s="87">
        <v>33</v>
      </c>
      <c r="C493" s="96">
        <v>45560</v>
      </c>
      <c r="D493" s="76">
        <f t="shared" si="28"/>
        <v>9</v>
      </c>
      <c r="E493" s="77" t="s">
        <v>424</v>
      </c>
      <c r="F493" s="95">
        <v>4</v>
      </c>
      <c r="G493" s="78" t="s">
        <v>659</v>
      </c>
      <c r="H493" s="91">
        <f t="shared" si="29"/>
        <v>2024</v>
      </c>
      <c r="I493" s="7" t="s">
        <v>426</v>
      </c>
      <c r="J493" s="76" t="s">
        <v>643</v>
      </c>
    </row>
    <row r="494" spans="1:10">
      <c r="A494" s="75" t="str">
        <f t="shared" si="27"/>
        <v/>
      </c>
      <c r="B494" s="87">
        <v>34</v>
      </c>
      <c r="C494" s="96">
        <v>45560</v>
      </c>
      <c r="D494" s="76">
        <f t="shared" si="28"/>
        <v>9</v>
      </c>
      <c r="E494" s="77" t="s">
        <v>428</v>
      </c>
      <c r="F494" s="95">
        <v>4</v>
      </c>
      <c r="G494" s="78" t="s">
        <v>462</v>
      </c>
      <c r="H494" s="91">
        <f t="shared" si="29"/>
        <v>2024</v>
      </c>
      <c r="I494" s="7" t="s">
        <v>660</v>
      </c>
      <c r="J494" s="76" t="s">
        <v>643</v>
      </c>
    </row>
    <row r="495" spans="1:10">
      <c r="A495" s="75" t="str">
        <f t="shared" si="27"/>
        <v/>
      </c>
      <c r="B495" s="87">
        <v>35</v>
      </c>
      <c r="C495" s="96">
        <v>45561</v>
      </c>
      <c r="D495" s="76">
        <f t="shared" si="28"/>
        <v>9</v>
      </c>
      <c r="E495" s="77" t="s">
        <v>454</v>
      </c>
      <c r="F495" s="95">
        <v>2</v>
      </c>
      <c r="G495" s="78" t="s">
        <v>642</v>
      </c>
      <c r="H495" s="91">
        <f t="shared" si="29"/>
        <v>2024</v>
      </c>
      <c r="I495" s="7" t="s">
        <v>426</v>
      </c>
      <c r="J495" s="76" t="s">
        <v>643</v>
      </c>
    </row>
    <row r="496" spans="1:10">
      <c r="A496" s="75" t="str">
        <f t="shared" si="27"/>
        <v/>
      </c>
      <c r="B496" s="87">
        <v>36</v>
      </c>
      <c r="C496" s="96">
        <v>45561</v>
      </c>
      <c r="D496" s="76">
        <f t="shared" si="28"/>
        <v>9</v>
      </c>
      <c r="E496" s="77" t="s">
        <v>454</v>
      </c>
      <c r="F496" s="95">
        <v>2</v>
      </c>
      <c r="G496" s="78" t="s">
        <v>628</v>
      </c>
      <c r="H496" s="91">
        <f t="shared" si="29"/>
        <v>2024</v>
      </c>
      <c r="I496" s="7" t="s">
        <v>426</v>
      </c>
      <c r="J496" s="76" t="s">
        <v>643</v>
      </c>
    </row>
    <row r="497" spans="1:10">
      <c r="A497" s="75" t="str">
        <f t="shared" si="27"/>
        <v/>
      </c>
      <c r="B497" s="87">
        <v>37</v>
      </c>
      <c r="C497" s="96">
        <v>45562</v>
      </c>
      <c r="D497" s="76">
        <f t="shared" si="28"/>
        <v>9</v>
      </c>
      <c r="E497" s="77" t="s">
        <v>449</v>
      </c>
      <c r="F497" s="95">
        <v>2</v>
      </c>
      <c r="G497" s="78" t="s">
        <v>482</v>
      </c>
      <c r="H497" s="91">
        <f t="shared" si="29"/>
        <v>2024</v>
      </c>
      <c r="I497" s="7" t="s">
        <v>426</v>
      </c>
      <c r="J497" s="76" t="s">
        <v>643</v>
      </c>
    </row>
    <row r="498" spans="1:10">
      <c r="A498" s="75" t="str">
        <f t="shared" si="27"/>
        <v/>
      </c>
      <c r="B498" s="87">
        <v>38</v>
      </c>
      <c r="C498" s="96">
        <v>45562</v>
      </c>
      <c r="D498" s="76">
        <f t="shared" si="28"/>
        <v>9</v>
      </c>
      <c r="E498" s="77" t="s">
        <v>449</v>
      </c>
      <c r="F498" s="95">
        <v>2</v>
      </c>
      <c r="G498" s="78" t="s">
        <v>661</v>
      </c>
      <c r="H498" s="91">
        <f t="shared" si="29"/>
        <v>2024</v>
      </c>
      <c r="I498" s="7" t="s">
        <v>426</v>
      </c>
      <c r="J498" s="76" t="s">
        <v>643</v>
      </c>
    </row>
    <row r="499" spans="1:10">
      <c r="A499" s="75" t="str">
        <f t="shared" si="27"/>
        <v/>
      </c>
      <c r="B499" s="87">
        <v>39</v>
      </c>
      <c r="C499" s="96">
        <v>45563</v>
      </c>
      <c r="D499" s="76">
        <f t="shared" si="28"/>
        <v>9</v>
      </c>
      <c r="E499" s="77" t="s">
        <v>447</v>
      </c>
      <c r="F499" s="95">
        <v>2</v>
      </c>
      <c r="G499" s="78" t="s">
        <v>467</v>
      </c>
      <c r="H499" s="91">
        <f t="shared" si="29"/>
        <v>2024</v>
      </c>
      <c r="I499" s="7" t="s">
        <v>426</v>
      </c>
      <c r="J499" s="76" t="s">
        <v>643</v>
      </c>
    </row>
    <row r="500" spans="1:10">
      <c r="A500" s="75" t="str">
        <f t="shared" si="27"/>
        <v/>
      </c>
      <c r="B500" s="87">
        <v>40</v>
      </c>
      <c r="C500" s="96">
        <v>45563</v>
      </c>
      <c r="D500" s="76">
        <f t="shared" si="28"/>
        <v>9</v>
      </c>
      <c r="E500" s="77" t="s">
        <v>447</v>
      </c>
      <c r="F500" s="95">
        <v>2</v>
      </c>
      <c r="G500" s="78" t="s">
        <v>662</v>
      </c>
      <c r="H500" s="91">
        <f t="shared" si="29"/>
        <v>2024</v>
      </c>
      <c r="I500" s="7" t="s">
        <v>426</v>
      </c>
      <c r="J500" s="76" t="s">
        <v>643</v>
      </c>
    </row>
    <row r="501" spans="1:10">
      <c r="A501" s="75" t="str">
        <f t="shared" si="27"/>
        <v/>
      </c>
      <c r="B501" s="87">
        <v>41</v>
      </c>
      <c r="C501" s="96">
        <v>45563</v>
      </c>
      <c r="D501" s="76">
        <f t="shared" si="28"/>
        <v>9</v>
      </c>
      <c r="E501" s="77" t="s">
        <v>428</v>
      </c>
      <c r="F501" s="95">
        <v>4</v>
      </c>
      <c r="G501" s="78" t="s">
        <v>663</v>
      </c>
      <c r="H501" s="91">
        <f t="shared" si="29"/>
        <v>2024</v>
      </c>
      <c r="I501" s="7" t="s">
        <v>625</v>
      </c>
      <c r="J501" s="76" t="s">
        <v>643</v>
      </c>
    </row>
    <row r="502" spans="1:10">
      <c r="A502" s="75" t="str">
        <f t="shared" si="27"/>
        <v/>
      </c>
      <c r="B502" s="87">
        <v>42</v>
      </c>
      <c r="C502" s="96">
        <v>45565</v>
      </c>
      <c r="D502" s="76">
        <f t="shared" si="28"/>
        <v>9</v>
      </c>
      <c r="E502" s="77" t="s">
        <v>438</v>
      </c>
      <c r="F502" s="95">
        <v>4</v>
      </c>
      <c r="G502" s="78" t="s">
        <v>664</v>
      </c>
      <c r="H502" s="91">
        <f t="shared" si="29"/>
        <v>2024</v>
      </c>
      <c r="I502" s="7" t="s">
        <v>665</v>
      </c>
      <c r="J502" s="76" t="s">
        <v>643</v>
      </c>
    </row>
    <row r="503" spans="1:10">
      <c r="A503" s="75" t="str">
        <f t="shared" si="27"/>
        <v/>
      </c>
    </row>
    <row r="504" spans="1:10">
      <c r="A504" s="75" t="str">
        <f t="shared" si="27"/>
        <v/>
      </c>
      <c r="B504" s="87">
        <v>1</v>
      </c>
      <c r="C504" s="96">
        <v>45527</v>
      </c>
      <c r="D504" s="76">
        <f t="shared" ref="D504:D525" si="30">MONTH(C504)</f>
        <v>8</v>
      </c>
      <c r="E504" s="77" t="s">
        <v>453</v>
      </c>
      <c r="F504" s="95">
        <v>4</v>
      </c>
      <c r="G504" s="78" t="s">
        <v>490</v>
      </c>
      <c r="H504" s="91">
        <f t="shared" ref="H504:H525" si="31">YEAR(C504)</f>
        <v>2024</v>
      </c>
      <c r="I504" s="7" t="s">
        <v>426</v>
      </c>
      <c r="J504" s="76" t="s">
        <v>666</v>
      </c>
    </row>
    <row r="505" spans="1:10">
      <c r="A505" s="75" t="str">
        <f t="shared" si="27"/>
        <v/>
      </c>
      <c r="B505" s="87">
        <v>2</v>
      </c>
      <c r="C505" s="96">
        <v>45527</v>
      </c>
      <c r="D505" s="76">
        <f t="shared" si="30"/>
        <v>8</v>
      </c>
      <c r="E505" s="77" t="s">
        <v>428</v>
      </c>
      <c r="F505" s="95">
        <v>4</v>
      </c>
      <c r="G505" s="78" t="s">
        <v>667</v>
      </c>
      <c r="H505" s="91">
        <f t="shared" si="31"/>
        <v>2024</v>
      </c>
      <c r="I505" s="7" t="s">
        <v>625</v>
      </c>
      <c r="J505" s="76" t="s">
        <v>666</v>
      </c>
    </row>
    <row r="506" spans="1:10">
      <c r="A506" s="75" t="str">
        <f t="shared" si="27"/>
        <v/>
      </c>
      <c r="B506" s="87">
        <v>3</v>
      </c>
      <c r="C506" s="96">
        <v>45528</v>
      </c>
      <c r="D506" s="76">
        <f t="shared" si="30"/>
        <v>8</v>
      </c>
      <c r="E506" s="77" t="s">
        <v>438</v>
      </c>
      <c r="F506" s="95">
        <v>4</v>
      </c>
      <c r="G506" s="78" t="s">
        <v>668</v>
      </c>
      <c r="H506" s="91">
        <f t="shared" si="31"/>
        <v>2024</v>
      </c>
      <c r="I506" s="7" t="s">
        <v>426</v>
      </c>
      <c r="J506" s="76" t="s">
        <v>666</v>
      </c>
    </row>
    <row r="507" spans="1:10">
      <c r="A507" s="75" t="str">
        <f t="shared" si="27"/>
        <v/>
      </c>
      <c r="B507" s="87">
        <v>4</v>
      </c>
      <c r="C507" s="96">
        <v>45528</v>
      </c>
      <c r="D507" s="76">
        <f t="shared" si="30"/>
        <v>8</v>
      </c>
      <c r="E507" s="77" t="s">
        <v>431</v>
      </c>
      <c r="F507" s="95">
        <v>4</v>
      </c>
      <c r="G507" s="78" t="s">
        <v>669</v>
      </c>
      <c r="H507" s="91">
        <f t="shared" si="31"/>
        <v>2024</v>
      </c>
      <c r="I507" s="7" t="s">
        <v>623</v>
      </c>
      <c r="J507" s="76" t="s">
        <v>666</v>
      </c>
    </row>
    <row r="508" spans="1:10">
      <c r="A508" s="75" t="str">
        <f t="shared" si="27"/>
        <v/>
      </c>
      <c r="B508" s="87">
        <v>5</v>
      </c>
      <c r="C508" s="96">
        <v>45528</v>
      </c>
      <c r="D508" s="76">
        <f t="shared" si="30"/>
        <v>8</v>
      </c>
      <c r="E508" s="77" t="s">
        <v>570</v>
      </c>
      <c r="F508" s="95">
        <v>4</v>
      </c>
      <c r="G508" s="78" t="s">
        <v>563</v>
      </c>
      <c r="H508" s="91">
        <f t="shared" si="31"/>
        <v>2024</v>
      </c>
      <c r="I508" s="7" t="s">
        <v>653</v>
      </c>
      <c r="J508" s="76" t="s">
        <v>666</v>
      </c>
    </row>
    <row r="509" spans="1:10">
      <c r="A509" s="75" t="str">
        <f t="shared" si="27"/>
        <v/>
      </c>
      <c r="B509" s="87">
        <v>6</v>
      </c>
      <c r="C509" s="96">
        <v>45528</v>
      </c>
      <c r="D509" s="76">
        <f t="shared" si="30"/>
        <v>8</v>
      </c>
      <c r="E509" s="77" t="s">
        <v>570</v>
      </c>
      <c r="F509" s="95">
        <v>4</v>
      </c>
      <c r="G509" s="78" t="s">
        <v>670</v>
      </c>
      <c r="H509" s="91">
        <f t="shared" si="31"/>
        <v>2024</v>
      </c>
      <c r="I509" s="7" t="s">
        <v>653</v>
      </c>
      <c r="J509" s="76" t="s">
        <v>666</v>
      </c>
    </row>
    <row r="510" spans="1:10">
      <c r="A510" s="75" t="str">
        <f t="shared" si="27"/>
        <v/>
      </c>
      <c r="B510" s="87">
        <v>7</v>
      </c>
      <c r="C510" s="96">
        <v>45530</v>
      </c>
      <c r="D510" s="76">
        <f t="shared" si="30"/>
        <v>8</v>
      </c>
      <c r="E510" s="77" t="s">
        <v>428</v>
      </c>
      <c r="F510" s="95">
        <v>4</v>
      </c>
      <c r="G510" s="78" t="s">
        <v>671</v>
      </c>
      <c r="H510" s="91">
        <f t="shared" si="31"/>
        <v>2024</v>
      </c>
      <c r="I510" s="7" t="s">
        <v>426</v>
      </c>
      <c r="J510" s="76" t="s">
        <v>666</v>
      </c>
    </row>
    <row r="511" spans="1:10">
      <c r="A511" s="75" t="str">
        <f t="shared" si="27"/>
        <v/>
      </c>
      <c r="B511" s="87">
        <v>8</v>
      </c>
      <c r="C511" s="96">
        <v>45530</v>
      </c>
      <c r="D511" s="76">
        <f t="shared" si="30"/>
        <v>8</v>
      </c>
      <c r="E511" s="77" t="s">
        <v>453</v>
      </c>
      <c r="F511" s="95">
        <v>4</v>
      </c>
      <c r="G511" s="78" t="s">
        <v>561</v>
      </c>
      <c r="H511" s="91">
        <f t="shared" si="31"/>
        <v>2024</v>
      </c>
      <c r="I511" s="7" t="s">
        <v>653</v>
      </c>
      <c r="J511" s="76" t="s">
        <v>666</v>
      </c>
    </row>
    <row r="512" spans="1:10">
      <c r="A512" s="75" t="str">
        <f t="shared" si="27"/>
        <v/>
      </c>
      <c r="B512" s="87">
        <v>9</v>
      </c>
      <c r="C512" s="96">
        <v>45531</v>
      </c>
      <c r="D512" s="76">
        <f t="shared" si="30"/>
        <v>8</v>
      </c>
      <c r="E512" s="77" t="s">
        <v>438</v>
      </c>
      <c r="F512" s="95">
        <v>4</v>
      </c>
      <c r="G512" s="78" t="s">
        <v>672</v>
      </c>
      <c r="H512" s="91">
        <f t="shared" si="31"/>
        <v>2024</v>
      </c>
      <c r="I512" s="7" t="s">
        <v>426</v>
      </c>
      <c r="J512" s="76" t="s">
        <v>666</v>
      </c>
    </row>
    <row r="513" spans="1:10">
      <c r="A513" s="75" t="str">
        <f t="shared" si="27"/>
        <v/>
      </c>
      <c r="B513" s="87">
        <v>10</v>
      </c>
      <c r="C513" s="96">
        <v>45532</v>
      </c>
      <c r="D513" s="76">
        <f t="shared" si="30"/>
        <v>8</v>
      </c>
      <c r="E513" s="77" t="s">
        <v>438</v>
      </c>
      <c r="F513" s="95">
        <v>4</v>
      </c>
      <c r="G513" s="78" t="s">
        <v>437</v>
      </c>
      <c r="H513" s="91">
        <f t="shared" si="31"/>
        <v>2024</v>
      </c>
      <c r="I513" s="7" t="s">
        <v>426</v>
      </c>
      <c r="J513" s="76" t="s">
        <v>666</v>
      </c>
    </row>
    <row r="514" spans="1:10">
      <c r="A514" s="75" t="str">
        <f t="shared" si="27"/>
        <v/>
      </c>
      <c r="B514" s="87">
        <v>11</v>
      </c>
      <c r="C514" s="96">
        <v>45532</v>
      </c>
      <c r="D514" s="76">
        <f t="shared" si="30"/>
        <v>8</v>
      </c>
      <c r="E514" s="77" t="s">
        <v>428</v>
      </c>
      <c r="F514" s="95">
        <v>4</v>
      </c>
      <c r="G514" s="78" t="s">
        <v>673</v>
      </c>
      <c r="H514" s="91">
        <f t="shared" si="31"/>
        <v>2024</v>
      </c>
      <c r="I514" s="7" t="s">
        <v>623</v>
      </c>
      <c r="J514" s="76" t="s">
        <v>666</v>
      </c>
    </row>
    <row r="515" spans="1:10">
      <c r="A515" s="75" t="str">
        <f t="shared" si="27"/>
        <v/>
      </c>
      <c r="B515" s="87">
        <v>12</v>
      </c>
      <c r="C515" s="96">
        <v>45533</v>
      </c>
      <c r="D515" s="76">
        <f t="shared" si="30"/>
        <v>8</v>
      </c>
      <c r="E515" s="77" t="s">
        <v>424</v>
      </c>
      <c r="F515" s="95">
        <v>4</v>
      </c>
      <c r="G515" s="78" t="s">
        <v>480</v>
      </c>
      <c r="H515" s="91">
        <f t="shared" si="31"/>
        <v>2024</v>
      </c>
      <c r="I515" s="7" t="s">
        <v>426</v>
      </c>
      <c r="J515" s="76" t="s">
        <v>666</v>
      </c>
    </row>
    <row r="516" spans="1:10">
      <c r="A516" s="75" t="str">
        <f t="shared" si="27"/>
        <v/>
      </c>
      <c r="B516" s="87">
        <v>13</v>
      </c>
      <c r="C516" s="96">
        <v>45533</v>
      </c>
      <c r="D516" s="76">
        <f t="shared" si="30"/>
        <v>8</v>
      </c>
      <c r="E516" s="77" t="s">
        <v>570</v>
      </c>
      <c r="F516" s="95">
        <v>4</v>
      </c>
      <c r="G516" s="78" t="s">
        <v>674</v>
      </c>
      <c r="H516" s="91">
        <f t="shared" si="31"/>
        <v>2024</v>
      </c>
      <c r="I516" s="7" t="s">
        <v>653</v>
      </c>
      <c r="J516" s="76" t="s">
        <v>666</v>
      </c>
    </row>
    <row r="517" spans="1:10">
      <c r="A517" s="75" t="str">
        <f t="shared" si="27"/>
        <v/>
      </c>
      <c r="B517" s="87">
        <v>14</v>
      </c>
      <c r="C517" s="96">
        <v>45533</v>
      </c>
      <c r="D517" s="76">
        <f t="shared" si="30"/>
        <v>8</v>
      </c>
      <c r="E517" s="77" t="s">
        <v>428</v>
      </c>
      <c r="F517" s="95">
        <v>4</v>
      </c>
      <c r="G517" s="78" t="s">
        <v>446</v>
      </c>
      <c r="H517" s="91">
        <f t="shared" si="31"/>
        <v>2024</v>
      </c>
      <c r="I517" s="7" t="s">
        <v>623</v>
      </c>
      <c r="J517" s="76" t="s">
        <v>666</v>
      </c>
    </row>
    <row r="518" spans="1:10">
      <c r="A518" s="75" t="str">
        <f t="shared" si="27"/>
        <v/>
      </c>
      <c r="B518" s="87">
        <v>15</v>
      </c>
      <c r="C518" s="96">
        <v>45533</v>
      </c>
      <c r="D518" s="76">
        <f t="shared" si="30"/>
        <v>8</v>
      </c>
      <c r="E518" s="77" t="s">
        <v>428</v>
      </c>
      <c r="F518" s="95">
        <v>4</v>
      </c>
      <c r="G518" s="78" t="s">
        <v>482</v>
      </c>
      <c r="H518" s="91">
        <f t="shared" si="31"/>
        <v>2024</v>
      </c>
      <c r="I518" s="7" t="s">
        <v>625</v>
      </c>
      <c r="J518" s="76" t="s">
        <v>666</v>
      </c>
    </row>
    <row r="519" spans="1:10">
      <c r="A519" s="75" t="str">
        <f t="shared" si="27"/>
        <v/>
      </c>
      <c r="B519" s="87">
        <v>16</v>
      </c>
      <c r="C519" s="96">
        <v>45533</v>
      </c>
      <c r="D519" s="76">
        <f t="shared" si="30"/>
        <v>8</v>
      </c>
      <c r="E519" s="77" t="s">
        <v>570</v>
      </c>
      <c r="F519" s="95">
        <v>4</v>
      </c>
      <c r="G519" s="78" t="s">
        <v>675</v>
      </c>
      <c r="H519" s="91">
        <f t="shared" si="31"/>
        <v>2024</v>
      </c>
      <c r="I519" s="7" t="s">
        <v>625</v>
      </c>
      <c r="J519" s="76" t="s">
        <v>666</v>
      </c>
    </row>
    <row r="520" spans="1:10">
      <c r="A520" s="75" t="str">
        <f t="shared" si="27"/>
        <v/>
      </c>
      <c r="B520" s="87">
        <v>17</v>
      </c>
      <c r="C520" s="96">
        <v>45534</v>
      </c>
      <c r="D520" s="76">
        <f t="shared" si="30"/>
        <v>8</v>
      </c>
      <c r="E520" s="77" t="s">
        <v>428</v>
      </c>
      <c r="F520" s="95">
        <v>4</v>
      </c>
      <c r="G520" s="78" t="s">
        <v>475</v>
      </c>
      <c r="H520" s="91">
        <f t="shared" si="31"/>
        <v>2024</v>
      </c>
      <c r="I520" s="7" t="s">
        <v>426</v>
      </c>
      <c r="J520" s="76" t="s">
        <v>666</v>
      </c>
    </row>
    <row r="521" spans="1:10">
      <c r="A521" s="75" t="str">
        <f t="shared" si="27"/>
        <v/>
      </c>
      <c r="B521" s="87">
        <v>18</v>
      </c>
      <c r="C521" s="96">
        <v>45534</v>
      </c>
      <c r="D521" s="76">
        <f t="shared" si="30"/>
        <v>8</v>
      </c>
      <c r="E521" s="77" t="s">
        <v>431</v>
      </c>
      <c r="F521" s="95">
        <v>4</v>
      </c>
      <c r="G521" s="78" t="s">
        <v>676</v>
      </c>
      <c r="H521" s="91">
        <f t="shared" si="31"/>
        <v>2024</v>
      </c>
      <c r="I521" s="7" t="s">
        <v>653</v>
      </c>
      <c r="J521" s="76" t="s">
        <v>666</v>
      </c>
    </row>
    <row r="522" spans="1:10">
      <c r="A522" s="75" t="str">
        <f t="shared" si="27"/>
        <v/>
      </c>
      <c r="B522" s="87">
        <v>19</v>
      </c>
      <c r="C522" s="96">
        <v>45534</v>
      </c>
      <c r="D522" s="76">
        <f t="shared" si="30"/>
        <v>8</v>
      </c>
      <c r="E522" s="77" t="s">
        <v>453</v>
      </c>
      <c r="F522" s="95">
        <v>4</v>
      </c>
      <c r="G522" s="78" t="s">
        <v>677</v>
      </c>
      <c r="H522" s="91">
        <f t="shared" si="31"/>
        <v>2024</v>
      </c>
      <c r="I522" s="7" t="s">
        <v>678</v>
      </c>
      <c r="J522" s="76" t="s">
        <v>666</v>
      </c>
    </row>
    <row r="523" spans="1:10">
      <c r="A523" s="75" t="str">
        <f t="shared" ref="A523:A586" si="32">IF(AND($E$3="ALL",$E$4="ALL"),"ALL",IF(AND($E$3="ALL",$E$4&lt;&gt;"ALL"),IF(D523=$E$4,D523,""),IF(AND($E$3&lt;&gt;"ALL",$E$4="ALL"),IF(I523=$E$3,I523,""),"")))</f>
        <v/>
      </c>
      <c r="B523" s="87">
        <v>20</v>
      </c>
      <c r="C523" s="96">
        <v>45534</v>
      </c>
      <c r="D523" s="76">
        <f t="shared" si="30"/>
        <v>8</v>
      </c>
      <c r="E523" s="77" t="s">
        <v>428</v>
      </c>
      <c r="F523" s="95">
        <v>4</v>
      </c>
      <c r="G523" s="78" t="s">
        <v>624</v>
      </c>
      <c r="H523" s="91">
        <f t="shared" si="31"/>
        <v>2024</v>
      </c>
      <c r="I523" s="7" t="s">
        <v>679</v>
      </c>
      <c r="J523" s="76" t="s">
        <v>666</v>
      </c>
    </row>
    <row r="524" spans="1:10">
      <c r="A524" s="75" t="str">
        <f t="shared" si="32"/>
        <v/>
      </c>
      <c r="B524" s="87">
        <v>21</v>
      </c>
      <c r="C524" s="96">
        <v>45535</v>
      </c>
      <c r="D524" s="76">
        <f t="shared" si="30"/>
        <v>8</v>
      </c>
      <c r="E524" s="77" t="s">
        <v>424</v>
      </c>
      <c r="F524" s="95">
        <v>4</v>
      </c>
      <c r="G524" s="78" t="s">
        <v>680</v>
      </c>
      <c r="H524" s="91">
        <f t="shared" si="31"/>
        <v>2024</v>
      </c>
      <c r="I524" s="7" t="s">
        <v>426</v>
      </c>
      <c r="J524" s="76" t="s">
        <v>666</v>
      </c>
    </row>
    <row r="525" spans="1:10">
      <c r="A525" s="75" t="str">
        <f t="shared" si="32"/>
        <v/>
      </c>
      <c r="B525" s="87">
        <v>22</v>
      </c>
      <c r="C525" s="96">
        <v>45535</v>
      </c>
      <c r="D525" s="76">
        <f t="shared" si="30"/>
        <v>8</v>
      </c>
      <c r="E525" s="77" t="s">
        <v>570</v>
      </c>
      <c r="F525" s="95">
        <v>4</v>
      </c>
      <c r="G525" s="78" t="s">
        <v>437</v>
      </c>
      <c r="H525" s="91">
        <f t="shared" si="31"/>
        <v>2024</v>
      </c>
      <c r="I525" s="7" t="s">
        <v>679</v>
      </c>
      <c r="J525" s="76" t="s">
        <v>666</v>
      </c>
    </row>
    <row r="526" spans="1:10">
      <c r="A526" s="75" t="str">
        <f t="shared" si="32"/>
        <v/>
      </c>
    </row>
    <row r="527" spans="1:10">
      <c r="A527" s="75" t="str">
        <f t="shared" si="32"/>
        <v/>
      </c>
      <c r="B527" s="87">
        <v>1</v>
      </c>
      <c r="C527" s="96">
        <v>45454</v>
      </c>
      <c r="D527" s="76">
        <f t="shared" ref="D527:D569" si="33">MONTH(C527)</f>
        <v>6</v>
      </c>
      <c r="E527" s="77" t="s">
        <v>424</v>
      </c>
      <c r="F527" s="95">
        <v>4</v>
      </c>
      <c r="G527" s="78" t="s">
        <v>681</v>
      </c>
      <c r="H527" s="91">
        <f t="shared" ref="H527:H569" si="34">YEAR(C527)</f>
        <v>2024</v>
      </c>
      <c r="I527" s="7" t="s">
        <v>426</v>
      </c>
      <c r="J527" s="76" t="s">
        <v>682</v>
      </c>
    </row>
    <row r="528" spans="1:10">
      <c r="A528" s="75" t="str">
        <f t="shared" si="32"/>
        <v/>
      </c>
      <c r="B528" s="87">
        <v>2</v>
      </c>
      <c r="C528" s="96">
        <v>45456</v>
      </c>
      <c r="D528" s="76">
        <f t="shared" si="33"/>
        <v>6</v>
      </c>
      <c r="E528" s="77" t="s">
        <v>424</v>
      </c>
      <c r="F528" s="95">
        <v>4</v>
      </c>
      <c r="G528" s="78" t="s">
        <v>683</v>
      </c>
      <c r="H528" s="91">
        <f t="shared" si="34"/>
        <v>2024</v>
      </c>
      <c r="I528" s="7" t="s">
        <v>426</v>
      </c>
      <c r="J528" s="76" t="s">
        <v>682</v>
      </c>
    </row>
    <row r="529" spans="1:10">
      <c r="A529" s="75" t="str">
        <f t="shared" si="32"/>
        <v/>
      </c>
      <c r="B529" s="87">
        <v>3</v>
      </c>
      <c r="C529" s="96">
        <v>45456</v>
      </c>
      <c r="D529" s="76">
        <f t="shared" si="33"/>
        <v>6</v>
      </c>
      <c r="E529" s="77" t="s">
        <v>428</v>
      </c>
      <c r="F529" s="95">
        <v>4</v>
      </c>
      <c r="G529" s="78" t="s">
        <v>559</v>
      </c>
      <c r="H529" s="91">
        <f t="shared" si="34"/>
        <v>2024</v>
      </c>
      <c r="I529" s="7" t="s">
        <v>426</v>
      </c>
      <c r="J529" s="76" t="s">
        <v>682</v>
      </c>
    </row>
    <row r="530" spans="1:10">
      <c r="A530" s="75" t="str">
        <f t="shared" si="32"/>
        <v/>
      </c>
      <c r="B530" s="87">
        <v>4</v>
      </c>
      <c r="C530" s="96">
        <v>45457</v>
      </c>
      <c r="D530" s="76">
        <f t="shared" si="33"/>
        <v>6</v>
      </c>
      <c r="E530" s="77" t="s">
        <v>438</v>
      </c>
      <c r="F530" s="95">
        <v>4</v>
      </c>
      <c r="G530" s="78" t="s">
        <v>442</v>
      </c>
      <c r="H530" s="91">
        <f t="shared" si="34"/>
        <v>2024</v>
      </c>
      <c r="I530" s="7" t="s">
        <v>426</v>
      </c>
      <c r="J530" s="76" t="s">
        <v>682</v>
      </c>
    </row>
    <row r="531" spans="1:10">
      <c r="A531" s="75" t="str">
        <f t="shared" si="32"/>
        <v/>
      </c>
      <c r="B531" s="87">
        <v>5</v>
      </c>
      <c r="C531" s="96">
        <v>45461</v>
      </c>
      <c r="D531" s="76">
        <f t="shared" si="33"/>
        <v>6</v>
      </c>
      <c r="E531" s="77" t="s">
        <v>454</v>
      </c>
      <c r="F531" s="95">
        <v>2</v>
      </c>
      <c r="G531" s="78" t="s">
        <v>684</v>
      </c>
      <c r="H531" s="91">
        <f t="shared" si="34"/>
        <v>2024</v>
      </c>
      <c r="I531" s="7" t="s">
        <v>426</v>
      </c>
      <c r="J531" s="76" t="s">
        <v>682</v>
      </c>
    </row>
    <row r="532" spans="1:10">
      <c r="A532" s="75" t="str">
        <f t="shared" si="32"/>
        <v/>
      </c>
      <c r="B532" s="87">
        <v>6</v>
      </c>
      <c r="C532" s="96">
        <v>45461</v>
      </c>
      <c r="D532" s="76">
        <f t="shared" si="33"/>
        <v>6</v>
      </c>
      <c r="E532" s="77" t="s">
        <v>454</v>
      </c>
      <c r="F532" s="95">
        <v>2</v>
      </c>
      <c r="G532" s="78" t="s">
        <v>685</v>
      </c>
      <c r="H532" s="91">
        <f t="shared" si="34"/>
        <v>2024</v>
      </c>
      <c r="I532" s="7" t="s">
        <v>426</v>
      </c>
      <c r="J532" s="76" t="s">
        <v>682</v>
      </c>
    </row>
    <row r="533" spans="1:10">
      <c r="A533" s="75" t="str">
        <f t="shared" si="32"/>
        <v/>
      </c>
      <c r="B533" s="87">
        <v>7</v>
      </c>
      <c r="C533" s="96">
        <v>45463</v>
      </c>
      <c r="D533" s="76">
        <f t="shared" si="33"/>
        <v>6</v>
      </c>
      <c r="E533" s="77" t="s">
        <v>686</v>
      </c>
      <c r="F533" s="95">
        <v>4</v>
      </c>
      <c r="G533" s="78" t="s">
        <v>437</v>
      </c>
      <c r="H533" s="91">
        <f t="shared" si="34"/>
        <v>2024</v>
      </c>
      <c r="I533" s="7" t="s">
        <v>426</v>
      </c>
      <c r="J533" s="76" t="s">
        <v>682</v>
      </c>
    </row>
    <row r="534" spans="1:10">
      <c r="A534" s="75" t="str">
        <f t="shared" si="32"/>
        <v/>
      </c>
      <c r="B534" s="87">
        <v>8</v>
      </c>
      <c r="C534" s="96">
        <v>45464</v>
      </c>
      <c r="D534" s="76">
        <f t="shared" si="33"/>
        <v>6</v>
      </c>
      <c r="E534" s="77" t="s">
        <v>424</v>
      </c>
      <c r="F534" s="95">
        <v>4</v>
      </c>
      <c r="G534" s="78" t="s">
        <v>473</v>
      </c>
      <c r="H534" s="91">
        <f t="shared" si="34"/>
        <v>2024</v>
      </c>
      <c r="I534" s="7" t="s">
        <v>426</v>
      </c>
      <c r="J534" s="76" t="s">
        <v>682</v>
      </c>
    </row>
    <row r="535" spans="1:10">
      <c r="A535" s="75" t="str">
        <f t="shared" si="32"/>
        <v/>
      </c>
      <c r="B535" s="87">
        <v>9</v>
      </c>
      <c r="C535" s="96">
        <v>45465</v>
      </c>
      <c r="D535" s="76">
        <f t="shared" si="33"/>
        <v>6</v>
      </c>
      <c r="E535" s="77" t="s">
        <v>686</v>
      </c>
      <c r="F535" s="95">
        <v>4</v>
      </c>
      <c r="G535" s="78" t="s">
        <v>687</v>
      </c>
      <c r="H535" s="91">
        <f t="shared" si="34"/>
        <v>2024</v>
      </c>
      <c r="I535" s="7" t="s">
        <v>426</v>
      </c>
      <c r="J535" s="76" t="s">
        <v>682</v>
      </c>
    </row>
    <row r="536" spans="1:10">
      <c r="A536" s="75" t="str">
        <f t="shared" si="32"/>
        <v/>
      </c>
      <c r="B536" s="87">
        <v>10</v>
      </c>
      <c r="C536" s="96">
        <v>45469</v>
      </c>
      <c r="D536" s="76">
        <f t="shared" si="33"/>
        <v>6</v>
      </c>
      <c r="E536" s="77" t="s">
        <v>424</v>
      </c>
      <c r="F536" s="95">
        <v>4</v>
      </c>
      <c r="G536" s="78" t="s">
        <v>555</v>
      </c>
      <c r="H536" s="91">
        <f t="shared" si="34"/>
        <v>2024</v>
      </c>
      <c r="I536" s="7" t="s">
        <v>426</v>
      </c>
      <c r="J536" s="76" t="s">
        <v>682</v>
      </c>
    </row>
    <row r="537" spans="1:10">
      <c r="A537" s="75" t="str">
        <f t="shared" si="32"/>
        <v/>
      </c>
      <c r="B537" s="87">
        <v>11</v>
      </c>
      <c r="C537" s="96">
        <v>45471</v>
      </c>
      <c r="D537" s="76">
        <f t="shared" si="33"/>
        <v>6</v>
      </c>
      <c r="E537" s="77" t="s">
        <v>438</v>
      </c>
      <c r="F537" s="95">
        <v>4</v>
      </c>
      <c r="G537" s="78" t="s">
        <v>555</v>
      </c>
      <c r="H537" s="91">
        <f t="shared" si="34"/>
        <v>2024</v>
      </c>
      <c r="I537" s="7" t="s">
        <v>426</v>
      </c>
      <c r="J537" s="76" t="s">
        <v>682</v>
      </c>
    </row>
    <row r="538" spans="1:10">
      <c r="A538" s="75" t="str">
        <f t="shared" si="32"/>
        <v/>
      </c>
      <c r="B538" s="87">
        <v>12</v>
      </c>
      <c r="C538" s="96">
        <v>45472</v>
      </c>
      <c r="D538" s="76">
        <f t="shared" si="33"/>
        <v>6</v>
      </c>
      <c r="E538" s="77" t="s">
        <v>431</v>
      </c>
      <c r="F538" s="95">
        <v>4</v>
      </c>
      <c r="G538" s="78" t="s">
        <v>596</v>
      </c>
      <c r="H538" s="91">
        <f t="shared" si="34"/>
        <v>2024</v>
      </c>
      <c r="I538" s="7" t="s">
        <v>426</v>
      </c>
      <c r="J538" s="76" t="s">
        <v>682</v>
      </c>
    </row>
    <row r="539" spans="1:10">
      <c r="A539" s="75" t="str">
        <f t="shared" si="32"/>
        <v/>
      </c>
      <c r="B539" s="87">
        <v>13</v>
      </c>
      <c r="C539" s="96">
        <v>45475</v>
      </c>
      <c r="D539" s="76">
        <f t="shared" si="33"/>
        <v>7</v>
      </c>
      <c r="E539" s="77" t="s">
        <v>428</v>
      </c>
      <c r="F539" s="95">
        <v>4</v>
      </c>
      <c r="G539" s="78" t="s">
        <v>688</v>
      </c>
      <c r="H539" s="91">
        <f t="shared" si="34"/>
        <v>2024</v>
      </c>
      <c r="I539" s="7" t="s">
        <v>426</v>
      </c>
      <c r="J539" s="76" t="s">
        <v>682</v>
      </c>
    </row>
    <row r="540" spans="1:10">
      <c r="A540" s="75" t="str">
        <f t="shared" si="32"/>
        <v/>
      </c>
      <c r="B540" s="87">
        <v>14</v>
      </c>
      <c r="C540" s="96">
        <v>45476</v>
      </c>
      <c r="D540" s="76">
        <f t="shared" si="33"/>
        <v>7</v>
      </c>
      <c r="E540" s="77" t="s">
        <v>686</v>
      </c>
      <c r="F540" s="95">
        <v>4</v>
      </c>
      <c r="G540" s="78" t="s">
        <v>437</v>
      </c>
      <c r="H540" s="91">
        <f t="shared" si="34"/>
        <v>2024</v>
      </c>
      <c r="I540" s="7" t="s">
        <v>426</v>
      </c>
      <c r="J540" s="76" t="s">
        <v>682</v>
      </c>
    </row>
    <row r="541" spans="1:10">
      <c r="A541" s="75" t="str">
        <f t="shared" si="32"/>
        <v/>
      </c>
      <c r="B541" s="87">
        <v>15</v>
      </c>
      <c r="C541" s="96">
        <v>45477</v>
      </c>
      <c r="D541" s="76">
        <f t="shared" si="33"/>
        <v>7</v>
      </c>
      <c r="E541" s="77" t="s">
        <v>570</v>
      </c>
      <c r="F541" s="95">
        <v>4</v>
      </c>
      <c r="G541" s="78" t="s">
        <v>437</v>
      </c>
      <c r="H541" s="91">
        <f t="shared" si="34"/>
        <v>2024</v>
      </c>
      <c r="I541" s="7" t="s">
        <v>426</v>
      </c>
      <c r="J541" s="76" t="s">
        <v>682</v>
      </c>
    </row>
    <row r="542" spans="1:10">
      <c r="A542" s="75" t="str">
        <f t="shared" si="32"/>
        <v/>
      </c>
      <c r="B542" s="87">
        <v>16</v>
      </c>
      <c r="C542" s="96">
        <v>45479</v>
      </c>
      <c r="D542" s="76">
        <f t="shared" si="33"/>
        <v>7</v>
      </c>
      <c r="E542" s="77" t="s">
        <v>438</v>
      </c>
      <c r="F542" s="95">
        <v>4</v>
      </c>
      <c r="G542" s="78" t="s">
        <v>437</v>
      </c>
      <c r="H542" s="91">
        <f t="shared" si="34"/>
        <v>2024</v>
      </c>
      <c r="I542" s="7" t="s">
        <v>426</v>
      </c>
      <c r="J542" s="76" t="s">
        <v>682</v>
      </c>
    </row>
    <row r="543" spans="1:10">
      <c r="A543" s="75" t="str">
        <f t="shared" si="32"/>
        <v/>
      </c>
      <c r="B543" s="87">
        <v>17</v>
      </c>
      <c r="C543" s="96">
        <v>45481</v>
      </c>
      <c r="D543" s="76">
        <f t="shared" si="33"/>
        <v>7</v>
      </c>
      <c r="E543" s="77" t="s">
        <v>424</v>
      </c>
      <c r="F543" s="95">
        <v>4</v>
      </c>
      <c r="G543" s="78" t="s">
        <v>513</v>
      </c>
      <c r="H543" s="91">
        <f t="shared" si="34"/>
        <v>2024</v>
      </c>
      <c r="I543" s="7" t="s">
        <v>426</v>
      </c>
      <c r="J543" s="76" t="s">
        <v>682</v>
      </c>
    </row>
    <row r="544" spans="1:10">
      <c r="A544" s="75" t="str">
        <f t="shared" si="32"/>
        <v/>
      </c>
      <c r="B544" s="87">
        <v>18</v>
      </c>
      <c r="C544" s="96">
        <v>45482</v>
      </c>
      <c r="D544" s="76">
        <f t="shared" si="33"/>
        <v>7</v>
      </c>
      <c r="E544" s="77" t="s">
        <v>454</v>
      </c>
      <c r="F544" s="95">
        <v>2</v>
      </c>
      <c r="G544" s="78" t="s">
        <v>475</v>
      </c>
      <c r="H544" s="91">
        <f t="shared" si="34"/>
        <v>2024</v>
      </c>
      <c r="I544" s="7" t="s">
        <v>426</v>
      </c>
      <c r="J544" s="76" t="s">
        <v>682</v>
      </c>
    </row>
    <row r="545" spans="1:10">
      <c r="A545" s="75" t="str">
        <f t="shared" si="32"/>
        <v/>
      </c>
      <c r="B545" s="87">
        <v>19</v>
      </c>
      <c r="C545" s="96">
        <v>45482</v>
      </c>
      <c r="D545" s="76">
        <f t="shared" si="33"/>
        <v>7</v>
      </c>
      <c r="E545" s="77" t="s">
        <v>454</v>
      </c>
      <c r="F545" s="95">
        <v>2</v>
      </c>
      <c r="G545" s="78" t="s">
        <v>611</v>
      </c>
      <c r="H545" s="91">
        <f t="shared" si="34"/>
        <v>2024</v>
      </c>
      <c r="I545" s="7" t="s">
        <v>426</v>
      </c>
      <c r="J545" s="76" t="s">
        <v>682</v>
      </c>
    </row>
    <row r="546" spans="1:10">
      <c r="A546" s="75" t="str">
        <f t="shared" si="32"/>
        <v/>
      </c>
      <c r="B546" s="87">
        <v>20</v>
      </c>
      <c r="C546" s="96">
        <v>45483</v>
      </c>
      <c r="D546" s="76">
        <f t="shared" si="33"/>
        <v>7</v>
      </c>
      <c r="E546" s="77" t="s">
        <v>433</v>
      </c>
      <c r="F546" s="95">
        <v>4</v>
      </c>
      <c r="G546" s="78" t="s">
        <v>470</v>
      </c>
      <c r="H546" s="91">
        <f t="shared" si="34"/>
        <v>2024</v>
      </c>
      <c r="I546" s="7" t="s">
        <v>426</v>
      </c>
      <c r="J546" s="76" t="s">
        <v>682</v>
      </c>
    </row>
    <row r="547" spans="1:10">
      <c r="A547" s="75" t="str">
        <f t="shared" si="32"/>
        <v/>
      </c>
      <c r="B547" s="87">
        <v>21</v>
      </c>
      <c r="C547" s="96">
        <v>45484</v>
      </c>
      <c r="D547" s="76">
        <f t="shared" si="33"/>
        <v>7</v>
      </c>
      <c r="E547" s="77" t="s">
        <v>428</v>
      </c>
      <c r="F547" s="95">
        <v>4</v>
      </c>
      <c r="G547" s="78" t="s">
        <v>567</v>
      </c>
      <c r="H547" s="91">
        <f t="shared" si="34"/>
        <v>2024</v>
      </c>
      <c r="I547" s="7" t="s">
        <v>426</v>
      </c>
      <c r="J547" s="76" t="s">
        <v>682</v>
      </c>
    </row>
    <row r="548" spans="1:10">
      <c r="A548" s="75" t="str">
        <f t="shared" si="32"/>
        <v/>
      </c>
      <c r="B548" s="87">
        <v>22</v>
      </c>
      <c r="C548" s="96">
        <v>45485</v>
      </c>
      <c r="D548" s="76">
        <f t="shared" si="33"/>
        <v>7</v>
      </c>
      <c r="E548" s="77" t="s">
        <v>570</v>
      </c>
      <c r="F548" s="95">
        <v>4</v>
      </c>
      <c r="G548" s="78" t="s">
        <v>585</v>
      </c>
      <c r="H548" s="91">
        <f t="shared" si="34"/>
        <v>2024</v>
      </c>
      <c r="I548" s="7" t="s">
        <v>426</v>
      </c>
      <c r="J548" s="76" t="s">
        <v>682</v>
      </c>
    </row>
    <row r="549" spans="1:10">
      <c r="A549" s="75" t="str">
        <f t="shared" si="32"/>
        <v/>
      </c>
      <c r="B549" s="87">
        <v>23</v>
      </c>
      <c r="C549" s="96">
        <v>45446</v>
      </c>
      <c r="D549" s="76">
        <f t="shared" si="33"/>
        <v>6</v>
      </c>
      <c r="E549" s="77" t="s">
        <v>453</v>
      </c>
      <c r="F549" s="95">
        <v>4</v>
      </c>
      <c r="G549" s="78" t="s">
        <v>680</v>
      </c>
      <c r="H549" s="91">
        <f t="shared" si="34"/>
        <v>2024</v>
      </c>
      <c r="I549" s="7" t="s">
        <v>625</v>
      </c>
      <c r="J549" s="76" t="s">
        <v>682</v>
      </c>
    </row>
    <row r="550" spans="1:10">
      <c r="A550" s="75" t="str">
        <f t="shared" si="32"/>
        <v/>
      </c>
      <c r="B550" s="87">
        <v>24</v>
      </c>
      <c r="C550" s="96">
        <v>45448</v>
      </c>
      <c r="D550" s="76">
        <f t="shared" si="33"/>
        <v>6</v>
      </c>
      <c r="E550" s="77" t="s">
        <v>689</v>
      </c>
      <c r="F550" s="95">
        <v>4</v>
      </c>
      <c r="G550" s="78" t="s">
        <v>636</v>
      </c>
      <c r="H550" s="91">
        <f t="shared" si="34"/>
        <v>2024</v>
      </c>
      <c r="I550" s="7" t="s">
        <v>623</v>
      </c>
      <c r="J550" s="76" t="s">
        <v>682</v>
      </c>
    </row>
    <row r="551" spans="1:10">
      <c r="A551" s="75" t="str">
        <f t="shared" si="32"/>
        <v/>
      </c>
      <c r="B551" s="87">
        <v>25</v>
      </c>
      <c r="C551" s="96">
        <v>45450</v>
      </c>
      <c r="D551" s="76">
        <f t="shared" si="33"/>
        <v>6</v>
      </c>
      <c r="E551" s="77" t="s">
        <v>492</v>
      </c>
      <c r="F551" s="95">
        <v>4</v>
      </c>
      <c r="G551" s="78" t="s">
        <v>636</v>
      </c>
      <c r="H551" s="91">
        <f t="shared" si="34"/>
        <v>2024</v>
      </c>
      <c r="I551" s="7" t="s">
        <v>625</v>
      </c>
      <c r="J551" s="76" t="s">
        <v>682</v>
      </c>
    </row>
    <row r="552" spans="1:10">
      <c r="A552" s="75" t="str">
        <f t="shared" si="32"/>
        <v/>
      </c>
      <c r="B552" s="87">
        <v>26</v>
      </c>
      <c r="C552" s="96">
        <v>45451</v>
      </c>
      <c r="D552" s="76">
        <f t="shared" si="33"/>
        <v>6</v>
      </c>
      <c r="E552" s="77" t="s">
        <v>428</v>
      </c>
      <c r="F552" s="95">
        <v>4</v>
      </c>
      <c r="G552" s="78" t="s">
        <v>636</v>
      </c>
      <c r="H552" s="91">
        <f t="shared" si="34"/>
        <v>2024</v>
      </c>
      <c r="I552" s="7" t="s">
        <v>625</v>
      </c>
      <c r="J552" s="76" t="s">
        <v>682</v>
      </c>
    </row>
    <row r="553" spans="1:10">
      <c r="A553" s="75" t="str">
        <f t="shared" si="32"/>
        <v/>
      </c>
      <c r="B553" s="87">
        <v>27</v>
      </c>
      <c r="C553" s="96">
        <v>45451</v>
      </c>
      <c r="D553" s="76">
        <f t="shared" si="33"/>
        <v>6</v>
      </c>
      <c r="E553" s="77" t="s">
        <v>690</v>
      </c>
      <c r="F553" s="95">
        <v>4</v>
      </c>
      <c r="G553" s="78" t="s">
        <v>437</v>
      </c>
      <c r="H553" s="91">
        <f t="shared" si="34"/>
        <v>2024</v>
      </c>
      <c r="I553" s="7" t="s">
        <v>653</v>
      </c>
      <c r="J553" s="76" t="s">
        <v>682</v>
      </c>
    </row>
    <row r="554" spans="1:10">
      <c r="A554" s="75" t="str">
        <f t="shared" si="32"/>
        <v/>
      </c>
      <c r="B554" s="87">
        <v>28</v>
      </c>
      <c r="C554" s="96">
        <v>45451</v>
      </c>
      <c r="D554" s="76">
        <f t="shared" si="33"/>
        <v>6</v>
      </c>
      <c r="E554" s="77" t="s">
        <v>424</v>
      </c>
      <c r="F554" s="95">
        <v>4</v>
      </c>
      <c r="G554" s="78" t="s">
        <v>585</v>
      </c>
      <c r="H554" s="91">
        <f t="shared" si="34"/>
        <v>2024</v>
      </c>
      <c r="I554" s="7" t="s">
        <v>623</v>
      </c>
      <c r="J554" s="76" t="s">
        <v>682</v>
      </c>
    </row>
    <row r="555" spans="1:10">
      <c r="A555" s="75" t="str">
        <f t="shared" si="32"/>
        <v/>
      </c>
      <c r="B555" s="87">
        <v>29</v>
      </c>
      <c r="C555" s="96">
        <v>45455</v>
      </c>
      <c r="D555" s="76">
        <f t="shared" si="33"/>
        <v>6</v>
      </c>
      <c r="E555" s="77" t="s">
        <v>570</v>
      </c>
      <c r="F555" s="95">
        <v>4</v>
      </c>
      <c r="G555" s="78" t="s">
        <v>636</v>
      </c>
      <c r="H555" s="91">
        <f t="shared" si="34"/>
        <v>2024</v>
      </c>
      <c r="I555" s="7" t="s">
        <v>653</v>
      </c>
      <c r="J555" s="76" t="s">
        <v>682</v>
      </c>
    </row>
    <row r="556" spans="1:10">
      <c r="A556" s="75" t="str">
        <f t="shared" si="32"/>
        <v/>
      </c>
      <c r="B556" s="87">
        <v>30</v>
      </c>
      <c r="C556" s="96">
        <v>45455</v>
      </c>
      <c r="D556" s="76">
        <f t="shared" si="33"/>
        <v>6</v>
      </c>
      <c r="E556" s="77" t="s">
        <v>438</v>
      </c>
      <c r="F556" s="95">
        <v>4</v>
      </c>
      <c r="G556" s="78" t="s">
        <v>691</v>
      </c>
      <c r="H556" s="91">
        <f t="shared" si="34"/>
        <v>2024</v>
      </c>
      <c r="I556" s="7" t="s">
        <v>625</v>
      </c>
      <c r="J556" s="76" t="s">
        <v>682</v>
      </c>
    </row>
    <row r="557" spans="1:10">
      <c r="A557" s="75" t="str">
        <f t="shared" si="32"/>
        <v/>
      </c>
      <c r="B557" s="87">
        <v>31</v>
      </c>
      <c r="C557" s="96">
        <v>45455</v>
      </c>
      <c r="D557" s="76">
        <f t="shared" si="33"/>
        <v>6</v>
      </c>
      <c r="E557" s="77" t="s">
        <v>689</v>
      </c>
      <c r="F557" s="95">
        <v>4</v>
      </c>
      <c r="G557" s="78" t="s">
        <v>636</v>
      </c>
      <c r="H557" s="91">
        <f t="shared" si="34"/>
        <v>2024</v>
      </c>
      <c r="I557" s="7" t="s">
        <v>625</v>
      </c>
      <c r="J557" s="76" t="s">
        <v>682</v>
      </c>
    </row>
    <row r="558" spans="1:10">
      <c r="A558" s="75" t="str">
        <f t="shared" si="32"/>
        <v/>
      </c>
      <c r="B558" s="87">
        <v>32</v>
      </c>
      <c r="C558" s="96">
        <v>45457</v>
      </c>
      <c r="D558" s="76">
        <f t="shared" si="33"/>
        <v>6</v>
      </c>
      <c r="E558" s="77" t="s">
        <v>433</v>
      </c>
      <c r="F558" s="95">
        <v>4</v>
      </c>
      <c r="G558" s="78" t="s">
        <v>493</v>
      </c>
      <c r="H558" s="91">
        <f t="shared" si="34"/>
        <v>2024</v>
      </c>
      <c r="I558" s="7" t="s">
        <v>623</v>
      </c>
      <c r="J558" s="76" t="s">
        <v>682</v>
      </c>
    </row>
    <row r="559" spans="1:10">
      <c r="A559" s="75" t="str">
        <f t="shared" si="32"/>
        <v/>
      </c>
      <c r="B559" s="87">
        <v>33</v>
      </c>
      <c r="C559" s="96">
        <v>45458</v>
      </c>
      <c r="D559" s="76">
        <f t="shared" si="33"/>
        <v>6</v>
      </c>
      <c r="E559" s="77" t="s">
        <v>433</v>
      </c>
      <c r="F559" s="95">
        <v>4</v>
      </c>
      <c r="G559" s="78" t="s">
        <v>559</v>
      </c>
      <c r="H559" s="91">
        <f t="shared" si="34"/>
        <v>2024</v>
      </c>
      <c r="I559" s="7" t="s">
        <v>623</v>
      </c>
      <c r="J559" s="76" t="s">
        <v>682</v>
      </c>
    </row>
    <row r="560" spans="1:10">
      <c r="A560" s="75" t="str">
        <f t="shared" si="32"/>
        <v/>
      </c>
      <c r="B560" s="87">
        <v>34</v>
      </c>
      <c r="C560" s="96">
        <v>45459</v>
      </c>
      <c r="D560" s="76">
        <f t="shared" si="33"/>
        <v>6</v>
      </c>
      <c r="E560" s="77" t="s">
        <v>438</v>
      </c>
      <c r="F560" s="95">
        <v>4</v>
      </c>
      <c r="G560" s="78" t="s">
        <v>636</v>
      </c>
      <c r="H560" s="91">
        <f t="shared" si="34"/>
        <v>2024</v>
      </c>
      <c r="I560" s="7" t="s">
        <v>625</v>
      </c>
      <c r="J560" s="76" t="s">
        <v>682</v>
      </c>
    </row>
    <row r="561" spans="1:10">
      <c r="A561" s="75" t="str">
        <f t="shared" si="32"/>
        <v/>
      </c>
      <c r="B561" s="87">
        <v>35</v>
      </c>
      <c r="C561" s="96">
        <v>45463</v>
      </c>
      <c r="D561" s="76">
        <f t="shared" si="33"/>
        <v>6</v>
      </c>
      <c r="E561" s="77" t="s">
        <v>428</v>
      </c>
      <c r="F561" s="95">
        <v>4</v>
      </c>
      <c r="G561" s="78" t="s">
        <v>636</v>
      </c>
      <c r="H561" s="91">
        <f t="shared" si="34"/>
        <v>2024</v>
      </c>
      <c r="I561" s="7" t="s">
        <v>625</v>
      </c>
      <c r="J561" s="76" t="s">
        <v>682</v>
      </c>
    </row>
    <row r="562" spans="1:10">
      <c r="A562" s="75" t="str">
        <f t="shared" si="32"/>
        <v/>
      </c>
      <c r="B562" s="87">
        <v>36</v>
      </c>
      <c r="C562" s="96">
        <v>45464</v>
      </c>
      <c r="D562" s="76">
        <f t="shared" si="33"/>
        <v>6</v>
      </c>
      <c r="E562" s="77" t="s">
        <v>690</v>
      </c>
      <c r="F562" s="95">
        <v>4</v>
      </c>
      <c r="G562" s="78" t="s">
        <v>636</v>
      </c>
      <c r="H562" s="91">
        <f t="shared" si="34"/>
        <v>2024</v>
      </c>
      <c r="I562" s="7" t="s">
        <v>625</v>
      </c>
      <c r="J562" s="76" t="s">
        <v>682</v>
      </c>
    </row>
    <row r="563" spans="1:10">
      <c r="A563" s="75" t="str">
        <f t="shared" si="32"/>
        <v/>
      </c>
      <c r="B563" s="87">
        <v>37</v>
      </c>
      <c r="C563" s="96">
        <v>45464</v>
      </c>
      <c r="D563" s="76">
        <f t="shared" si="33"/>
        <v>6</v>
      </c>
      <c r="E563" s="77" t="s">
        <v>433</v>
      </c>
      <c r="F563" s="95">
        <v>4</v>
      </c>
      <c r="G563" s="78" t="s">
        <v>674</v>
      </c>
      <c r="H563" s="91">
        <f t="shared" si="34"/>
        <v>2024</v>
      </c>
      <c r="I563" s="7" t="s">
        <v>692</v>
      </c>
      <c r="J563" s="76" t="s">
        <v>682</v>
      </c>
    </row>
    <row r="564" spans="1:10">
      <c r="A564" s="75" t="str">
        <f t="shared" si="32"/>
        <v/>
      </c>
      <c r="B564" s="87">
        <v>38</v>
      </c>
      <c r="C564" s="96">
        <v>45467</v>
      </c>
      <c r="D564" s="76">
        <f t="shared" si="33"/>
        <v>6</v>
      </c>
      <c r="E564" s="77" t="s">
        <v>424</v>
      </c>
      <c r="F564" s="95">
        <v>4</v>
      </c>
      <c r="G564" s="78" t="s">
        <v>636</v>
      </c>
      <c r="H564" s="91">
        <f t="shared" si="34"/>
        <v>2024</v>
      </c>
      <c r="I564" s="7" t="s">
        <v>625</v>
      </c>
      <c r="J564" s="76" t="s">
        <v>682</v>
      </c>
    </row>
    <row r="565" spans="1:10">
      <c r="A565" s="75" t="str">
        <f t="shared" si="32"/>
        <v/>
      </c>
      <c r="B565" s="87">
        <v>39</v>
      </c>
      <c r="C565" s="96">
        <v>45469</v>
      </c>
      <c r="D565" s="76">
        <f t="shared" si="33"/>
        <v>6</v>
      </c>
      <c r="E565" s="77" t="s">
        <v>686</v>
      </c>
      <c r="F565" s="95">
        <v>4</v>
      </c>
      <c r="G565" s="78" t="s">
        <v>507</v>
      </c>
      <c r="H565" s="91">
        <f t="shared" si="34"/>
        <v>2024</v>
      </c>
      <c r="I565" s="7" t="s">
        <v>623</v>
      </c>
      <c r="J565" s="76" t="s">
        <v>682</v>
      </c>
    </row>
    <row r="566" spans="1:10">
      <c r="A566" s="75" t="str">
        <f t="shared" si="32"/>
        <v/>
      </c>
      <c r="B566" s="87">
        <v>40</v>
      </c>
      <c r="C566" s="96">
        <v>45469</v>
      </c>
      <c r="D566" s="76">
        <f t="shared" si="33"/>
        <v>6</v>
      </c>
      <c r="E566" s="77" t="s">
        <v>438</v>
      </c>
      <c r="F566" s="95">
        <v>4</v>
      </c>
      <c r="G566" s="78" t="s">
        <v>636</v>
      </c>
      <c r="H566" s="91">
        <f t="shared" si="34"/>
        <v>2024</v>
      </c>
      <c r="I566" s="7" t="s">
        <v>653</v>
      </c>
      <c r="J566" s="76" t="s">
        <v>682</v>
      </c>
    </row>
    <row r="567" spans="1:10">
      <c r="A567" s="75" t="str">
        <f t="shared" si="32"/>
        <v/>
      </c>
      <c r="B567" s="87">
        <v>41</v>
      </c>
      <c r="C567" s="96">
        <v>45470</v>
      </c>
      <c r="D567" s="76">
        <f t="shared" si="33"/>
        <v>6</v>
      </c>
      <c r="E567" s="77" t="s">
        <v>690</v>
      </c>
      <c r="F567" s="95">
        <v>4</v>
      </c>
      <c r="G567" s="78" t="s">
        <v>636</v>
      </c>
      <c r="H567" s="91">
        <f t="shared" si="34"/>
        <v>2024</v>
      </c>
      <c r="I567" s="7" t="s">
        <v>625</v>
      </c>
      <c r="J567" s="76" t="s">
        <v>682</v>
      </c>
    </row>
    <row r="568" spans="1:10">
      <c r="A568" s="75" t="str">
        <f t="shared" si="32"/>
        <v/>
      </c>
      <c r="B568" s="87">
        <v>42</v>
      </c>
      <c r="C568" s="96">
        <v>45474</v>
      </c>
      <c r="D568" s="76">
        <f t="shared" si="33"/>
        <v>7</v>
      </c>
      <c r="E568" s="77" t="s">
        <v>453</v>
      </c>
      <c r="F568" s="95">
        <v>4</v>
      </c>
      <c r="G568" s="78" t="s">
        <v>693</v>
      </c>
      <c r="H568" s="91">
        <f t="shared" si="34"/>
        <v>2024</v>
      </c>
      <c r="I568" s="7" t="s">
        <v>625</v>
      </c>
      <c r="J568" s="76" t="s">
        <v>682</v>
      </c>
    </row>
    <row r="569" spans="1:10">
      <c r="A569" s="75" t="str">
        <f t="shared" si="32"/>
        <v/>
      </c>
      <c r="B569" s="87">
        <v>43</v>
      </c>
      <c r="C569" s="96">
        <v>45479</v>
      </c>
      <c r="D569" s="76">
        <f t="shared" si="33"/>
        <v>7</v>
      </c>
      <c r="E569" s="77" t="s">
        <v>570</v>
      </c>
      <c r="F569" s="95">
        <v>4</v>
      </c>
      <c r="G569" s="78" t="s">
        <v>439</v>
      </c>
      <c r="H569" s="91">
        <f t="shared" si="34"/>
        <v>2024</v>
      </c>
      <c r="I569" s="7" t="s">
        <v>653</v>
      </c>
      <c r="J569" s="76" t="s">
        <v>682</v>
      </c>
    </row>
    <row r="570" spans="1:10">
      <c r="A570" s="75" t="str">
        <f t="shared" si="32"/>
        <v/>
      </c>
    </row>
    <row r="571" spans="1:10">
      <c r="A571" s="75" t="str">
        <f t="shared" si="32"/>
        <v/>
      </c>
      <c r="B571" s="87">
        <v>1</v>
      </c>
      <c r="C571" s="96">
        <v>45486</v>
      </c>
      <c r="D571" s="76">
        <f t="shared" ref="D571:D602" si="35">MONTH(C571)</f>
        <v>7</v>
      </c>
      <c r="E571" s="77" t="s">
        <v>433</v>
      </c>
      <c r="F571" s="95">
        <v>4</v>
      </c>
      <c r="G571" s="78" t="s">
        <v>446</v>
      </c>
      <c r="H571" s="91">
        <f t="shared" ref="H571:H602" si="36">YEAR(C571)</f>
        <v>2024</v>
      </c>
      <c r="I571" s="7" t="s">
        <v>426</v>
      </c>
      <c r="J571" s="76" t="s">
        <v>694</v>
      </c>
    </row>
    <row r="572" spans="1:10">
      <c r="A572" s="75" t="str">
        <f t="shared" si="32"/>
        <v/>
      </c>
      <c r="B572" s="87">
        <v>2</v>
      </c>
      <c r="C572" s="96">
        <v>45488</v>
      </c>
      <c r="D572" s="76">
        <f t="shared" si="35"/>
        <v>7</v>
      </c>
      <c r="E572" s="77" t="s">
        <v>492</v>
      </c>
      <c r="F572" s="95">
        <v>4</v>
      </c>
      <c r="G572" s="78" t="s">
        <v>446</v>
      </c>
      <c r="H572" s="91">
        <f t="shared" si="36"/>
        <v>2024</v>
      </c>
      <c r="I572" s="7" t="s">
        <v>426</v>
      </c>
      <c r="J572" s="76" t="s">
        <v>694</v>
      </c>
    </row>
    <row r="573" spans="1:10">
      <c r="A573" s="75" t="str">
        <f t="shared" si="32"/>
        <v/>
      </c>
      <c r="B573" s="87">
        <v>3</v>
      </c>
      <c r="C573" s="96">
        <v>45489</v>
      </c>
      <c r="D573" s="76">
        <f t="shared" si="35"/>
        <v>7</v>
      </c>
      <c r="E573" s="77" t="s">
        <v>438</v>
      </c>
      <c r="F573" s="95">
        <v>4</v>
      </c>
      <c r="G573" s="78" t="s">
        <v>473</v>
      </c>
      <c r="H573" s="91">
        <f t="shared" si="36"/>
        <v>2024</v>
      </c>
      <c r="I573" s="7" t="s">
        <v>426</v>
      </c>
      <c r="J573" s="76" t="s">
        <v>694</v>
      </c>
    </row>
    <row r="574" spans="1:10">
      <c r="A574" s="75" t="str">
        <f t="shared" si="32"/>
        <v/>
      </c>
      <c r="B574" s="87">
        <v>4</v>
      </c>
      <c r="C574" s="96">
        <v>45490</v>
      </c>
      <c r="D574" s="76">
        <f t="shared" si="35"/>
        <v>7</v>
      </c>
      <c r="E574" s="77" t="s">
        <v>453</v>
      </c>
      <c r="F574" s="95">
        <v>4</v>
      </c>
      <c r="G574" s="78" t="s">
        <v>693</v>
      </c>
      <c r="H574" s="91">
        <f t="shared" si="36"/>
        <v>2024</v>
      </c>
      <c r="I574" s="7" t="s">
        <v>426</v>
      </c>
      <c r="J574" s="76" t="s">
        <v>694</v>
      </c>
    </row>
    <row r="575" spans="1:10">
      <c r="A575" s="75" t="str">
        <f t="shared" si="32"/>
        <v/>
      </c>
      <c r="B575" s="87">
        <v>5</v>
      </c>
      <c r="C575" s="96">
        <v>45490</v>
      </c>
      <c r="D575" s="76">
        <f t="shared" si="35"/>
        <v>7</v>
      </c>
      <c r="E575" s="77" t="s">
        <v>449</v>
      </c>
      <c r="F575" s="95">
        <v>2</v>
      </c>
      <c r="G575" s="78" t="s">
        <v>437</v>
      </c>
      <c r="H575" s="91">
        <f t="shared" si="36"/>
        <v>2024</v>
      </c>
      <c r="I575" s="7" t="s">
        <v>426</v>
      </c>
      <c r="J575" s="76" t="s">
        <v>694</v>
      </c>
    </row>
    <row r="576" spans="1:10">
      <c r="A576" s="75" t="str">
        <f t="shared" si="32"/>
        <v/>
      </c>
      <c r="B576" s="87">
        <v>6</v>
      </c>
      <c r="C576" s="96">
        <v>45490</v>
      </c>
      <c r="D576" s="76">
        <f t="shared" si="35"/>
        <v>7</v>
      </c>
      <c r="E576" s="77" t="s">
        <v>695</v>
      </c>
      <c r="F576" s="95">
        <v>2</v>
      </c>
      <c r="G576" s="78" t="s">
        <v>549</v>
      </c>
      <c r="H576" s="91">
        <f t="shared" si="36"/>
        <v>2024</v>
      </c>
      <c r="I576" s="7" t="s">
        <v>426</v>
      </c>
      <c r="J576" s="76" t="s">
        <v>694</v>
      </c>
    </row>
    <row r="577" spans="1:10">
      <c r="A577" s="75" t="str">
        <f t="shared" si="32"/>
        <v/>
      </c>
      <c r="B577" s="87">
        <v>7</v>
      </c>
      <c r="C577" s="96">
        <v>45491</v>
      </c>
      <c r="D577" s="76">
        <f t="shared" si="35"/>
        <v>7</v>
      </c>
      <c r="E577" s="77" t="s">
        <v>695</v>
      </c>
      <c r="F577" s="95">
        <v>2</v>
      </c>
      <c r="G577" s="78" t="s">
        <v>506</v>
      </c>
      <c r="H577" s="91">
        <f t="shared" si="36"/>
        <v>2024</v>
      </c>
      <c r="I577" s="7" t="s">
        <v>426</v>
      </c>
      <c r="J577" s="76" t="s">
        <v>694</v>
      </c>
    </row>
    <row r="578" spans="1:10">
      <c r="A578" s="75" t="str">
        <f t="shared" si="32"/>
        <v/>
      </c>
      <c r="B578" s="87">
        <v>8</v>
      </c>
      <c r="C578" s="96">
        <v>45491</v>
      </c>
      <c r="D578" s="76">
        <f t="shared" si="35"/>
        <v>7</v>
      </c>
      <c r="E578" s="77" t="s">
        <v>695</v>
      </c>
      <c r="F578" s="95">
        <v>2</v>
      </c>
      <c r="G578" s="78" t="s">
        <v>696</v>
      </c>
      <c r="H578" s="91">
        <f t="shared" si="36"/>
        <v>2024</v>
      </c>
      <c r="I578" s="7" t="s">
        <v>426</v>
      </c>
      <c r="J578" s="76" t="s">
        <v>694</v>
      </c>
    </row>
    <row r="579" spans="1:10">
      <c r="A579" s="75" t="str">
        <f t="shared" si="32"/>
        <v/>
      </c>
      <c r="B579" s="87">
        <v>9</v>
      </c>
      <c r="C579" s="96">
        <v>45492</v>
      </c>
      <c r="D579" s="76">
        <f t="shared" si="35"/>
        <v>7</v>
      </c>
      <c r="E579" s="77" t="s">
        <v>695</v>
      </c>
      <c r="F579" s="95">
        <v>2</v>
      </c>
      <c r="G579" s="78" t="s">
        <v>442</v>
      </c>
      <c r="H579" s="91">
        <f t="shared" si="36"/>
        <v>2024</v>
      </c>
      <c r="I579" s="7" t="s">
        <v>426</v>
      </c>
      <c r="J579" s="76" t="s">
        <v>694</v>
      </c>
    </row>
    <row r="580" spans="1:10">
      <c r="A580" s="75" t="str">
        <f t="shared" si="32"/>
        <v/>
      </c>
      <c r="B580" s="87">
        <v>10</v>
      </c>
      <c r="C580" s="96">
        <v>45492</v>
      </c>
      <c r="D580" s="76">
        <f t="shared" si="35"/>
        <v>7</v>
      </c>
      <c r="E580" s="77" t="s">
        <v>449</v>
      </c>
      <c r="F580" s="95">
        <v>2</v>
      </c>
      <c r="G580" s="78" t="s">
        <v>697</v>
      </c>
      <c r="H580" s="91">
        <f t="shared" si="36"/>
        <v>2024</v>
      </c>
      <c r="I580" s="7" t="s">
        <v>426</v>
      </c>
      <c r="J580" s="76" t="s">
        <v>694</v>
      </c>
    </row>
    <row r="581" spans="1:10">
      <c r="A581" s="75" t="str">
        <f t="shared" si="32"/>
        <v/>
      </c>
      <c r="B581" s="87">
        <v>11</v>
      </c>
      <c r="C581" s="96">
        <v>45493</v>
      </c>
      <c r="D581" s="76">
        <f t="shared" si="35"/>
        <v>7</v>
      </c>
      <c r="E581" s="77" t="s">
        <v>695</v>
      </c>
      <c r="F581" s="95">
        <v>2</v>
      </c>
      <c r="G581" s="78" t="s">
        <v>698</v>
      </c>
      <c r="H581" s="91">
        <f t="shared" si="36"/>
        <v>2024</v>
      </c>
      <c r="I581" s="7" t="s">
        <v>426</v>
      </c>
      <c r="J581" s="76" t="s">
        <v>694</v>
      </c>
    </row>
    <row r="582" spans="1:10">
      <c r="A582" s="75" t="str">
        <f t="shared" si="32"/>
        <v/>
      </c>
      <c r="B582" s="87">
        <v>12</v>
      </c>
      <c r="C582" s="96">
        <v>45493</v>
      </c>
      <c r="D582" s="76">
        <f t="shared" si="35"/>
        <v>7</v>
      </c>
      <c r="E582" s="77" t="s">
        <v>699</v>
      </c>
      <c r="F582" s="95">
        <v>2</v>
      </c>
      <c r="G582" s="78" t="s">
        <v>700</v>
      </c>
      <c r="H582" s="91">
        <f t="shared" si="36"/>
        <v>2024</v>
      </c>
      <c r="I582" s="7" t="s">
        <v>426</v>
      </c>
      <c r="J582" s="76" t="s">
        <v>694</v>
      </c>
    </row>
    <row r="583" spans="1:10">
      <c r="A583" s="75" t="str">
        <f t="shared" si="32"/>
        <v/>
      </c>
      <c r="B583" s="87">
        <v>13</v>
      </c>
      <c r="C583" s="96">
        <v>45495</v>
      </c>
      <c r="D583" s="76">
        <f t="shared" si="35"/>
        <v>7</v>
      </c>
      <c r="E583" s="77" t="s">
        <v>449</v>
      </c>
      <c r="F583" s="95">
        <v>2</v>
      </c>
      <c r="G583" s="78" t="s">
        <v>471</v>
      </c>
      <c r="H583" s="91">
        <f t="shared" si="36"/>
        <v>2024</v>
      </c>
      <c r="I583" s="7" t="s">
        <v>426</v>
      </c>
      <c r="J583" s="76" t="s">
        <v>694</v>
      </c>
    </row>
    <row r="584" spans="1:10">
      <c r="A584" s="75" t="str">
        <f t="shared" si="32"/>
        <v/>
      </c>
      <c r="B584" s="87">
        <v>14</v>
      </c>
      <c r="C584" s="96">
        <v>45495</v>
      </c>
      <c r="D584" s="76">
        <f t="shared" si="35"/>
        <v>7</v>
      </c>
      <c r="E584" s="77" t="s">
        <v>449</v>
      </c>
      <c r="F584" s="95">
        <v>2</v>
      </c>
      <c r="G584" s="78" t="s">
        <v>443</v>
      </c>
      <c r="H584" s="91">
        <f t="shared" si="36"/>
        <v>2024</v>
      </c>
      <c r="I584" s="7" t="s">
        <v>426</v>
      </c>
      <c r="J584" s="76" t="s">
        <v>694</v>
      </c>
    </row>
    <row r="585" spans="1:10">
      <c r="A585" s="75" t="str">
        <f t="shared" si="32"/>
        <v/>
      </c>
      <c r="B585" s="87">
        <v>15</v>
      </c>
      <c r="C585" s="96">
        <v>45496</v>
      </c>
      <c r="D585" s="76">
        <f t="shared" si="35"/>
        <v>7</v>
      </c>
      <c r="E585" s="77" t="s">
        <v>449</v>
      </c>
      <c r="F585" s="95">
        <v>2</v>
      </c>
      <c r="G585" s="78" t="s">
        <v>439</v>
      </c>
      <c r="H585" s="91">
        <f t="shared" si="36"/>
        <v>2024</v>
      </c>
      <c r="I585" s="7" t="s">
        <v>426</v>
      </c>
      <c r="J585" s="76" t="s">
        <v>694</v>
      </c>
    </row>
    <row r="586" spans="1:10">
      <c r="A586" s="75" t="str">
        <f t="shared" si="32"/>
        <v/>
      </c>
      <c r="B586" s="87">
        <v>16</v>
      </c>
      <c r="C586" s="96">
        <v>45496</v>
      </c>
      <c r="D586" s="76">
        <f t="shared" si="35"/>
        <v>7</v>
      </c>
      <c r="E586" s="77" t="s">
        <v>449</v>
      </c>
      <c r="F586" s="95">
        <v>2</v>
      </c>
      <c r="G586" s="78" t="s">
        <v>506</v>
      </c>
      <c r="H586" s="91">
        <f t="shared" si="36"/>
        <v>2024</v>
      </c>
      <c r="I586" s="7" t="s">
        <v>426</v>
      </c>
      <c r="J586" s="76" t="s">
        <v>694</v>
      </c>
    </row>
    <row r="587" spans="1:10">
      <c r="A587" s="75" t="str">
        <f t="shared" ref="A587:A650" si="37">IF(AND($E$3="ALL",$E$4="ALL"),"ALL",IF(AND($E$3="ALL",$E$4&lt;&gt;"ALL"),IF(D587=$E$4,D587,""),IF(AND($E$3&lt;&gt;"ALL",$E$4="ALL"),IF(I587=$E$3,I587,""),"")))</f>
        <v/>
      </c>
      <c r="B587" s="87">
        <v>17</v>
      </c>
      <c r="C587" s="96">
        <v>45497</v>
      </c>
      <c r="D587" s="76">
        <f t="shared" si="35"/>
        <v>7</v>
      </c>
      <c r="E587" s="77" t="s">
        <v>695</v>
      </c>
      <c r="F587" s="95">
        <v>2</v>
      </c>
      <c r="G587" s="78" t="s">
        <v>701</v>
      </c>
      <c r="H587" s="91">
        <f t="shared" si="36"/>
        <v>2024</v>
      </c>
      <c r="I587" s="7" t="s">
        <v>426</v>
      </c>
      <c r="J587" s="76" t="s">
        <v>694</v>
      </c>
    </row>
    <row r="588" spans="1:10">
      <c r="A588" s="75" t="str">
        <f t="shared" si="37"/>
        <v/>
      </c>
      <c r="B588" s="87">
        <v>18</v>
      </c>
      <c r="C588" s="96">
        <v>45497</v>
      </c>
      <c r="D588" s="76">
        <f t="shared" si="35"/>
        <v>7</v>
      </c>
      <c r="E588" s="77" t="s">
        <v>699</v>
      </c>
      <c r="F588" s="95">
        <v>2</v>
      </c>
      <c r="G588" s="78" t="s">
        <v>702</v>
      </c>
      <c r="H588" s="91">
        <f t="shared" si="36"/>
        <v>2024</v>
      </c>
      <c r="I588" s="7" t="s">
        <v>426</v>
      </c>
      <c r="J588" s="76" t="s">
        <v>694</v>
      </c>
    </row>
    <row r="589" spans="1:10">
      <c r="A589" s="75" t="str">
        <f t="shared" si="37"/>
        <v/>
      </c>
      <c r="B589" s="87">
        <v>19</v>
      </c>
      <c r="C589" s="96">
        <v>45498</v>
      </c>
      <c r="D589" s="76">
        <f t="shared" si="35"/>
        <v>7</v>
      </c>
      <c r="E589" s="77" t="s">
        <v>449</v>
      </c>
      <c r="F589" s="95">
        <v>2</v>
      </c>
      <c r="G589" s="78" t="s">
        <v>473</v>
      </c>
      <c r="H589" s="91">
        <f t="shared" si="36"/>
        <v>2024</v>
      </c>
      <c r="I589" s="7" t="s">
        <v>426</v>
      </c>
      <c r="J589" s="76" t="s">
        <v>694</v>
      </c>
    </row>
    <row r="590" spans="1:10">
      <c r="A590" s="75" t="str">
        <f t="shared" si="37"/>
        <v/>
      </c>
      <c r="B590" s="87">
        <v>20</v>
      </c>
      <c r="C590" s="96">
        <v>45498</v>
      </c>
      <c r="D590" s="76">
        <f t="shared" si="35"/>
        <v>7</v>
      </c>
      <c r="E590" s="77" t="s">
        <v>699</v>
      </c>
      <c r="F590" s="95">
        <v>2</v>
      </c>
      <c r="G590" s="78" t="s">
        <v>488</v>
      </c>
      <c r="H590" s="91">
        <f t="shared" si="36"/>
        <v>2024</v>
      </c>
      <c r="I590" s="7" t="s">
        <v>426</v>
      </c>
      <c r="J590" s="76" t="s">
        <v>694</v>
      </c>
    </row>
    <row r="591" spans="1:10">
      <c r="A591" s="75" t="str">
        <f t="shared" si="37"/>
        <v/>
      </c>
      <c r="B591" s="87">
        <v>21</v>
      </c>
      <c r="C591" s="96">
        <v>45499</v>
      </c>
      <c r="D591" s="76">
        <f t="shared" si="35"/>
        <v>7</v>
      </c>
      <c r="E591" s="77" t="s">
        <v>449</v>
      </c>
      <c r="F591" s="95">
        <v>2</v>
      </c>
      <c r="G591" s="78" t="s">
        <v>437</v>
      </c>
      <c r="H591" s="91">
        <f t="shared" si="36"/>
        <v>2024</v>
      </c>
      <c r="I591" s="7" t="s">
        <v>426</v>
      </c>
      <c r="J591" s="76" t="s">
        <v>694</v>
      </c>
    </row>
    <row r="592" spans="1:10">
      <c r="A592" s="75" t="str">
        <f t="shared" si="37"/>
        <v/>
      </c>
      <c r="B592" s="87">
        <v>22</v>
      </c>
      <c r="C592" s="96">
        <v>45499</v>
      </c>
      <c r="D592" s="76">
        <f t="shared" si="35"/>
        <v>7</v>
      </c>
      <c r="E592" s="77" t="s">
        <v>699</v>
      </c>
      <c r="F592" s="95">
        <v>2</v>
      </c>
      <c r="G592" s="78" t="s">
        <v>488</v>
      </c>
      <c r="H592" s="91">
        <f t="shared" si="36"/>
        <v>2024</v>
      </c>
      <c r="I592" s="7" t="s">
        <v>426</v>
      </c>
      <c r="J592" s="76" t="s">
        <v>694</v>
      </c>
    </row>
    <row r="593" spans="1:10">
      <c r="A593" s="75" t="str">
        <f t="shared" si="37"/>
        <v/>
      </c>
      <c r="B593" s="87">
        <v>23</v>
      </c>
      <c r="C593" s="96">
        <v>45502</v>
      </c>
      <c r="D593" s="76">
        <f t="shared" si="35"/>
        <v>7</v>
      </c>
      <c r="E593" s="77" t="s">
        <v>570</v>
      </c>
      <c r="F593" s="95">
        <v>4</v>
      </c>
      <c r="G593" s="78" t="s">
        <v>511</v>
      </c>
      <c r="H593" s="91">
        <f t="shared" si="36"/>
        <v>2024</v>
      </c>
      <c r="I593" s="7" t="s">
        <v>426</v>
      </c>
      <c r="J593" s="76" t="s">
        <v>694</v>
      </c>
    </row>
    <row r="594" spans="1:10">
      <c r="A594" s="75" t="str">
        <f t="shared" si="37"/>
        <v/>
      </c>
      <c r="B594" s="87">
        <v>24</v>
      </c>
      <c r="C594" s="96">
        <v>45503</v>
      </c>
      <c r="D594" s="76">
        <f t="shared" si="35"/>
        <v>7</v>
      </c>
      <c r="E594" s="77" t="s">
        <v>438</v>
      </c>
      <c r="F594" s="95">
        <v>4</v>
      </c>
      <c r="G594" s="78" t="s">
        <v>555</v>
      </c>
      <c r="H594" s="91">
        <f t="shared" si="36"/>
        <v>2024</v>
      </c>
      <c r="I594" s="7" t="s">
        <v>426</v>
      </c>
      <c r="J594" s="76" t="s">
        <v>694</v>
      </c>
    </row>
    <row r="595" spans="1:10">
      <c r="A595" s="75" t="str">
        <f t="shared" si="37"/>
        <v/>
      </c>
      <c r="B595" s="87">
        <v>25</v>
      </c>
      <c r="C595" s="96">
        <v>45504</v>
      </c>
      <c r="D595" s="76">
        <f t="shared" si="35"/>
        <v>7</v>
      </c>
      <c r="E595" s="77" t="s">
        <v>424</v>
      </c>
      <c r="F595" s="95">
        <v>4</v>
      </c>
      <c r="G595" s="78" t="s">
        <v>440</v>
      </c>
      <c r="H595" s="91">
        <f t="shared" si="36"/>
        <v>2024</v>
      </c>
      <c r="I595" s="7" t="s">
        <v>426</v>
      </c>
      <c r="J595" s="76" t="s">
        <v>694</v>
      </c>
    </row>
    <row r="596" spans="1:10">
      <c r="A596" s="75" t="str">
        <f t="shared" si="37"/>
        <v/>
      </c>
      <c r="B596" s="87">
        <v>26</v>
      </c>
      <c r="C596" s="96">
        <v>45505</v>
      </c>
      <c r="D596" s="76">
        <f t="shared" si="35"/>
        <v>8</v>
      </c>
      <c r="E596" s="77" t="s">
        <v>449</v>
      </c>
      <c r="F596" s="95">
        <v>2</v>
      </c>
      <c r="G596" s="78" t="s">
        <v>550</v>
      </c>
      <c r="H596" s="91">
        <f t="shared" si="36"/>
        <v>2024</v>
      </c>
      <c r="I596" s="7" t="s">
        <v>426</v>
      </c>
      <c r="J596" s="76" t="s">
        <v>694</v>
      </c>
    </row>
    <row r="597" spans="1:10">
      <c r="A597" s="75" t="str">
        <f t="shared" si="37"/>
        <v/>
      </c>
      <c r="B597" s="87">
        <v>27</v>
      </c>
      <c r="C597" s="96">
        <v>45505</v>
      </c>
      <c r="D597" s="76">
        <f t="shared" si="35"/>
        <v>8</v>
      </c>
      <c r="E597" s="77" t="s">
        <v>449</v>
      </c>
      <c r="F597" s="95">
        <v>2</v>
      </c>
      <c r="G597" s="78" t="s">
        <v>563</v>
      </c>
      <c r="H597" s="91">
        <f t="shared" si="36"/>
        <v>2024</v>
      </c>
      <c r="I597" s="7" t="s">
        <v>426</v>
      </c>
      <c r="J597" s="76" t="s">
        <v>694</v>
      </c>
    </row>
    <row r="598" spans="1:10">
      <c r="A598" s="75" t="str">
        <f t="shared" si="37"/>
        <v/>
      </c>
      <c r="B598" s="87">
        <v>28</v>
      </c>
      <c r="C598" s="96">
        <v>45506</v>
      </c>
      <c r="D598" s="76">
        <f t="shared" si="35"/>
        <v>8</v>
      </c>
      <c r="E598" s="77" t="s">
        <v>449</v>
      </c>
      <c r="F598" s="95">
        <v>2</v>
      </c>
      <c r="G598" s="78" t="s">
        <v>703</v>
      </c>
      <c r="H598" s="91">
        <f t="shared" si="36"/>
        <v>2024</v>
      </c>
      <c r="I598" s="7" t="s">
        <v>426</v>
      </c>
      <c r="J598" s="76" t="s">
        <v>694</v>
      </c>
    </row>
    <row r="599" spans="1:10">
      <c r="A599" s="75" t="str">
        <f t="shared" si="37"/>
        <v/>
      </c>
      <c r="B599" s="87">
        <v>29</v>
      </c>
      <c r="C599" s="96">
        <v>45506</v>
      </c>
      <c r="D599" s="76">
        <f t="shared" si="35"/>
        <v>8</v>
      </c>
      <c r="E599" s="77" t="s">
        <v>449</v>
      </c>
      <c r="F599" s="95">
        <v>2</v>
      </c>
      <c r="G599" s="78" t="s">
        <v>567</v>
      </c>
      <c r="H599" s="91">
        <f t="shared" si="36"/>
        <v>2024</v>
      </c>
      <c r="I599" s="7" t="s">
        <v>426</v>
      </c>
      <c r="J599" s="76" t="s">
        <v>694</v>
      </c>
    </row>
    <row r="600" spans="1:10">
      <c r="A600" s="75" t="str">
        <f t="shared" si="37"/>
        <v/>
      </c>
      <c r="B600" s="87">
        <v>30</v>
      </c>
      <c r="C600" s="96">
        <v>45517</v>
      </c>
      <c r="D600" s="76">
        <f t="shared" si="35"/>
        <v>8</v>
      </c>
      <c r="E600" s="77" t="s">
        <v>431</v>
      </c>
      <c r="F600" s="95">
        <v>4</v>
      </c>
      <c r="G600" s="78" t="s">
        <v>491</v>
      </c>
      <c r="H600" s="91">
        <f t="shared" si="36"/>
        <v>2024</v>
      </c>
      <c r="I600" s="7" t="s">
        <v>426</v>
      </c>
      <c r="J600" s="76" t="s">
        <v>694</v>
      </c>
    </row>
    <row r="601" spans="1:10">
      <c r="A601" s="75" t="str">
        <f t="shared" si="37"/>
        <v/>
      </c>
      <c r="B601" s="87">
        <v>31</v>
      </c>
      <c r="C601" s="96">
        <v>45509</v>
      </c>
      <c r="D601" s="76">
        <f t="shared" si="35"/>
        <v>8</v>
      </c>
      <c r="E601" s="77" t="s">
        <v>449</v>
      </c>
      <c r="F601" s="95">
        <v>2</v>
      </c>
      <c r="G601" s="78" t="s">
        <v>704</v>
      </c>
      <c r="H601" s="91">
        <f t="shared" si="36"/>
        <v>2024</v>
      </c>
      <c r="I601" s="7" t="s">
        <v>426</v>
      </c>
      <c r="J601" s="76" t="s">
        <v>694</v>
      </c>
    </row>
    <row r="602" spans="1:10">
      <c r="A602" s="75" t="str">
        <f t="shared" si="37"/>
        <v/>
      </c>
      <c r="B602" s="87">
        <v>32</v>
      </c>
      <c r="C602" s="96">
        <v>45509</v>
      </c>
      <c r="D602" s="76">
        <f t="shared" si="35"/>
        <v>8</v>
      </c>
      <c r="E602" s="77" t="s">
        <v>454</v>
      </c>
      <c r="F602" s="95">
        <v>2</v>
      </c>
      <c r="G602" s="78" t="s">
        <v>650</v>
      </c>
      <c r="H602" s="91">
        <f t="shared" si="36"/>
        <v>2024</v>
      </c>
      <c r="I602" s="7" t="s">
        <v>426</v>
      </c>
      <c r="J602" s="76" t="s">
        <v>694</v>
      </c>
    </row>
    <row r="603" spans="1:10">
      <c r="A603" s="75" t="str">
        <f t="shared" si="37"/>
        <v/>
      </c>
      <c r="B603" s="87">
        <v>33</v>
      </c>
      <c r="C603" s="96">
        <v>45484</v>
      </c>
      <c r="D603" s="76">
        <f t="shared" ref="D603:D623" si="38">MONTH(C603)</f>
        <v>7</v>
      </c>
      <c r="E603" s="77" t="s">
        <v>433</v>
      </c>
      <c r="F603" s="95">
        <v>4</v>
      </c>
      <c r="G603" s="78" t="s">
        <v>705</v>
      </c>
      <c r="H603" s="91">
        <f t="shared" ref="H603:H623" si="39">YEAR(C603)</f>
        <v>2024</v>
      </c>
      <c r="I603" s="7" t="s">
        <v>623</v>
      </c>
      <c r="J603" s="76" t="s">
        <v>694</v>
      </c>
    </row>
    <row r="604" spans="1:10">
      <c r="A604" s="75" t="str">
        <f t="shared" si="37"/>
        <v/>
      </c>
      <c r="B604" s="87">
        <v>34</v>
      </c>
      <c r="C604" s="96">
        <v>45485</v>
      </c>
      <c r="D604" s="76">
        <f t="shared" si="38"/>
        <v>7</v>
      </c>
      <c r="E604" s="77" t="s">
        <v>570</v>
      </c>
      <c r="F604" s="95">
        <v>4</v>
      </c>
      <c r="G604" s="78" t="s">
        <v>636</v>
      </c>
      <c r="H604" s="91">
        <f t="shared" si="39"/>
        <v>2024</v>
      </c>
      <c r="I604" s="7" t="s">
        <v>653</v>
      </c>
      <c r="J604" s="76" t="s">
        <v>694</v>
      </c>
    </row>
    <row r="605" spans="1:10">
      <c r="A605" s="75" t="str">
        <f t="shared" si="37"/>
        <v/>
      </c>
      <c r="B605" s="87">
        <v>35</v>
      </c>
      <c r="C605" s="96">
        <v>45485</v>
      </c>
      <c r="D605" s="76">
        <f t="shared" si="38"/>
        <v>7</v>
      </c>
      <c r="E605" s="77" t="s">
        <v>431</v>
      </c>
      <c r="F605" s="95">
        <v>4</v>
      </c>
      <c r="G605" s="78" t="s">
        <v>636</v>
      </c>
      <c r="H605" s="91">
        <f t="shared" si="39"/>
        <v>2024</v>
      </c>
      <c r="I605" s="7" t="s">
        <v>623</v>
      </c>
      <c r="J605" s="76" t="s">
        <v>694</v>
      </c>
    </row>
    <row r="606" spans="1:10">
      <c r="A606" s="75" t="str">
        <f t="shared" si="37"/>
        <v/>
      </c>
      <c r="B606" s="87">
        <v>36</v>
      </c>
      <c r="C606" s="96">
        <v>45488</v>
      </c>
      <c r="D606" s="76">
        <f t="shared" si="38"/>
        <v>7</v>
      </c>
      <c r="E606" s="77" t="s">
        <v>431</v>
      </c>
      <c r="F606" s="95">
        <v>4</v>
      </c>
      <c r="G606" s="78" t="s">
        <v>636</v>
      </c>
      <c r="H606" s="91">
        <f t="shared" si="39"/>
        <v>2024</v>
      </c>
      <c r="I606" s="7" t="s">
        <v>625</v>
      </c>
      <c r="J606" s="76" t="s">
        <v>694</v>
      </c>
    </row>
    <row r="607" spans="1:10">
      <c r="A607" s="75" t="str">
        <f t="shared" si="37"/>
        <v/>
      </c>
      <c r="B607" s="87">
        <v>37</v>
      </c>
      <c r="C607" s="96">
        <v>45488</v>
      </c>
      <c r="D607" s="76">
        <f t="shared" si="38"/>
        <v>7</v>
      </c>
      <c r="E607" s="77" t="s">
        <v>438</v>
      </c>
      <c r="F607" s="95">
        <v>4</v>
      </c>
      <c r="G607" s="78" t="s">
        <v>475</v>
      </c>
      <c r="H607" s="91">
        <f t="shared" si="39"/>
        <v>2024</v>
      </c>
      <c r="I607" s="7" t="s">
        <v>653</v>
      </c>
      <c r="J607" s="76" t="s">
        <v>694</v>
      </c>
    </row>
    <row r="608" spans="1:10">
      <c r="A608" s="75" t="str">
        <f t="shared" si="37"/>
        <v/>
      </c>
      <c r="B608" s="87">
        <v>38</v>
      </c>
      <c r="C608" s="96">
        <v>45491</v>
      </c>
      <c r="D608" s="76">
        <f t="shared" si="38"/>
        <v>7</v>
      </c>
      <c r="E608" s="77" t="s">
        <v>438</v>
      </c>
      <c r="F608" s="95">
        <v>4</v>
      </c>
      <c r="G608" s="78" t="s">
        <v>636</v>
      </c>
      <c r="H608" s="91">
        <f t="shared" si="39"/>
        <v>2024</v>
      </c>
      <c r="I608" s="7" t="s">
        <v>623</v>
      </c>
      <c r="J608" s="76" t="s">
        <v>694</v>
      </c>
    </row>
    <row r="609" spans="1:10">
      <c r="A609" s="75" t="str">
        <f t="shared" si="37"/>
        <v/>
      </c>
      <c r="B609" s="87">
        <v>39</v>
      </c>
      <c r="C609" s="96">
        <v>45491</v>
      </c>
      <c r="D609" s="76">
        <f t="shared" si="38"/>
        <v>7</v>
      </c>
      <c r="E609" s="77" t="s">
        <v>433</v>
      </c>
      <c r="F609" s="95">
        <v>4</v>
      </c>
      <c r="G609" s="78" t="s">
        <v>636</v>
      </c>
      <c r="H609" s="91">
        <f t="shared" si="39"/>
        <v>2024</v>
      </c>
      <c r="I609" s="7" t="s">
        <v>625</v>
      </c>
      <c r="J609" s="76" t="s">
        <v>694</v>
      </c>
    </row>
    <row r="610" spans="1:10">
      <c r="A610" s="75" t="str">
        <f t="shared" si="37"/>
        <v/>
      </c>
      <c r="B610" s="87">
        <v>40</v>
      </c>
      <c r="C610" s="96">
        <v>45492</v>
      </c>
      <c r="D610" s="76">
        <f t="shared" si="38"/>
        <v>7</v>
      </c>
      <c r="E610" s="77" t="s">
        <v>431</v>
      </c>
      <c r="F610" s="95">
        <v>4</v>
      </c>
      <c r="G610" s="78" t="s">
        <v>636</v>
      </c>
      <c r="H610" s="91">
        <f t="shared" si="39"/>
        <v>2024</v>
      </c>
      <c r="I610" s="7" t="s">
        <v>625</v>
      </c>
      <c r="J610" s="76" t="s">
        <v>694</v>
      </c>
    </row>
    <row r="611" spans="1:10">
      <c r="A611" s="75" t="str">
        <f t="shared" si="37"/>
        <v/>
      </c>
      <c r="B611" s="87">
        <v>41</v>
      </c>
      <c r="C611" s="96">
        <v>45492</v>
      </c>
      <c r="D611" s="76">
        <f t="shared" si="38"/>
        <v>7</v>
      </c>
      <c r="E611" s="77" t="s">
        <v>428</v>
      </c>
      <c r="F611" s="95">
        <v>4</v>
      </c>
      <c r="G611" s="78" t="s">
        <v>561</v>
      </c>
      <c r="H611" s="91">
        <f t="shared" si="39"/>
        <v>2024</v>
      </c>
      <c r="I611" s="7" t="s">
        <v>653</v>
      </c>
      <c r="J611" s="76" t="s">
        <v>694</v>
      </c>
    </row>
    <row r="612" spans="1:10">
      <c r="A612" s="75" t="str">
        <f t="shared" si="37"/>
        <v/>
      </c>
      <c r="B612" s="87">
        <v>42</v>
      </c>
      <c r="C612" s="96">
        <v>45495</v>
      </c>
      <c r="D612" s="76">
        <f t="shared" si="38"/>
        <v>7</v>
      </c>
      <c r="E612" s="77" t="s">
        <v>428</v>
      </c>
      <c r="F612" s="95">
        <v>4</v>
      </c>
      <c r="G612" s="78" t="s">
        <v>706</v>
      </c>
      <c r="H612" s="91">
        <f t="shared" si="39"/>
        <v>2024</v>
      </c>
      <c r="I612" s="7" t="s">
        <v>625</v>
      </c>
      <c r="J612" s="76" t="s">
        <v>694</v>
      </c>
    </row>
    <row r="613" spans="1:10">
      <c r="A613" s="75" t="str">
        <f t="shared" si="37"/>
        <v/>
      </c>
      <c r="B613" s="87">
        <v>43</v>
      </c>
      <c r="C613" s="96">
        <v>45496</v>
      </c>
      <c r="D613" s="76">
        <f t="shared" si="38"/>
        <v>7</v>
      </c>
      <c r="E613" s="77" t="s">
        <v>453</v>
      </c>
      <c r="F613" s="95">
        <v>4</v>
      </c>
      <c r="G613" s="78" t="s">
        <v>569</v>
      </c>
      <c r="H613" s="91">
        <f t="shared" si="39"/>
        <v>2024</v>
      </c>
      <c r="I613" s="7" t="s">
        <v>623</v>
      </c>
      <c r="J613" s="76" t="s">
        <v>694</v>
      </c>
    </row>
    <row r="614" spans="1:10">
      <c r="A614" s="75" t="str">
        <f t="shared" si="37"/>
        <v/>
      </c>
      <c r="B614" s="87">
        <v>44</v>
      </c>
      <c r="C614" s="96">
        <v>45497</v>
      </c>
      <c r="D614" s="76">
        <f t="shared" si="38"/>
        <v>7</v>
      </c>
      <c r="E614" s="77" t="s">
        <v>431</v>
      </c>
      <c r="F614" s="95">
        <v>4</v>
      </c>
      <c r="G614" s="78" t="s">
        <v>636</v>
      </c>
      <c r="H614" s="91">
        <f t="shared" si="39"/>
        <v>2024</v>
      </c>
      <c r="I614" s="7" t="s">
        <v>653</v>
      </c>
      <c r="J614" s="76" t="s">
        <v>694</v>
      </c>
    </row>
    <row r="615" spans="1:10">
      <c r="A615" s="75" t="str">
        <f t="shared" si="37"/>
        <v/>
      </c>
      <c r="B615" s="87">
        <v>45</v>
      </c>
      <c r="C615" s="96">
        <v>45498</v>
      </c>
      <c r="D615" s="76">
        <f t="shared" si="38"/>
        <v>7</v>
      </c>
      <c r="E615" s="77" t="s">
        <v>570</v>
      </c>
      <c r="F615" s="95">
        <v>4</v>
      </c>
      <c r="G615" s="78" t="s">
        <v>636</v>
      </c>
      <c r="H615" s="91">
        <f t="shared" si="39"/>
        <v>2024</v>
      </c>
      <c r="I615" s="7" t="s">
        <v>625</v>
      </c>
      <c r="J615" s="76" t="s">
        <v>694</v>
      </c>
    </row>
    <row r="616" spans="1:10">
      <c r="A616" s="75" t="str">
        <f t="shared" si="37"/>
        <v/>
      </c>
      <c r="B616" s="87">
        <v>46</v>
      </c>
      <c r="C616" s="96">
        <v>45499</v>
      </c>
      <c r="D616" s="76">
        <f t="shared" si="38"/>
        <v>7</v>
      </c>
      <c r="E616" s="77" t="s">
        <v>428</v>
      </c>
      <c r="F616" s="95">
        <v>4</v>
      </c>
      <c r="G616" s="78" t="s">
        <v>636</v>
      </c>
      <c r="H616" s="91">
        <f t="shared" si="39"/>
        <v>2024</v>
      </c>
      <c r="I616" s="7" t="s">
        <v>707</v>
      </c>
      <c r="J616" s="76" t="s">
        <v>694</v>
      </c>
    </row>
    <row r="617" spans="1:10">
      <c r="A617" s="75" t="str">
        <f t="shared" si="37"/>
        <v/>
      </c>
      <c r="B617" s="87">
        <v>47</v>
      </c>
      <c r="C617" s="96">
        <v>45499</v>
      </c>
      <c r="D617" s="76">
        <f t="shared" si="38"/>
        <v>7</v>
      </c>
      <c r="E617" s="77" t="s">
        <v>424</v>
      </c>
      <c r="F617" s="95">
        <v>4</v>
      </c>
      <c r="G617" s="78" t="s">
        <v>636</v>
      </c>
      <c r="H617" s="91">
        <f t="shared" si="39"/>
        <v>2024</v>
      </c>
      <c r="I617" s="7" t="s">
        <v>623</v>
      </c>
      <c r="J617" s="76" t="s">
        <v>694</v>
      </c>
    </row>
    <row r="618" spans="1:10">
      <c r="A618" s="75" t="str">
        <f t="shared" si="37"/>
        <v/>
      </c>
      <c r="B618" s="87">
        <v>48</v>
      </c>
      <c r="C618" s="96">
        <v>45500</v>
      </c>
      <c r="D618" s="76">
        <f t="shared" si="38"/>
        <v>7</v>
      </c>
      <c r="E618" s="77" t="s">
        <v>570</v>
      </c>
      <c r="F618" s="95">
        <v>4</v>
      </c>
      <c r="G618" s="78" t="s">
        <v>636</v>
      </c>
      <c r="H618" s="91">
        <f t="shared" si="39"/>
        <v>2024</v>
      </c>
      <c r="I618" s="7" t="s">
        <v>625</v>
      </c>
      <c r="J618" s="76" t="s">
        <v>694</v>
      </c>
    </row>
    <row r="619" spans="1:10">
      <c r="A619" s="75" t="str">
        <f t="shared" si="37"/>
        <v/>
      </c>
      <c r="B619" s="87">
        <v>49</v>
      </c>
      <c r="C619" s="96">
        <v>45502</v>
      </c>
      <c r="D619" s="76">
        <f t="shared" si="38"/>
        <v>7</v>
      </c>
      <c r="E619" s="77" t="s">
        <v>431</v>
      </c>
      <c r="F619" s="95">
        <v>4</v>
      </c>
      <c r="G619" s="78" t="s">
        <v>434</v>
      </c>
      <c r="H619" s="91">
        <f t="shared" si="39"/>
        <v>2024</v>
      </c>
      <c r="I619" s="7" t="s">
        <v>708</v>
      </c>
      <c r="J619" s="76" t="s">
        <v>694</v>
      </c>
    </row>
    <row r="620" spans="1:10">
      <c r="A620" s="75" t="str">
        <f t="shared" si="37"/>
        <v/>
      </c>
      <c r="B620" s="87">
        <v>50</v>
      </c>
      <c r="C620" s="96">
        <v>45503</v>
      </c>
      <c r="D620" s="76">
        <f t="shared" si="38"/>
        <v>7</v>
      </c>
      <c r="E620" s="77" t="s">
        <v>433</v>
      </c>
      <c r="F620" s="95">
        <v>4</v>
      </c>
      <c r="G620" s="78" t="s">
        <v>636</v>
      </c>
      <c r="H620" s="91">
        <f t="shared" si="39"/>
        <v>2024</v>
      </c>
      <c r="I620" s="7" t="s">
        <v>625</v>
      </c>
      <c r="J620" s="76" t="s">
        <v>694</v>
      </c>
    </row>
    <row r="621" spans="1:10">
      <c r="A621" s="75" t="str">
        <f t="shared" si="37"/>
        <v/>
      </c>
      <c r="B621" s="87">
        <v>51</v>
      </c>
      <c r="C621" s="96">
        <v>45505</v>
      </c>
      <c r="D621" s="76">
        <f t="shared" si="38"/>
        <v>8</v>
      </c>
      <c r="E621" s="77" t="s">
        <v>570</v>
      </c>
      <c r="F621" s="95">
        <v>4</v>
      </c>
      <c r="G621" s="78" t="s">
        <v>636</v>
      </c>
      <c r="H621" s="91">
        <f t="shared" si="39"/>
        <v>2024</v>
      </c>
      <c r="I621" s="7" t="s">
        <v>625</v>
      </c>
      <c r="J621" s="76" t="s">
        <v>694</v>
      </c>
    </row>
    <row r="622" spans="1:10">
      <c r="A622" s="75" t="str">
        <f t="shared" si="37"/>
        <v/>
      </c>
      <c r="B622" s="87">
        <v>52</v>
      </c>
      <c r="C622" s="96">
        <v>45506</v>
      </c>
      <c r="D622" s="76">
        <f t="shared" si="38"/>
        <v>8</v>
      </c>
      <c r="E622" s="77" t="s">
        <v>492</v>
      </c>
      <c r="F622" s="95">
        <v>4</v>
      </c>
      <c r="G622" s="78" t="s">
        <v>448</v>
      </c>
      <c r="H622" s="91">
        <f t="shared" si="39"/>
        <v>2024</v>
      </c>
      <c r="I622" s="7" t="s">
        <v>625</v>
      </c>
      <c r="J622" s="76" t="s">
        <v>694</v>
      </c>
    </row>
    <row r="623" spans="1:10">
      <c r="A623" s="75" t="str">
        <f t="shared" si="37"/>
        <v/>
      </c>
      <c r="B623" s="87">
        <v>53</v>
      </c>
      <c r="C623" s="96">
        <v>45513</v>
      </c>
      <c r="D623" s="76">
        <f t="shared" si="38"/>
        <v>8</v>
      </c>
      <c r="E623" s="77" t="s">
        <v>431</v>
      </c>
      <c r="F623" s="95">
        <v>4</v>
      </c>
      <c r="G623" s="78" t="s">
        <v>636</v>
      </c>
      <c r="H623" s="91">
        <f t="shared" si="39"/>
        <v>2024</v>
      </c>
      <c r="I623" s="7" t="s">
        <v>625</v>
      </c>
      <c r="J623" s="76" t="s">
        <v>694</v>
      </c>
    </row>
    <row r="624" spans="1:10">
      <c r="A624" s="75" t="str">
        <f t="shared" si="37"/>
        <v/>
      </c>
    </row>
    <row r="625" spans="1:10">
      <c r="A625" s="75" t="str">
        <f t="shared" si="37"/>
        <v/>
      </c>
      <c r="B625" s="87">
        <v>1</v>
      </c>
      <c r="C625" s="96">
        <v>45381</v>
      </c>
      <c r="D625" s="76">
        <f t="shared" ref="D625:D665" si="40">MONTH(C625)</f>
        <v>3</v>
      </c>
      <c r="E625" s="77" t="s">
        <v>433</v>
      </c>
      <c r="F625" s="95">
        <v>4</v>
      </c>
      <c r="G625" s="78" t="s">
        <v>555</v>
      </c>
      <c r="H625" s="91">
        <f t="shared" ref="H625:H665" si="41">YEAR(C625)</f>
        <v>2024</v>
      </c>
      <c r="I625" s="7" t="s">
        <v>426</v>
      </c>
      <c r="J625" s="76" t="s">
        <v>709</v>
      </c>
    </row>
    <row r="626" spans="1:10">
      <c r="A626" s="75" t="str">
        <f t="shared" si="37"/>
        <v/>
      </c>
      <c r="B626" s="87">
        <v>2</v>
      </c>
      <c r="C626" s="96">
        <v>45384</v>
      </c>
      <c r="D626" s="76">
        <f t="shared" si="40"/>
        <v>4</v>
      </c>
      <c r="E626" s="77" t="s">
        <v>453</v>
      </c>
      <c r="F626" s="95">
        <v>4</v>
      </c>
      <c r="G626" s="78" t="s">
        <v>563</v>
      </c>
      <c r="H626" s="91">
        <f t="shared" si="41"/>
        <v>2024</v>
      </c>
      <c r="I626" s="7" t="s">
        <v>426</v>
      </c>
      <c r="J626" s="76" t="s">
        <v>709</v>
      </c>
    </row>
    <row r="627" spans="1:10">
      <c r="A627" s="75" t="str">
        <f t="shared" si="37"/>
        <v/>
      </c>
      <c r="B627" s="87">
        <v>3</v>
      </c>
      <c r="C627" s="96">
        <v>45385</v>
      </c>
      <c r="D627" s="76">
        <f t="shared" si="40"/>
        <v>4</v>
      </c>
      <c r="E627" s="77" t="s">
        <v>570</v>
      </c>
      <c r="F627" s="95">
        <v>4</v>
      </c>
      <c r="G627" s="78" t="s">
        <v>442</v>
      </c>
      <c r="H627" s="91">
        <f t="shared" si="41"/>
        <v>2024</v>
      </c>
      <c r="I627" s="7" t="s">
        <v>426</v>
      </c>
      <c r="J627" s="76" t="s">
        <v>709</v>
      </c>
    </row>
    <row r="628" spans="1:10">
      <c r="A628" s="75" t="str">
        <f t="shared" si="37"/>
        <v/>
      </c>
      <c r="B628" s="87">
        <v>4</v>
      </c>
      <c r="C628" s="96">
        <v>45385</v>
      </c>
      <c r="D628" s="76">
        <f t="shared" si="40"/>
        <v>4</v>
      </c>
      <c r="E628" s="77" t="s">
        <v>438</v>
      </c>
      <c r="F628" s="95">
        <v>4</v>
      </c>
      <c r="G628" s="78" t="s">
        <v>442</v>
      </c>
      <c r="H628" s="91">
        <f t="shared" si="41"/>
        <v>2024</v>
      </c>
      <c r="I628" s="7" t="s">
        <v>426</v>
      </c>
      <c r="J628" s="76" t="s">
        <v>709</v>
      </c>
    </row>
    <row r="629" spans="1:10">
      <c r="A629" s="75" t="str">
        <f t="shared" si="37"/>
        <v/>
      </c>
      <c r="B629" s="87">
        <v>5</v>
      </c>
      <c r="C629" s="96">
        <v>45386</v>
      </c>
      <c r="D629" s="76">
        <f t="shared" si="40"/>
        <v>4</v>
      </c>
      <c r="E629" s="77" t="s">
        <v>492</v>
      </c>
      <c r="F629" s="95">
        <v>4</v>
      </c>
      <c r="G629" s="78" t="s">
        <v>567</v>
      </c>
      <c r="H629" s="91">
        <f t="shared" si="41"/>
        <v>2024</v>
      </c>
      <c r="I629" s="7" t="s">
        <v>426</v>
      </c>
      <c r="J629" s="76" t="s">
        <v>709</v>
      </c>
    </row>
    <row r="630" spans="1:10">
      <c r="A630" s="75" t="str">
        <f t="shared" si="37"/>
        <v/>
      </c>
      <c r="B630" s="87">
        <v>6</v>
      </c>
      <c r="C630" s="96">
        <v>45387</v>
      </c>
      <c r="D630" s="76">
        <f t="shared" si="40"/>
        <v>4</v>
      </c>
      <c r="E630" s="77" t="s">
        <v>428</v>
      </c>
      <c r="F630" s="95">
        <v>4</v>
      </c>
      <c r="G630" s="78" t="s">
        <v>442</v>
      </c>
      <c r="H630" s="91">
        <f t="shared" si="41"/>
        <v>2024</v>
      </c>
      <c r="I630" s="7" t="s">
        <v>426</v>
      </c>
      <c r="J630" s="76" t="s">
        <v>709</v>
      </c>
    </row>
    <row r="631" spans="1:10">
      <c r="A631" s="75" t="str">
        <f t="shared" si="37"/>
        <v/>
      </c>
      <c r="B631" s="87">
        <v>7</v>
      </c>
      <c r="C631" s="96">
        <v>45387</v>
      </c>
      <c r="D631" s="76">
        <f t="shared" si="40"/>
        <v>4</v>
      </c>
      <c r="E631" s="77" t="s">
        <v>570</v>
      </c>
      <c r="F631" s="95">
        <v>4</v>
      </c>
      <c r="G631" s="78" t="s">
        <v>472</v>
      </c>
      <c r="H631" s="91">
        <f t="shared" si="41"/>
        <v>2024</v>
      </c>
      <c r="I631" s="7" t="s">
        <v>426</v>
      </c>
      <c r="J631" s="76" t="s">
        <v>709</v>
      </c>
    </row>
    <row r="632" spans="1:10">
      <c r="A632" s="75" t="str">
        <f t="shared" si="37"/>
        <v/>
      </c>
      <c r="B632" s="87">
        <v>8</v>
      </c>
      <c r="C632" s="96">
        <v>45388</v>
      </c>
      <c r="D632" s="76">
        <f t="shared" si="40"/>
        <v>4</v>
      </c>
      <c r="E632" s="77" t="s">
        <v>431</v>
      </c>
      <c r="F632" s="95">
        <v>4</v>
      </c>
      <c r="G632" s="78" t="s">
        <v>591</v>
      </c>
      <c r="H632" s="91">
        <f t="shared" si="41"/>
        <v>2024</v>
      </c>
      <c r="I632" s="7" t="s">
        <v>426</v>
      </c>
      <c r="J632" s="76" t="s">
        <v>709</v>
      </c>
    </row>
    <row r="633" spans="1:10">
      <c r="A633" s="75" t="str">
        <f t="shared" si="37"/>
        <v/>
      </c>
      <c r="B633" s="87">
        <v>9</v>
      </c>
      <c r="C633" s="96">
        <v>45388</v>
      </c>
      <c r="D633" s="76">
        <f t="shared" si="40"/>
        <v>4</v>
      </c>
      <c r="E633" s="77" t="s">
        <v>570</v>
      </c>
      <c r="F633" s="95">
        <v>4</v>
      </c>
      <c r="G633" s="78" t="s">
        <v>710</v>
      </c>
      <c r="H633" s="91">
        <f t="shared" si="41"/>
        <v>2024</v>
      </c>
      <c r="I633" s="7" t="s">
        <v>426</v>
      </c>
      <c r="J633" s="76" t="s">
        <v>709</v>
      </c>
    </row>
    <row r="634" spans="1:10">
      <c r="A634" s="75" t="str">
        <f t="shared" si="37"/>
        <v/>
      </c>
      <c r="B634" s="87">
        <v>10</v>
      </c>
      <c r="C634" s="96">
        <v>45398</v>
      </c>
      <c r="D634" s="76">
        <f t="shared" si="40"/>
        <v>4</v>
      </c>
      <c r="E634" s="77" t="s">
        <v>431</v>
      </c>
      <c r="F634" s="95">
        <v>4</v>
      </c>
      <c r="G634" s="78" t="s">
        <v>711</v>
      </c>
      <c r="H634" s="91">
        <f t="shared" si="41"/>
        <v>2024</v>
      </c>
      <c r="I634" s="7" t="s">
        <v>426</v>
      </c>
      <c r="J634" s="76" t="s">
        <v>709</v>
      </c>
    </row>
    <row r="635" spans="1:10">
      <c r="A635" s="75" t="str">
        <f t="shared" si="37"/>
        <v/>
      </c>
      <c r="B635" s="87">
        <v>11</v>
      </c>
      <c r="C635" s="96">
        <v>45399</v>
      </c>
      <c r="D635" s="76">
        <f t="shared" si="40"/>
        <v>4</v>
      </c>
      <c r="E635" s="77" t="s">
        <v>431</v>
      </c>
      <c r="F635" s="95">
        <v>4</v>
      </c>
      <c r="G635" s="78" t="s">
        <v>591</v>
      </c>
      <c r="H635" s="91">
        <f t="shared" si="41"/>
        <v>2024</v>
      </c>
      <c r="I635" s="7" t="s">
        <v>426</v>
      </c>
      <c r="J635" s="76" t="s">
        <v>709</v>
      </c>
    </row>
    <row r="636" spans="1:10">
      <c r="A636" s="75" t="str">
        <f t="shared" si="37"/>
        <v/>
      </c>
      <c r="B636" s="87">
        <v>12</v>
      </c>
      <c r="C636" s="96">
        <v>45400</v>
      </c>
      <c r="D636" s="76">
        <f t="shared" si="40"/>
        <v>4</v>
      </c>
      <c r="E636" s="77" t="s">
        <v>453</v>
      </c>
      <c r="F636" s="95">
        <v>4</v>
      </c>
      <c r="G636" s="78" t="s">
        <v>585</v>
      </c>
      <c r="H636" s="91">
        <f t="shared" si="41"/>
        <v>2024</v>
      </c>
      <c r="I636" s="7" t="s">
        <v>426</v>
      </c>
      <c r="J636" s="76" t="s">
        <v>709</v>
      </c>
    </row>
    <row r="637" spans="1:10">
      <c r="A637" s="75" t="str">
        <f t="shared" si="37"/>
        <v/>
      </c>
      <c r="B637" s="87">
        <v>13</v>
      </c>
      <c r="C637" s="96">
        <v>45401</v>
      </c>
      <c r="D637" s="76">
        <f t="shared" si="40"/>
        <v>4</v>
      </c>
      <c r="E637" s="77" t="s">
        <v>570</v>
      </c>
      <c r="F637" s="95">
        <v>4</v>
      </c>
      <c r="G637" s="78" t="s">
        <v>472</v>
      </c>
      <c r="H637" s="91">
        <f t="shared" si="41"/>
        <v>2024</v>
      </c>
      <c r="I637" s="7" t="s">
        <v>426</v>
      </c>
      <c r="J637" s="76" t="s">
        <v>709</v>
      </c>
    </row>
    <row r="638" spans="1:10">
      <c r="A638" s="75" t="str">
        <f t="shared" si="37"/>
        <v/>
      </c>
      <c r="B638" s="87">
        <v>14</v>
      </c>
      <c r="C638" s="96">
        <v>45404</v>
      </c>
      <c r="D638" s="76">
        <f t="shared" si="40"/>
        <v>4</v>
      </c>
      <c r="E638" s="77" t="s">
        <v>428</v>
      </c>
      <c r="F638" s="95">
        <v>4</v>
      </c>
      <c r="G638" s="78" t="s">
        <v>567</v>
      </c>
      <c r="H638" s="91">
        <f t="shared" si="41"/>
        <v>2024</v>
      </c>
      <c r="I638" s="7" t="s">
        <v>426</v>
      </c>
      <c r="J638" s="76" t="s">
        <v>709</v>
      </c>
    </row>
    <row r="639" spans="1:10">
      <c r="A639" s="75" t="str">
        <f t="shared" si="37"/>
        <v/>
      </c>
      <c r="B639" s="87">
        <v>15</v>
      </c>
      <c r="C639" s="96">
        <v>45404</v>
      </c>
      <c r="D639" s="76">
        <f t="shared" si="40"/>
        <v>4</v>
      </c>
      <c r="E639" s="77" t="s">
        <v>424</v>
      </c>
      <c r="F639" s="95">
        <v>4</v>
      </c>
      <c r="G639" s="78" t="s">
        <v>642</v>
      </c>
      <c r="H639" s="91">
        <f t="shared" si="41"/>
        <v>2024</v>
      </c>
      <c r="I639" s="7" t="s">
        <v>426</v>
      </c>
      <c r="J639" s="76" t="s">
        <v>709</v>
      </c>
    </row>
    <row r="640" spans="1:10">
      <c r="A640" s="75" t="str">
        <f t="shared" si="37"/>
        <v/>
      </c>
      <c r="B640" s="87">
        <v>16</v>
      </c>
      <c r="C640" s="96">
        <v>45405</v>
      </c>
      <c r="D640" s="76">
        <f t="shared" si="40"/>
        <v>4</v>
      </c>
      <c r="E640" s="77" t="s">
        <v>570</v>
      </c>
      <c r="F640" s="95">
        <v>4</v>
      </c>
      <c r="G640" s="78" t="s">
        <v>467</v>
      </c>
      <c r="H640" s="91">
        <f t="shared" si="41"/>
        <v>2024</v>
      </c>
      <c r="I640" s="7" t="s">
        <v>426</v>
      </c>
      <c r="J640" s="76" t="s">
        <v>709</v>
      </c>
    </row>
    <row r="641" spans="1:10">
      <c r="A641" s="75" t="str">
        <f t="shared" si="37"/>
        <v/>
      </c>
      <c r="B641" s="87">
        <v>17</v>
      </c>
      <c r="C641" s="96">
        <v>45406</v>
      </c>
      <c r="D641" s="76">
        <f t="shared" si="40"/>
        <v>4</v>
      </c>
      <c r="E641" s="77" t="s">
        <v>438</v>
      </c>
      <c r="F641" s="95">
        <v>4</v>
      </c>
      <c r="G641" s="78" t="s">
        <v>559</v>
      </c>
      <c r="H641" s="91">
        <f t="shared" si="41"/>
        <v>2024</v>
      </c>
      <c r="I641" s="7" t="s">
        <v>426</v>
      </c>
      <c r="J641" s="76" t="s">
        <v>709</v>
      </c>
    </row>
    <row r="642" spans="1:10">
      <c r="A642" s="75" t="str">
        <f t="shared" si="37"/>
        <v/>
      </c>
      <c r="B642" s="87">
        <v>18</v>
      </c>
      <c r="C642" s="96">
        <v>45406</v>
      </c>
      <c r="D642" s="76">
        <f t="shared" si="40"/>
        <v>4</v>
      </c>
      <c r="E642" s="77" t="s">
        <v>453</v>
      </c>
      <c r="F642" s="95">
        <v>4</v>
      </c>
      <c r="G642" s="78" t="s">
        <v>561</v>
      </c>
      <c r="H642" s="91">
        <f t="shared" si="41"/>
        <v>2024</v>
      </c>
      <c r="I642" s="7" t="s">
        <v>426</v>
      </c>
      <c r="J642" s="76" t="s">
        <v>709</v>
      </c>
    </row>
    <row r="643" spans="1:10">
      <c r="A643" s="75" t="str">
        <f t="shared" si="37"/>
        <v/>
      </c>
      <c r="B643" s="87">
        <v>19</v>
      </c>
      <c r="C643" s="96">
        <v>45407</v>
      </c>
      <c r="D643" s="76">
        <f t="shared" si="40"/>
        <v>4</v>
      </c>
      <c r="E643" s="77" t="s">
        <v>431</v>
      </c>
      <c r="F643" s="95">
        <v>4</v>
      </c>
      <c r="G643" s="78" t="s">
        <v>512</v>
      </c>
      <c r="H643" s="91">
        <f t="shared" si="41"/>
        <v>2024</v>
      </c>
      <c r="I643" s="7" t="s">
        <v>426</v>
      </c>
      <c r="J643" s="76" t="s">
        <v>709</v>
      </c>
    </row>
    <row r="644" spans="1:10">
      <c r="A644" s="75" t="str">
        <f t="shared" si="37"/>
        <v/>
      </c>
      <c r="B644" s="87">
        <v>20</v>
      </c>
      <c r="C644" s="96">
        <v>45408</v>
      </c>
      <c r="D644" s="76">
        <f t="shared" si="40"/>
        <v>4</v>
      </c>
      <c r="E644" s="77" t="s">
        <v>570</v>
      </c>
      <c r="F644" s="95">
        <v>4</v>
      </c>
      <c r="G644" s="78" t="s">
        <v>589</v>
      </c>
      <c r="H644" s="91">
        <f t="shared" si="41"/>
        <v>2024</v>
      </c>
      <c r="I644" s="7" t="s">
        <v>426</v>
      </c>
      <c r="J644" s="76" t="s">
        <v>709</v>
      </c>
    </row>
    <row r="645" spans="1:10">
      <c r="A645" s="75" t="str">
        <f t="shared" si="37"/>
        <v/>
      </c>
      <c r="B645" s="87">
        <v>21</v>
      </c>
      <c r="C645" s="96">
        <v>45409</v>
      </c>
      <c r="D645" s="76">
        <f t="shared" si="40"/>
        <v>4</v>
      </c>
      <c r="E645" s="77" t="s">
        <v>424</v>
      </c>
      <c r="F645" s="95">
        <v>4</v>
      </c>
      <c r="G645" s="78" t="s">
        <v>473</v>
      </c>
      <c r="H645" s="91">
        <f t="shared" si="41"/>
        <v>2024</v>
      </c>
      <c r="I645" s="7" t="s">
        <v>426</v>
      </c>
      <c r="J645" s="76" t="s">
        <v>709</v>
      </c>
    </row>
    <row r="646" spans="1:10">
      <c r="A646" s="75" t="str">
        <f t="shared" si="37"/>
        <v/>
      </c>
      <c r="B646" s="87">
        <v>22</v>
      </c>
      <c r="C646" s="96">
        <v>45411</v>
      </c>
      <c r="D646" s="76">
        <f t="shared" si="40"/>
        <v>4</v>
      </c>
      <c r="E646" s="77" t="s">
        <v>428</v>
      </c>
      <c r="F646" s="95">
        <v>4</v>
      </c>
      <c r="G646" s="78" t="s">
        <v>712</v>
      </c>
      <c r="H646" s="91">
        <f t="shared" si="41"/>
        <v>2024</v>
      </c>
      <c r="I646" s="7" t="s">
        <v>426</v>
      </c>
      <c r="J646" s="76" t="s">
        <v>709</v>
      </c>
    </row>
    <row r="647" spans="1:10">
      <c r="A647" s="75" t="str">
        <f t="shared" si="37"/>
        <v/>
      </c>
      <c r="B647" s="87">
        <v>23</v>
      </c>
      <c r="C647" s="96">
        <v>45411</v>
      </c>
      <c r="D647" s="76">
        <f t="shared" si="40"/>
        <v>4</v>
      </c>
      <c r="E647" s="77" t="s">
        <v>438</v>
      </c>
      <c r="F647" s="95">
        <v>4</v>
      </c>
      <c r="G647" s="78" t="s">
        <v>514</v>
      </c>
      <c r="H647" s="91">
        <f t="shared" si="41"/>
        <v>2024</v>
      </c>
      <c r="I647" s="7" t="s">
        <v>426</v>
      </c>
      <c r="J647" s="76" t="s">
        <v>709</v>
      </c>
    </row>
    <row r="648" spans="1:10">
      <c r="A648" s="75" t="str">
        <f t="shared" si="37"/>
        <v/>
      </c>
      <c r="B648" s="87">
        <v>24</v>
      </c>
      <c r="C648" s="96">
        <v>45411</v>
      </c>
      <c r="D648" s="76">
        <f t="shared" si="40"/>
        <v>4</v>
      </c>
      <c r="E648" s="77" t="s">
        <v>431</v>
      </c>
      <c r="F648" s="95">
        <v>4</v>
      </c>
      <c r="G648" s="78" t="s">
        <v>514</v>
      </c>
      <c r="H648" s="91">
        <f t="shared" si="41"/>
        <v>2024</v>
      </c>
      <c r="I648" s="7" t="s">
        <v>426</v>
      </c>
      <c r="J648" s="76" t="s">
        <v>709</v>
      </c>
    </row>
    <row r="649" spans="1:10">
      <c r="A649" s="75" t="str">
        <f t="shared" si="37"/>
        <v/>
      </c>
      <c r="B649" s="87">
        <v>25</v>
      </c>
      <c r="C649" s="96">
        <v>45412</v>
      </c>
      <c r="D649" s="76">
        <f t="shared" si="40"/>
        <v>4</v>
      </c>
      <c r="E649" s="77" t="s">
        <v>492</v>
      </c>
      <c r="F649" s="95">
        <v>4</v>
      </c>
      <c r="G649" s="78" t="s">
        <v>472</v>
      </c>
      <c r="H649" s="91">
        <f t="shared" si="41"/>
        <v>2024</v>
      </c>
      <c r="I649" s="7" t="s">
        <v>426</v>
      </c>
      <c r="J649" s="76" t="s">
        <v>709</v>
      </c>
    </row>
    <row r="650" spans="1:10">
      <c r="A650" s="75" t="str">
        <f t="shared" si="37"/>
        <v/>
      </c>
      <c r="B650" s="87">
        <v>26</v>
      </c>
      <c r="C650" s="96">
        <v>45412</v>
      </c>
      <c r="D650" s="76">
        <f t="shared" si="40"/>
        <v>4</v>
      </c>
      <c r="E650" s="77" t="s">
        <v>431</v>
      </c>
      <c r="F650" s="95">
        <v>4</v>
      </c>
      <c r="G650" s="78" t="s">
        <v>559</v>
      </c>
      <c r="H650" s="91">
        <f t="shared" si="41"/>
        <v>2024</v>
      </c>
      <c r="I650" s="7" t="s">
        <v>426</v>
      </c>
      <c r="J650" s="76" t="s">
        <v>709</v>
      </c>
    </row>
    <row r="651" spans="1:10">
      <c r="A651" s="75" t="str">
        <f t="shared" ref="A651:A665" si="42">IF(AND($E$3="ALL",$E$4="ALL"),"ALL",IF(AND($E$3="ALL",$E$4&lt;&gt;"ALL"),IF(D651=$E$4,D651,""),IF(AND($E$3&lt;&gt;"ALL",$E$4="ALL"),IF(I651=$E$3,I651,""),"")))</f>
        <v/>
      </c>
      <c r="B651" s="87">
        <v>27</v>
      </c>
      <c r="C651" s="96">
        <v>45412</v>
      </c>
      <c r="D651" s="76">
        <f t="shared" si="40"/>
        <v>4</v>
      </c>
      <c r="E651" s="77" t="s">
        <v>424</v>
      </c>
      <c r="F651" s="95">
        <v>4</v>
      </c>
      <c r="G651" s="78" t="s">
        <v>442</v>
      </c>
      <c r="H651" s="91">
        <f t="shared" si="41"/>
        <v>2024</v>
      </c>
      <c r="I651" s="7" t="s">
        <v>426</v>
      </c>
      <c r="J651" s="76" t="s">
        <v>709</v>
      </c>
    </row>
    <row r="652" spans="1:10">
      <c r="A652" s="75" t="str">
        <f t="shared" si="42"/>
        <v/>
      </c>
      <c r="B652" s="87">
        <v>28</v>
      </c>
      <c r="C652" s="96">
        <v>45413</v>
      </c>
      <c r="D652" s="76">
        <f t="shared" si="40"/>
        <v>5</v>
      </c>
      <c r="E652" s="77" t="s">
        <v>428</v>
      </c>
      <c r="F652" s="95">
        <v>4</v>
      </c>
      <c r="G652" s="78" t="s">
        <v>713</v>
      </c>
      <c r="H652" s="91">
        <f t="shared" si="41"/>
        <v>2024</v>
      </c>
      <c r="I652" s="7" t="s">
        <v>426</v>
      </c>
      <c r="J652" s="76" t="s">
        <v>709</v>
      </c>
    </row>
    <row r="653" spans="1:10">
      <c r="A653" s="75" t="str">
        <f t="shared" si="42"/>
        <v/>
      </c>
      <c r="B653" s="87">
        <v>29</v>
      </c>
      <c r="C653" s="96">
        <v>45385</v>
      </c>
      <c r="D653" s="76">
        <f t="shared" si="40"/>
        <v>4</v>
      </c>
      <c r="E653" s="77" t="s">
        <v>428</v>
      </c>
      <c r="F653" s="95">
        <v>4</v>
      </c>
      <c r="G653" s="78" t="s">
        <v>556</v>
      </c>
      <c r="H653" s="91">
        <f t="shared" si="41"/>
        <v>2024</v>
      </c>
      <c r="I653" s="7" t="s">
        <v>714</v>
      </c>
      <c r="J653" s="76" t="s">
        <v>709</v>
      </c>
    </row>
    <row r="654" spans="1:10">
      <c r="A654" s="75" t="str">
        <f t="shared" si="42"/>
        <v/>
      </c>
      <c r="B654" s="87">
        <v>30</v>
      </c>
      <c r="C654" s="96">
        <v>45385</v>
      </c>
      <c r="D654" s="76">
        <f t="shared" si="40"/>
        <v>4</v>
      </c>
      <c r="E654" s="77" t="s">
        <v>431</v>
      </c>
      <c r="F654" s="95">
        <v>4</v>
      </c>
      <c r="G654" s="78" t="s">
        <v>556</v>
      </c>
      <c r="H654" s="91">
        <f t="shared" si="41"/>
        <v>2024</v>
      </c>
      <c r="I654" s="7" t="s">
        <v>653</v>
      </c>
      <c r="J654" s="76" t="s">
        <v>709</v>
      </c>
    </row>
    <row r="655" spans="1:10">
      <c r="A655" s="75" t="str">
        <f t="shared" si="42"/>
        <v/>
      </c>
      <c r="B655" s="87">
        <v>31</v>
      </c>
      <c r="C655" s="96">
        <v>45386</v>
      </c>
      <c r="D655" s="76">
        <f t="shared" si="40"/>
        <v>4</v>
      </c>
      <c r="E655" s="77" t="s">
        <v>431</v>
      </c>
      <c r="F655" s="95">
        <v>4</v>
      </c>
      <c r="G655" s="78" t="s">
        <v>556</v>
      </c>
      <c r="H655" s="91">
        <f t="shared" si="41"/>
        <v>2024</v>
      </c>
      <c r="I655" s="7" t="s">
        <v>623</v>
      </c>
      <c r="J655" s="76" t="s">
        <v>709</v>
      </c>
    </row>
    <row r="656" spans="1:10">
      <c r="A656" s="75" t="str">
        <f t="shared" si="42"/>
        <v/>
      </c>
      <c r="B656" s="87">
        <v>32</v>
      </c>
      <c r="C656" s="96">
        <v>45398</v>
      </c>
      <c r="D656" s="76">
        <f t="shared" si="40"/>
        <v>4</v>
      </c>
      <c r="E656" s="77" t="s">
        <v>431</v>
      </c>
      <c r="F656" s="95">
        <v>4</v>
      </c>
      <c r="G656" s="78" t="s">
        <v>513</v>
      </c>
      <c r="H656" s="91">
        <f t="shared" si="41"/>
        <v>2024</v>
      </c>
      <c r="I656" s="7" t="s">
        <v>653</v>
      </c>
      <c r="J656" s="76" t="s">
        <v>709</v>
      </c>
    </row>
    <row r="657" spans="1:10">
      <c r="A657" s="75" t="str">
        <f t="shared" si="42"/>
        <v/>
      </c>
      <c r="B657" s="87">
        <v>33</v>
      </c>
      <c r="C657" s="96">
        <v>45415</v>
      </c>
      <c r="D657" s="76">
        <f t="shared" si="40"/>
        <v>5</v>
      </c>
      <c r="E657" s="77" t="s">
        <v>431</v>
      </c>
      <c r="F657" s="95">
        <v>4</v>
      </c>
      <c r="G657" s="78" t="s">
        <v>715</v>
      </c>
      <c r="H657" s="91">
        <f t="shared" si="41"/>
        <v>2024</v>
      </c>
      <c r="I657" s="7" t="s">
        <v>623</v>
      </c>
      <c r="J657" s="76" t="s">
        <v>709</v>
      </c>
    </row>
    <row r="658" spans="1:10">
      <c r="A658" s="75" t="str">
        <f t="shared" si="42"/>
        <v/>
      </c>
      <c r="B658" s="87">
        <v>34</v>
      </c>
      <c r="C658" s="96">
        <v>45415</v>
      </c>
      <c r="D658" s="76">
        <f t="shared" si="40"/>
        <v>5</v>
      </c>
      <c r="E658" s="77" t="s">
        <v>424</v>
      </c>
      <c r="F658" s="95">
        <v>4</v>
      </c>
      <c r="G658" s="78" t="s">
        <v>715</v>
      </c>
      <c r="H658" s="91">
        <f t="shared" si="41"/>
        <v>2024</v>
      </c>
      <c r="I658" s="7" t="s">
        <v>716</v>
      </c>
      <c r="J658" s="76" t="s">
        <v>709</v>
      </c>
    </row>
    <row r="659" spans="1:10">
      <c r="A659" s="75" t="str">
        <f t="shared" si="42"/>
        <v/>
      </c>
      <c r="B659" s="87">
        <v>35</v>
      </c>
      <c r="C659" s="96">
        <v>45416</v>
      </c>
      <c r="D659" s="76">
        <f t="shared" si="40"/>
        <v>5</v>
      </c>
      <c r="E659" s="77" t="s">
        <v>424</v>
      </c>
      <c r="F659" s="95">
        <v>4</v>
      </c>
      <c r="G659" s="78" t="s">
        <v>717</v>
      </c>
      <c r="H659" s="91">
        <f t="shared" si="41"/>
        <v>2024</v>
      </c>
      <c r="I659" s="7" t="s">
        <v>653</v>
      </c>
      <c r="J659" s="76" t="s">
        <v>709</v>
      </c>
    </row>
    <row r="660" spans="1:10">
      <c r="A660" s="75" t="str">
        <f t="shared" si="42"/>
        <v/>
      </c>
      <c r="B660" s="87">
        <v>36</v>
      </c>
      <c r="C660" s="96">
        <v>45416</v>
      </c>
      <c r="D660" s="76">
        <f t="shared" si="40"/>
        <v>5</v>
      </c>
      <c r="E660" s="77" t="s">
        <v>492</v>
      </c>
      <c r="F660" s="95">
        <v>4</v>
      </c>
      <c r="G660" s="78" t="s">
        <v>718</v>
      </c>
      <c r="H660" s="91">
        <f t="shared" si="41"/>
        <v>2024</v>
      </c>
      <c r="I660" s="7" t="s">
        <v>653</v>
      </c>
      <c r="J660" s="76" t="s">
        <v>709</v>
      </c>
    </row>
    <row r="661" spans="1:10">
      <c r="A661" s="75" t="str">
        <f t="shared" si="42"/>
        <v/>
      </c>
      <c r="B661" s="87">
        <v>37</v>
      </c>
      <c r="C661" s="96">
        <v>45416</v>
      </c>
      <c r="D661" s="76">
        <f t="shared" si="40"/>
        <v>5</v>
      </c>
      <c r="E661" s="77" t="s">
        <v>492</v>
      </c>
      <c r="F661" s="95">
        <v>4</v>
      </c>
      <c r="G661" s="78" t="s">
        <v>439</v>
      </c>
      <c r="H661" s="91">
        <f t="shared" si="41"/>
        <v>2024</v>
      </c>
      <c r="I661" s="7" t="s">
        <v>653</v>
      </c>
      <c r="J661" s="76" t="s">
        <v>709</v>
      </c>
    </row>
    <row r="662" spans="1:10">
      <c r="A662" s="75" t="str">
        <f t="shared" si="42"/>
        <v/>
      </c>
      <c r="B662" s="87">
        <v>38</v>
      </c>
      <c r="C662" s="96">
        <v>45418</v>
      </c>
      <c r="D662" s="76">
        <f t="shared" si="40"/>
        <v>5</v>
      </c>
      <c r="E662" s="77" t="s">
        <v>492</v>
      </c>
      <c r="F662" s="95">
        <v>4</v>
      </c>
      <c r="G662" s="78" t="s">
        <v>439</v>
      </c>
      <c r="H662" s="91">
        <f t="shared" si="41"/>
        <v>2024</v>
      </c>
      <c r="I662" s="7" t="s">
        <v>625</v>
      </c>
      <c r="J662" s="76" t="s">
        <v>709</v>
      </c>
    </row>
    <row r="663" spans="1:10">
      <c r="A663" s="75" t="str">
        <f t="shared" si="42"/>
        <v/>
      </c>
      <c r="B663" s="87">
        <v>39</v>
      </c>
      <c r="C663" s="96">
        <v>45418</v>
      </c>
      <c r="D663" s="76">
        <f t="shared" si="40"/>
        <v>5</v>
      </c>
      <c r="E663" s="77" t="s">
        <v>438</v>
      </c>
      <c r="F663" s="95">
        <v>4</v>
      </c>
      <c r="G663" s="78" t="s">
        <v>439</v>
      </c>
      <c r="H663" s="91">
        <f t="shared" si="41"/>
        <v>2024</v>
      </c>
      <c r="I663" s="7" t="s">
        <v>625</v>
      </c>
      <c r="J663" s="76" t="s">
        <v>709</v>
      </c>
    </row>
    <row r="664" spans="1:10">
      <c r="A664" s="75" t="str">
        <f t="shared" si="42"/>
        <v/>
      </c>
      <c r="B664" s="87">
        <v>40</v>
      </c>
      <c r="C664" s="96">
        <v>45419</v>
      </c>
      <c r="D664" s="76">
        <f t="shared" si="40"/>
        <v>5</v>
      </c>
      <c r="E664" s="77" t="s">
        <v>438</v>
      </c>
      <c r="F664" s="95">
        <v>4</v>
      </c>
      <c r="G664" s="78" t="s">
        <v>667</v>
      </c>
      <c r="H664" s="91">
        <f t="shared" si="41"/>
        <v>2024</v>
      </c>
      <c r="I664" s="7" t="s">
        <v>625</v>
      </c>
      <c r="J664" s="76" t="s">
        <v>709</v>
      </c>
    </row>
    <row r="665" spans="1:10">
      <c r="A665" s="75" t="str">
        <f t="shared" si="42"/>
        <v/>
      </c>
      <c r="B665" s="87">
        <v>41</v>
      </c>
      <c r="C665" s="96">
        <v>45421</v>
      </c>
      <c r="D665" s="76">
        <f t="shared" si="40"/>
        <v>5</v>
      </c>
      <c r="E665" s="77" t="s">
        <v>438</v>
      </c>
      <c r="F665" s="95">
        <v>4</v>
      </c>
      <c r="G665" s="78" t="s">
        <v>667</v>
      </c>
      <c r="H665" s="91">
        <f t="shared" si="41"/>
        <v>2024</v>
      </c>
      <c r="I665" s="7" t="s">
        <v>625</v>
      </c>
      <c r="J665" s="76" t="s">
        <v>709</v>
      </c>
    </row>
    <row r="5215" spans="4:9">
      <c r="D5215" s="76" t="s">
        <v>416</v>
      </c>
      <c r="I5215" s="76" t="s">
        <v>416</v>
      </c>
    </row>
    <row r="6007" spans="2:2">
      <c r="B6007" s="100"/>
    </row>
  </sheetData>
  <mergeCells count="5">
    <mergeCell ref="E2:F2"/>
    <mergeCell ref="E3:F3"/>
    <mergeCell ref="E4:F4"/>
    <mergeCell ref="E5:F5"/>
    <mergeCell ref="E6:F6"/>
  </mergeCells>
  <dataValidations count="3">
    <dataValidation type="list" showErrorMessage="1" sqref="E3" xr:uid="{25374813-9D6F-421B-91F8-58C93B3B0C45}">
      <formula1>$I$11:$I$10002</formula1>
    </dataValidation>
    <dataValidation type="list" showErrorMessage="1" sqref="E4" xr:uid="{E9F4DE17-E0F4-4B1B-94BE-1BC1812BDAB1}">
      <formula1>$D$11:$D$10002</formula1>
    </dataValidation>
    <dataValidation type="list" sqref="E5" xr:uid="{5AC24A78-EE5C-4C4B-9A8A-AACE19D6A577}">
      <formula1>0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../../Templates/tono1.ots</Template>
  <TotalTime>121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Internal</vt:lpstr>
      <vt:lpstr>Data BBM</vt:lpstr>
      <vt:lpstr>Data Maintenance</vt:lpstr>
      <vt:lpstr>Eksternal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tono</dc:title>
  <dc:creator>asus</dc:creator>
  <cp:lastModifiedBy>Michael Sugiarto</cp:lastModifiedBy>
  <cp:revision>18</cp:revision>
  <dcterms:created xsi:type="dcterms:W3CDTF">2026-01-19T14:31:29Z</dcterms:created>
  <dcterms:modified xsi:type="dcterms:W3CDTF">2026-02-04T06:16:57Z</dcterms:modified>
</cp:coreProperties>
</file>