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SPIL\Waste Management\Analisa Waste Management\"/>
    </mc:Choice>
  </mc:AlternateContent>
  <xr:revisionPtr revIDLastSave="0" documentId="13_ncr:1_{61629902-80A4-4538-BD0F-ECD23764D3CD}" xr6:coauthVersionLast="47" xr6:coauthVersionMax="47" xr10:uidLastSave="{00000000-0000-0000-0000-000000000000}"/>
  <bookViews>
    <workbookView xWindow="-120" yWindow="-120" windowWidth="20730" windowHeight="11040" activeTab="3" xr2:uid="{8B5EE6C1-741A-4301-9470-0E4606B9A399}"/>
  </bookViews>
  <sheets>
    <sheet name="Internal" sheetId="1" r:id="rId1"/>
    <sheet name="Data BBM" sheetId="2" r:id="rId2"/>
    <sheet name="Data Maintenance" sheetId="3" r:id="rId3"/>
    <sheet name="Eksternal" sheetId="4" r:id="rId4"/>
  </sheets>
  <calcPr calcId="181029"/>
</workbook>
</file>

<file path=xl/calcChain.xml><?xml version="1.0" encoding="utf-8"?>
<calcChain xmlns="http://schemas.openxmlformats.org/spreadsheetml/2006/main">
  <c r="H665" i="4" l="1"/>
  <c r="D665" i="4"/>
  <c r="A665" i="4" s="1"/>
  <c r="H664" i="4"/>
  <c r="D664" i="4"/>
  <c r="A664" i="4"/>
  <c r="H663" i="4"/>
  <c r="D663" i="4"/>
  <c r="A663" i="4"/>
  <c r="H662" i="4"/>
  <c r="D662" i="4"/>
  <c r="A662" i="4" s="1"/>
  <c r="H661" i="4"/>
  <c r="D661" i="4"/>
  <c r="A661" i="4" s="1"/>
  <c r="H660" i="4"/>
  <c r="D660" i="4"/>
  <c r="A660" i="4"/>
  <c r="H659" i="4"/>
  <c r="D659" i="4"/>
  <c r="A659" i="4" s="1"/>
  <c r="H658" i="4"/>
  <c r="D658" i="4"/>
  <c r="A658" i="4" s="1"/>
  <c r="H657" i="4"/>
  <c r="D657" i="4"/>
  <c r="A657" i="4" s="1"/>
  <c r="H656" i="4"/>
  <c r="D656" i="4"/>
  <c r="A656" i="4"/>
  <c r="H655" i="4"/>
  <c r="D655" i="4"/>
  <c r="A655" i="4" s="1"/>
  <c r="H654" i="4"/>
  <c r="D654" i="4"/>
  <c r="A654" i="4" s="1"/>
  <c r="H653" i="4"/>
  <c r="D653" i="4"/>
  <c r="A653" i="4" s="1"/>
  <c r="H652" i="4"/>
  <c r="D652" i="4"/>
  <c r="A652" i="4"/>
  <c r="H651" i="4"/>
  <c r="D651" i="4"/>
  <c r="A651" i="4" s="1"/>
  <c r="H650" i="4"/>
  <c r="D650" i="4"/>
  <c r="A650" i="4" s="1"/>
  <c r="H649" i="4"/>
  <c r="D649" i="4"/>
  <c r="A649" i="4" s="1"/>
  <c r="H648" i="4"/>
  <c r="D648" i="4"/>
  <c r="A648" i="4"/>
  <c r="H647" i="4"/>
  <c r="D647" i="4"/>
  <c r="A647" i="4" s="1"/>
  <c r="H646" i="4"/>
  <c r="D646" i="4"/>
  <c r="A646" i="4" s="1"/>
  <c r="H645" i="4"/>
  <c r="D645" i="4"/>
  <c r="A645" i="4" s="1"/>
  <c r="H644" i="4"/>
  <c r="D644" i="4"/>
  <c r="A644" i="4"/>
  <c r="H643" i="4"/>
  <c r="D643" i="4"/>
  <c r="A643" i="4" s="1"/>
  <c r="H642" i="4"/>
  <c r="D642" i="4"/>
  <c r="A642" i="4" s="1"/>
  <c r="H641" i="4"/>
  <c r="D641" i="4"/>
  <c r="A641" i="4" s="1"/>
  <c r="H640" i="4"/>
  <c r="D640" i="4"/>
  <c r="A640" i="4"/>
  <c r="H639" i="4"/>
  <c r="D639" i="4"/>
  <c r="A639" i="4" s="1"/>
  <c r="H638" i="4"/>
  <c r="D638" i="4"/>
  <c r="A638" i="4" s="1"/>
  <c r="H637" i="4"/>
  <c r="D637" i="4"/>
  <c r="A637" i="4" s="1"/>
  <c r="H636" i="4"/>
  <c r="D636" i="4"/>
  <c r="A636" i="4"/>
  <c r="H635" i="4"/>
  <c r="D635" i="4"/>
  <c r="A635" i="4" s="1"/>
  <c r="H634" i="4"/>
  <c r="D634" i="4"/>
  <c r="A634" i="4" s="1"/>
  <c r="H633" i="4"/>
  <c r="D633" i="4"/>
  <c r="A633" i="4" s="1"/>
  <c r="H632" i="4"/>
  <c r="D632" i="4"/>
  <c r="A632" i="4"/>
  <c r="H631" i="4"/>
  <c r="D631" i="4"/>
  <c r="A631" i="4" s="1"/>
  <c r="H630" i="4"/>
  <c r="D630" i="4"/>
  <c r="A630" i="4" s="1"/>
  <c r="H629" i="4"/>
  <c r="D629" i="4"/>
  <c r="A629" i="4" s="1"/>
  <c r="H628" i="4"/>
  <c r="D628" i="4"/>
  <c r="A628" i="4"/>
  <c r="H627" i="4"/>
  <c r="D627" i="4"/>
  <c r="A627" i="4" s="1"/>
  <c r="H626" i="4"/>
  <c r="D626" i="4"/>
  <c r="A626" i="4" s="1"/>
  <c r="H625" i="4"/>
  <c r="D625" i="4"/>
  <c r="A625" i="4" s="1"/>
  <c r="A624" i="4"/>
  <c r="H623" i="4"/>
  <c r="D623" i="4"/>
  <c r="A623" i="4" s="1"/>
  <c r="H622" i="4"/>
  <c r="D622" i="4"/>
  <c r="A622" i="4" s="1"/>
  <c r="H621" i="4"/>
  <c r="D621" i="4"/>
  <c r="A621" i="4"/>
  <c r="H620" i="4"/>
  <c r="D620" i="4"/>
  <c r="A620" i="4" s="1"/>
  <c r="H619" i="4"/>
  <c r="D619" i="4"/>
  <c r="A619" i="4" s="1"/>
  <c r="H618" i="4"/>
  <c r="D618" i="4"/>
  <c r="A618" i="4"/>
  <c r="H617" i="4"/>
  <c r="D617" i="4"/>
  <c r="A617" i="4" s="1"/>
  <c r="H616" i="4"/>
  <c r="D616" i="4"/>
  <c r="A616" i="4"/>
  <c r="H615" i="4"/>
  <c r="D615" i="4"/>
  <c r="A615" i="4" s="1"/>
  <c r="H614" i="4"/>
  <c r="D614" i="4"/>
  <c r="A614" i="4" s="1"/>
  <c r="H613" i="4"/>
  <c r="D613" i="4"/>
  <c r="A613" i="4"/>
  <c r="H612" i="4"/>
  <c r="D612" i="4"/>
  <c r="A612" i="4" s="1"/>
  <c r="H611" i="4"/>
  <c r="D611" i="4"/>
  <c r="A611" i="4" s="1"/>
  <c r="H610" i="4"/>
  <c r="D610" i="4"/>
  <c r="A610" i="4"/>
  <c r="H609" i="4"/>
  <c r="D609" i="4"/>
  <c r="A609" i="4" s="1"/>
  <c r="H608" i="4"/>
  <c r="D608" i="4"/>
  <c r="A608" i="4"/>
  <c r="H607" i="4"/>
  <c r="D607" i="4"/>
  <c r="A607" i="4" s="1"/>
  <c r="H606" i="4"/>
  <c r="D606" i="4"/>
  <c r="A606" i="4" s="1"/>
  <c r="H605" i="4"/>
  <c r="D605" i="4"/>
  <c r="A605" i="4"/>
  <c r="H604" i="4"/>
  <c r="D604" i="4"/>
  <c r="A604" i="4" s="1"/>
  <c r="H603" i="4"/>
  <c r="D603" i="4"/>
  <c r="A603" i="4" s="1"/>
  <c r="H602" i="4"/>
  <c r="D602" i="4"/>
  <c r="A602" i="4"/>
  <c r="H601" i="4"/>
  <c r="D601" i="4"/>
  <c r="A601" i="4" s="1"/>
  <c r="H600" i="4"/>
  <c r="D600" i="4"/>
  <c r="A600" i="4"/>
  <c r="H599" i="4"/>
  <c r="D599" i="4"/>
  <c r="A599" i="4" s="1"/>
  <c r="H598" i="4"/>
  <c r="D598" i="4"/>
  <c r="A598" i="4" s="1"/>
  <c r="H597" i="4"/>
  <c r="D597" i="4"/>
  <c r="A597" i="4"/>
  <c r="H596" i="4"/>
  <c r="D596" i="4"/>
  <c r="A596" i="4" s="1"/>
  <c r="H595" i="4"/>
  <c r="D595" i="4"/>
  <c r="A595" i="4" s="1"/>
  <c r="H594" i="4"/>
  <c r="D594" i="4"/>
  <c r="A594" i="4"/>
  <c r="H593" i="4"/>
  <c r="D593" i="4"/>
  <c r="A593" i="4" s="1"/>
  <c r="H592" i="4"/>
  <c r="D592" i="4"/>
  <c r="A592" i="4"/>
  <c r="H591" i="4"/>
  <c r="D591" i="4"/>
  <c r="A591" i="4" s="1"/>
  <c r="H590" i="4"/>
  <c r="D590" i="4"/>
  <c r="A590" i="4" s="1"/>
  <c r="H589" i="4"/>
  <c r="D589" i="4"/>
  <c r="A589" i="4"/>
  <c r="H588" i="4"/>
  <c r="D588" i="4"/>
  <c r="A588" i="4" s="1"/>
  <c r="H587" i="4"/>
  <c r="D587" i="4"/>
  <c r="A587" i="4" s="1"/>
  <c r="H586" i="4"/>
  <c r="D586" i="4"/>
  <c r="A586" i="4"/>
  <c r="H585" i="4"/>
  <c r="D585" i="4"/>
  <c r="A585" i="4" s="1"/>
  <c r="H584" i="4"/>
  <c r="D584" i="4"/>
  <c r="A584" i="4"/>
  <c r="H583" i="4"/>
  <c r="D583" i="4"/>
  <c r="A583" i="4" s="1"/>
  <c r="H582" i="4"/>
  <c r="D582" i="4"/>
  <c r="A582" i="4" s="1"/>
  <c r="H581" i="4"/>
  <c r="D581" i="4"/>
  <c r="A581" i="4"/>
  <c r="H580" i="4"/>
  <c r="D580" i="4"/>
  <c r="A580" i="4" s="1"/>
  <c r="H579" i="4"/>
  <c r="D579" i="4"/>
  <c r="A579" i="4" s="1"/>
  <c r="H578" i="4"/>
  <c r="D578" i="4"/>
  <c r="A578" i="4"/>
  <c r="H577" i="4"/>
  <c r="D577" i="4"/>
  <c r="A577" i="4" s="1"/>
  <c r="H576" i="4"/>
  <c r="D576" i="4"/>
  <c r="A576" i="4"/>
  <c r="H575" i="4"/>
  <c r="D575" i="4"/>
  <c r="A575" i="4" s="1"/>
  <c r="H574" i="4"/>
  <c r="D574" i="4"/>
  <c r="A574" i="4" s="1"/>
  <c r="H573" i="4"/>
  <c r="D573" i="4"/>
  <c r="A573" i="4"/>
  <c r="H572" i="4"/>
  <c r="D572" i="4"/>
  <c r="A572" i="4" s="1"/>
  <c r="H571" i="4"/>
  <c r="D571" i="4"/>
  <c r="A571" i="4" s="1"/>
  <c r="A570" i="4"/>
  <c r="H569" i="4"/>
  <c r="D569" i="4"/>
  <c r="A569" i="4" s="1"/>
  <c r="H568" i="4"/>
  <c r="D568" i="4"/>
  <c r="A568" i="4" s="1"/>
  <c r="H567" i="4"/>
  <c r="D567" i="4"/>
  <c r="A567" i="4"/>
  <c r="H566" i="4"/>
  <c r="D566" i="4"/>
  <c r="A566" i="4" s="1"/>
  <c r="H565" i="4"/>
  <c r="D565" i="4"/>
  <c r="A565" i="4" s="1"/>
  <c r="H564" i="4"/>
  <c r="D564" i="4"/>
  <c r="A564" i="4"/>
  <c r="H563" i="4"/>
  <c r="D563" i="4"/>
  <c r="A563" i="4" s="1"/>
  <c r="H562" i="4"/>
  <c r="D562" i="4"/>
  <c r="A562" i="4"/>
  <c r="H561" i="4"/>
  <c r="D561" i="4"/>
  <c r="A561" i="4" s="1"/>
  <c r="H560" i="4"/>
  <c r="D560" i="4"/>
  <c r="A560" i="4" s="1"/>
  <c r="H559" i="4"/>
  <c r="D559" i="4"/>
  <c r="A559" i="4"/>
  <c r="H558" i="4"/>
  <c r="D558" i="4"/>
  <c r="A558" i="4" s="1"/>
  <c r="H557" i="4"/>
  <c r="D557" i="4"/>
  <c r="A557" i="4" s="1"/>
  <c r="H556" i="4"/>
  <c r="D556" i="4"/>
  <c r="A556" i="4"/>
  <c r="H555" i="4"/>
  <c r="D555" i="4"/>
  <c r="A555" i="4" s="1"/>
  <c r="H554" i="4"/>
  <c r="D554" i="4"/>
  <c r="A554" i="4"/>
  <c r="H553" i="4"/>
  <c r="D553" i="4"/>
  <c r="A553" i="4" s="1"/>
  <c r="H552" i="4"/>
  <c r="D552" i="4"/>
  <c r="A552" i="4" s="1"/>
  <c r="H551" i="4"/>
  <c r="D551" i="4"/>
  <c r="A551" i="4"/>
  <c r="H550" i="4"/>
  <c r="D550" i="4"/>
  <c r="A550" i="4" s="1"/>
  <c r="H549" i="4"/>
  <c r="D549" i="4"/>
  <c r="A549" i="4" s="1"/>
  <c r="H548" i="4"/>
  <c r="D548" i="4"/>
  <c r="A548" i="4"/>
  <c r="H547" i="4"/>
  <c r="D547" i="4"/>
  <c r="A547" i="4" s="1"/>
  <c r="H546" i="4"/>
  <c r="D546" i="4"/>
  <c r="A546" i="4"/>
  <c r="H545" i="4"/>
  <c r="D545" i="4"/>
  <c r="A545" i="4" s="1"/>
  <c r="H544" i="4"/>
  <c r="D544" i="4"/>
  <c r="A544" i="4" s="1"/>
  <c r="H543" i="4"/>
  <c r="D543" i="4"/>
  <c r="A543" i="4"/>
  <c r="H542" i="4"/>
  <c r="D542" i="4"/>
  <c r="A542" i="4" s="1"/>
  <c r="H541" i="4"/>
  <c r="D541" i="4"/>
  <c r="A541" i="4" s="1"/>
  <c r="H540" i="4"/>
  <c r="D540" i="4"/>
  <c r="A540" i="4"/>
  <c r="H539" i="4"/>
  <c r="D539" i="4"/>
  <c r="A539" i="4" s="1"/>
  <c r="H538" i="4"/>
  <c r="D538" i="4"/>
  <c r="A538" i="4"/>
  <c r="H537" i="4"/>
  <c r="D537" i="4"/>
  <c r="A537" i="4" s="1"/>
  <c r="H536" i="4"/>
  <c r="D536" i="4"/>
  <c r="A536" i="4" s="1"/>
  <c r="H535" i="4"/>
  <c r="D535" i="4"/>
  <c r="A535" i="4"/>
  <c r="H534" i="4"/>
  <c r="D534" i="4"/>
  <c r="A534" i="4" s="1"/>
  <c r="H533" i="4"/>
  <c r="D533" i="4"/>
  <c r="A533" i="4" s="1"/>
  <c r="H532" i="4"/>
  <c r="D532" i="4"/>
  <c r="A532" i="4"/>
  <c r="H531" i="4"/>
  <c r="D531" i="4"/>
  <c r="A531" i="4" s="1"/>
  <c r="H530" i="4"/>
  <c r="D530" i="4"/>
  <c r="A530" i="4"/>
  <c r="H529" i="4"/>
  <c r="D529" i="4"/>
  <c r="A529" i="4" s="1"/>
  <c r="H528" i="4"/>
  <c r="D528" i="4"/>
  <c r="A528" i="4" s="1"/>
  <c r="H527" i="4"/>
  <c r="D527" i="4"/>
  <c r="A527" i="4"/>
  <c r="A526" i="4"/>
  <c r="H525" i="4"/>
  <c r="D525" i="4"/>
  <c r="A525" i="4"/>
  <c r="H524" i="4"/>
  <c r="D524" i="4"/>
  <c r="A524" i="4" s="1"/>
  <c r="H523" i="4"/>
  <c r="D523" i="4"/>
  <c r="A523" i="4" s="1"/>
  <c r="H522" i="4"/>
  <c r="D522" i="4"/>
  <c r="A522" i="4"/>
  <c r="H521" i="4"/>
  <c r="D521" i="4"/>
  <c r="A521" i="4" s="1"/>
  <c r="H520" i="4"/>
  <c r="D520" i="4"/>
  <c r="A520" i="4"/>
  <c r="H519" i="4"/>
  <c r="D519" i="4"/>
  <c r="A519" i="4" s="1"/>
  <c r="H518" i="4"/>
  <c r="D518" i="4"/>
  <c r="A518" i="4" s="1"/>
  <c r="H517" i="4"/>
  <c r="D517" i="4"/>
  <c r="A517" i="4"/>
  <c r="H516" i="4"/>
  <c r="D516" i="4"/>
  <c r="A516" i="4" s="1"/>
  <c r="H515" i="4"/>
  <c r="D515" i="4"/>
  <c r="A515" i="4" s="1"/>
  <c r="H514" i="4"/>
  <c r="D514" i="4"/>
  <c r="A514" i="4"/>
  <c r="H513" i="4"/>
  <c r="D513" i="4"/>
  <c r="A513" i="4" s="1"/>
  <c r="H512" i="4"/>
  <c r="D512" i="4"/>
  <c r="A512" i="4"/>
  <c r="H511" i="4"/>
  <c r="D511" i="4"/>
  <c r="A511" i="4" s="1"/>
  <c r="H510" i="4"/>
  <c r="D510" i="4"/>
  <c r="A510" i="4" s="1"/>
  <c r="H509" i="4"/>
  <c r="D509" i="4"/>
  <c r="A509" i="4"/>
  <c r="H508" i="4"/>
  <c r="D508" i="4"/>
  <c r="A508" i="4" s="1"/>
  <c r="H507" i="4"/>
  <c r="D507" i="4"/>
  <c r="A507" i="4" s="1"/>
  <c r="H506" i="4"/>
  <c r="D506" i="4"/>
  <c r="A506" i="4"/>
  <c r="H505" i="4"/>
  <c r="D505" i="4"/>
  <c r="A505" i="4" s="1"/>
  <c r="H504" i="4"/>
  <c r="D504" i="4"/>
  <c r="A504" i="4"/>
  <c r="A503" i="4"/>
  <c r="H502" i="4"/>
  <c r="D502" i="4"/>
  <c r="A502" i="4"/>
  <c r="H501" i="4"/>
  <c r="D501" i="4"/>
  <c r="A501" i="4" s="1"/>
  <c r="H500" i="4"/>
  <c r="D500" i="4"/>
  <c r="A500" i="4" s="1"/>
  <c r="H499" i="4"/>
  <c r="D499" i="4"/>
  <c r="A499" i="4"/>
  <c r="H498" i="4"/>
  <c r="D498" i="4"/>
  <c r="A498" i="4" s="1"/>
  <c r="H497" i="4"/>
  <c r="D497" i="4"/>
  <c r="A497" i="4" s="1"/>
  <c r="H496" i="4"/>
  <c r="D496" i="4"/>
  <c r="A496" i="4"/>
  <c r="H495" i="4"/>
  <c r="D495" i="4"/>
  <c r="A495" i="4" s="1"/>
  <c r="H494" i="4"/>
  <c r="D494" i="4"/>
  <c r="A494" i="4"/>
  <c r="H493" i="4"/>
  <c r="D493" i="4"/>
  <c r="A493" i="4" s="1"/>
  <c r="H492" i="4"/>
  <c r="D492" i="4"/>
  <c r="A492" i="4" s="1"/>
  <c r="H491" i="4"/>
  <c r="D491" i="4"/>
  <c r="A491" i="4"/>
  <c r="H490" i="4"/>
  <c r="D490" i="4"/>
  <c r="A490" i="4" s="1"/>
  <c r="H489" i="4"/>
  <c r="D489" i="4"/>
  <c r="A489" i="4" s="1"/>
  <c r="H488" i="4"/>
  <c r="D488" i="4"/>
  <c r="A488" i="4"/>
  <c r="H487" i="4"/>
  <c r="D487" i="4"/>
  <c r="A487" i="4" s="1"/>
  <c r="H486" i="4"/>
  <c r="D486" i="4"/>
  <c r="A486" i="4"/>
  <c r="H485" i="4"/>
  <c r="D485" i="4"/>
  <c r="A485" i="4" s="1"/>
  <c r="H484" i="4"/>
  <c r="D484" i="4"/>
  <c r="A484" i="4" s="1"/>
  <c r="H483" i="4"/>
  <c r="D483" i="4"/>
  <c r="A483" i="4"/>
  <c r="H482" i="4"/>
  <c r="D482" i="4"/>
  <c r="A482" i="4" s="1"/>
  <c r="H481" i="4"/>
  <c r="D481" i="4"/>
  <c r="A481" i="4" s="1"/>
  <c r="H480" i="4"/>
  <c r="D480" i="4"/>
  <c r="A480" i="4"/>
  <c r="H479" i="4"/>
  <c r="D479" i="4"/>
  <c r="A479" i="4" s="1"/>
  <c r="H478" i="4"/>
  <c r="D478" i="4"/>
  <c r="A478" i="4"/>
  <c r="H477" i="4"/>
  <c r="D477" i="4"/>
  <c r="A477" i="4" s="1"/>
  <c r="H476" i="4"/>
  <c r="D476" i="4"/>
  <c r="A476" i="4" s="1"/>
  <c r="H475" i="4"/>
  <c r="D475" i="4"/>
  <c r="A475" i="4"/>
  <c r="H474" i="4"/>
  <c r="D474" i="4"/>
  <c r="A474" i="4" s="1"/>
  <c r="H473" i="4"/>
  <c r="D473" i="4"/>
  <c r="A473" i="4" s="1"/>
  <c r="H472" i="4"/>
  <c r="D472" i="4"/>
  <c r="A472" i="4"/>
  <c r="H471" i="4"/>
  <c r="D471" i="4"/>
  <c r="A471" i="4" s="1"/>
  <c r="H470" i="4"/>
  <c r="D470" i="4"/>
  <c r="A470" i="4"/>
  <c r="H469" i="4"/>
  <c r="D469" i="4"/>
  <c r="A469" i="4" s="1"/>
  <c r="H468" i="4"/>
  <c r="D468" i="4"/>
  <c r="A468" i="4" s="1"/>
  <c r="H467" i="4"/>
  <c r="D467" i="4"/>
  <c r="A467" i="4"/>
  <c r="H466" i="4"/>
  <c r="D466" i="4"/>
  <c r="A466" i="4" s="1"/>
  <c r="H465" i="4"/>
  <c r="D465" i="4"/>
  <c r="A465" i="4" s="1"/>
  <c r="H464" i="4"/>
  <c r="D464" i="4"/>
  <c r="A464" i="4"/>
  <c r="H463" i="4"/>
  <c r="D463" i="4"/>
  <c r="A463" i="4" s="1"/>
  <c r="H462" i="4"/>
  <c r="D462" i="4"/>
  <c r="A462" i="4"/>
  <c r="H461" i="4"/>
  <c r="D461" i="4"/>
  <c r="A461" i="4" s="1"/>
  <c r="A460" i="4"/>
  <c r="H459" i="4"/>
  <c r="D459" i="4"/>
  <c r="A459" i="4" s="1"/>
  <c r="H458" i="4"/>
  <c r="D458" i="4"/>
  <c r="A458" i="4"/>
  <c r="H457" i="4"/>
  <c r="D457" i="4"/>
  <c r="A457" i="4" s="1"/>
  <c r="H456" i="4"/>
  <c r="D456" i="4"/>
  <c r="A456" i="4"/>
  <c r="H455" i="4"/>
  <c r="D455" i="4"/>
  <c r="A455" i="4" s="1"/>
  <c r="H454" i="4"/>
  <c r="D454" i="4"/>
  <c r="A454" i="4" s="1"/>
  <c r="H453" i="4"/>
  <c r="D453" i="4"/>
  <c r="A453" i="4"/>
  <c r="H452" i="4"/>
  <c r="D452" i="4"/>
  <c r="A452" i="4" s="1"/>
  <c r="H451" i="4"/>
  <c r="D451" i="4"/>
  <c r="A451" i="4" s="1"/>
  <c r="H450" i="4"/>
  <c r="D450" i="4"/>
  <c r="A450" i="4"/>
  <c r="H449" i="4"/>
  <c r="D449" i="4"/>
  <c r="A449" i="4" s="1"/>
  <c r="H448" i="4"/>
  <c r="D448" i="4"/>
  <c r="A448" i="4"/>
  <c r="H447" i="4"/>
  <c r="D447" i="4"/>
  <c r="A447" i="4" s="1"/>
  <c r="H446" i="4"/>
  <c r="D446" i="4"/>
  <c r="A446" i="4" s="1"/>
  <c r="H445" i="4"/>
  <c r="D445" i="4"/>
  <c r="A445" i="4"/>
  <c r="H444" i="4"/>
  <c r="D444" i="4"/>
  <c r="A444" i="4" s="1"/>
  <c r="H443" i="4"/>
  <c r="D443" i="4"/>
  <c r="A443" i="4" s="1"/>
  <c r="H442" i="4"/>
  <c r="D442" i="4"/>
  <c r="A442" i="4"/>
  <c r="H441" i="4"/>
  <c r="D441" i="4"/>
  <c r="A441" i="4" s="1"/>
  <c r="H440" i="4"/>
  <c r="D440" i="4"/>
  <c r="A440" i="4"/>
  <c r="H439" i="4"/>
  <c r="D439" i="4"/>
  <c r="A439" i="4" s="1"/>
  <c r="H438" i="4"/>
  <c r="D438" i="4"/>
  <c r="A438" i="4" s="1"/>
  <c r="H437" i="4"/>
  <c r="D437" i="4"/>
  <c r="A437" i="4"/>
  <c r="H436" i="4"/>
  <c r="D436" i="4"/>
  <c r="A436" i="4" s="1"/>
  <c r="H435" i="4"/>
  <c r="D435" i="4"/>
  <c r="A435" i="4" s="1"/>
  <c r="H434" i="4"/>
  <c r="D434" i="4"/>
  <c r="A434" i="4"/>
  <c r="H433" i="4"/>
  <c r="D433" i="4"/>
  <c r="A433" i="4" s="1"/>
  <c r="H432" i="4"/>
  <c r="D432" i="4"/>
  <c r="A432" i="4"/>
  <c r="H431" i="4"/>
  <c r="D431" i="4"/>
  <c r="A431" i="4" s="1"/>
  <c r="H430" i="4"/>
  <c r="D430" i="4"/>
  <c r="A430" i="4" s="1"/>
  <c r="H429" i="4"/>
  <c r="D429" i="4"/>
  <c r="A429" i="4"/>
  <c r="H428" i="4"/>
  <c r="D428" i="4"/>
  <c r="A428" i="4" s="1"/>
  <c r="H427" i="4"/>
  <c r="D427" i="4"/>
  <c r="A427" i="4" s="1"/>
  <c r="H426" i="4"/>
  <c r="D426" i="4"/>
  <c r="A426" i="4"/>
  <c r="H425" i="4"/>
  <c r="D425" i="4"/>
  <c r="A425" i="4" s="1"/>
  <c r="H424" i="4"/>
  <c r="D424" i="4"/>
  <c r="A424" i="4"/>
  <c r="H423" i="4"/>
  <c r="D423" i="4"/>
  <c r="A423" i="4" s="1"/>
  <c r="H422" i="4"/>
  <c r="D422" i="4"/>
  <c r="A422" i="4" s="1"/>
  <c r="H421" i="4"/>
  <c r="D421" i="4"/>
  <c r="A421" i="4"/>
  <c r="H420" i="4"/>
  <c r="D420" i="4"/>
  <c r="A420" i="4" s="1"/>
  <c r="H419" i="4"/>
  <c r="D419" i="4"/>
  <c r="A419" i="4" s="1"/>
  <c r="H418" i="4"/>
  <c r="D418" i="4"/>
  <c r="A418" i="4"/>
  <c r="H417" i="4"/>
  <c r="D417" i="4"/>
  <c r="A417" i="4" s="1"/>
  <c r="A416" i="4"/>
  <c r="H415" i="4"/>
  <c r="D415" i="4"/>
  <c r="A415" i="4" s="1"/>
  <c r="H414" i="4"/>
  <c r="D414" i="4"/>
  <c r="A414" i="4"/>
  <c r="H413" i="4"/>
  <c r="D413" i="4"/>
  <c r="A413" i="4" s="1"/>
  <c r="H412" i="4"/>
  <c r="D412" i="4"/>
  <c r="A412" i="4" s="1"/>
  <c r="H411" i="4"/>
  <c r="D411" i="4"/>
  <c r="A411" i="4"/>
  <c r="H410" i="4"/>
  <c r="D410" i="4"/>
  <c r="A410" i="4" s="1"/>
  <c r="H409" i="4"/>
  <c r="D409" i="4"/>
  <c r="A409" i="4" s="1"/>
  <c r="H408" i="4"/>
  <c r="D408" i="4"/>
  <c r="A408" i="4"/>
  <c r="H407" i="4"/>
  <c r="D407" i="4"/>
  <c r="A407" i="4" s="1"/>
  <c r="H406" i="4"/>
  <c r="D406" i="4"/>
  <c r="A406" i="4"/>
  <c r="H405" i="4"/>
  <c r="D405" i="4"/>
  <c r="A405" i="4" s="1"/>
  <c r="H404" i="4"/>
  <c r="D404" i="4"/>
  <c r="A404" i="4" s="1"/>
  <c r="H403" i="4"/>
  <c r="D403" i="4"/>
  <c r="A403" i="4"/>
  <c r="H402" i="4"/>
  <c r="D402" i="4"/>
  <c r="A402" i="4" s="1"/>
  <c r="H401" i="4"/>
  <c r="D401" i="4"/>
  <c r="A401" i="4" s="1"/>
  <c r="H400" i="4"/>
  <c r="D400" i="4"/>
  <c r="A400" i="4"/>
  <c r="H399" i="4"/>
  <c r="D399" i="4"/>
  <c r="A399" i="4" s="1"/>
  <c r="H398" i="4"/>
  <c r="D398" i="4"/>
  <c r="A398" i="4"/>
  <c r="H397" i="4"/>
  <c r="D397" i="4"/>
  <c r="A397" i="4" s="1"/>
  <c r="H396" i="4"/>
  <c r="D396" i="4"/>
  <c r="A396" i="4" s="1"/>
  <c r="H395" i="4"/>
  <c r="D395" i="4"/>
  <c r="A395" i="4"/>
  <c r="H394" i="4"/>
  <c r="D394" i="4"/>
  <c r="A394" i="4" s="1"/>
  <c r="H393" i="4"/>
  <c r="D393" i="4"/>
  <c r="A393" i="4" s="1"/>
  <c r="H392" i="4"/>
  <c r="D392" i="4"/>
  <c r="A392" i="4"/>
  <c r="H391" i="4"/>
  <c r="D391" i="4"/>
  <c r="A391" i="4" s="1"/>
  <c r="H390" i="4"/>
  <c r="D390" i="4"/>
  <c r="A390" i="4"/>
  <c r="H389" i="4"/>
  <c r="D389" i="4"/>
  <c r="A389" i="4" s="1"/>
  <c r="H388" i="4"/>
  <c r="D388" i="4"/>
  <c r="A388" i="4" s="1"/>
  <c r="H387" i="4"/>
  <c r="D387" i="4"/>
  <c r="A387" i="4"/>
  <c r="H386" i="4"/>
  <c r="D386" i="4"/>
  <c r="A386" i="4" s="1"/>
  <c r="H385" i="4"/>
  <c r="D385" i="4"/>
  <c r="A385" i="4" s="1"/>
  <c r="H384" i="4"/>
  <c r="D384" i="4"/>
  <c r="A384" i="4"/>
  <c r="H383" i="4"/>
  <c r="D383" i="4"/>
  <c r="A383" i="4" s="1"/>
  <c r="H382" i="4"/>
  <c r="D382" i="4"/>
  <c r="A382" i="4"/>
  <c r="H381" i="4"/>
  <c r="D381" i="4"/>
  <c r="A381" i="4" s="1"/>
  <c r="H380" i="4"/>
  <c r="D380" i="4"/>
  <c r="A380" i="4" s="1"/>
  <c r="H379" i="4"/>
  <c r="D379" i="4"/>
  <c r="A379" i="4"/>
  <c r="H378" i="4"/>
  <c r="D378" i="4"/>
  <c r="A378" i="4" s="1"/>
  <c r="H377" i="4"/>
  <c r="D377" i="4"/>
  <c r="A377" i="4" s="1"/>
  <c r="H376" i="4"/>
  <c r="D376" i="4"/>
  <c r="A376" i="4"/>
  <c r="A375" i="4"/>
  <c r="H374" i="4"/>
  <c r="D374" i="4"/>
  <c r="A374" i="4" s="1"/>
  <c r="H373" i="4"/>
  <c r="D373" i="4"/>
  <c r="A373" i="4" s="1"/>
  <c r="H372" i="4"/>
  <c r="D372" i="4"/>
  <c r="A372" i="4" s="1"/>
  <c r="H371" i="4"/>
  <c r="D371" i="4"/>
  <c r="A371" i="4" s="1"/>
  <c r="H370" i="4"/>
  <c r="D370" i="4"/>
  <c r="A370" i="4" s="1"/>
  <c r="H369" i="4"/>
  <c r="D369" i="4"/>
  <c r="A369" i="4" s="1"/>
  <c r="H368" i="4"/>
  <c r="D368" i="4"/>
  <c r="A368" i="4" s="1"/>
  <c r="H367" i="4"/>
  <c r="D367" i="4"/>
  <c r="A367" i="4" s="1"/>
  <c r="H366" i="4"/>
  <c r="D366" i="4"/>
  <c r="A366" i="4" s="1"/>
  <c r="H365" i="4"/>
  <c r="D365" i="4"/>
  <c r="A365" i="4" s="1"/>
  <c r="H364" i="4"/>
  <c r="D364" i="4"/>
  <c r="A364" i="4" s="1"/>
  <c r="H363" i="4"/>
  <c r="D363" i="4"/>
  <c r="A363" i="4" s="1"/>
  <c r="H362" i="4"/>
  <c r="D362" i="4"/>
  <c r="A362" i="4" s="1"/>
  <c r="H361" i="4"/>
  <c r="D361" i="4"/>
  <c r="A361" i="4"/>
  <c r="H360" i="4"/>
  <c r="D360" i="4"/>
  <c r="A360" i="4" s="1"/>
  <c r="H359" i="4"/>
  <c r="D359" i="4"/>
  <c r="A359" i="4"/>
  <c r="H358" i="4"/>
  <c r="D358" i="4"/>
  <c r="A358" i="4" s="1"/>
  <c r="H357" i="4"/>
  <c r="D357" i="4"/>
  <c r="A357" i="4"/>
  <c r="H356" i="4"/>
  <c r="D356" i="4"/>
  <c r="A356" i="4" s="1"/>
  <c r="H355" i="4"/>
  <c r="D355" i="4"/>
  <c r="A355" i="4"/>
  <c r="H354" i="4"/>
  <c r="D354" i="4"/>
  <c r="A354" i="4" s="1"/>
  <c r="H353" i="4"/>
  <c r="D353" i="4"/>
  <c r="A353" i="4"/>
  <c r="H352" i="4"/>
  <c r="D352" i="4"/>
  <c r="A352" i="4" s="1"/>
  <c r="H351" i="4"/>
  <c r="D351" i="4"/>
  <c r="A351" i="4"/>
  <c r="H350" i="4"/>
  <c r="D350" i="4"/>
  <c r="A350" i="4" s="1"/>
  <c r="H349" i="4"/>
  <c r="D349" i="4"/>
  <c r="A349" i="4"/>
  <c r="H348" i="4"/>
  <c r="D348" i="4"/>
  <c r="A348" i="4" s="1"/>
  <c r="H347" i="4"/>
  <c r="D347" i="4"/>
  <c r="A347" i="4"/>
  <c r="H346" i="4"/>
  <c r="D346" i="4"/>
  <c r="A346" i="4" s="1"/>
  <c r="A345" i="4"/>
  <c r="H344" i="4"/>
  <c r="D344" i="4"/>
  <c r="A344" i="4" s="1"/>
  <c r="H343" i="4"/>
  <c r="D343" i="4"/>
  <c r="A343" i="4" s="1"/>
  <c r="H342" i="4"/>
  <c r="D342" i="4"/>
  <c r="A342" i="4" s="1"/>
  <c r="H341" i="4"/>
  <c r="D341" i="4"/>
  <c r="A341" i="4" s="1"/>
  <c r="H340" i="4"/>
  <c r="D340" i="4"/>
  <c r="A340" i="4" s="1"/>
  <c r="H339" i="4"/>
  <c r="D339" i="4"/>
  <c r="A339" i="4" s="1"/>
  <c r="H338" i="4"/>
  <c r="D338" i="4"/>
  <c r="A338" i="4" s="1"/>
  <c r="H337" i="4"/>
  <c r="D337" i="4"/>
  <c r="A337" i="4" s="1"/>
  <c r="H336" i="4"/>
  <c r="D336" i="4"/>
  <c r="A336" i="4" s="1"/>
  <c r="H335" i="4"/>
  <c r="D335" i="4"/>
  <c r="A335" i="4" s="1"/>
  <c r="H334" i="4"/>
  <c r="D334" i="4"/>
  <c r="A334" i="4" s="1"/>
  <c r="H333" i="4"/>
  <c r="D333" i="4"/>
  <c r="A333" i="4" s="1"/>
  <c r="H332" i="4"/>
  <c r="D332" i="4"/>
  <c r="A332" i="4" s="1"/>
  <c r="H331" i="4"/>
  <c r="D331" i="4"/>
  <c r="A331" i="4" s="1"/>
  <c r="H330" i="4"/>
  <c r="D330" i="4"/>
  <c r="A330" i="4" s="1"/>
  <c r="H329" i="4"/>
  <c r="D329" i="4"/>
  <c r="A329" i="4" s="1"/>
  <c r="H328" i="4"/>
  <c r="D328" i="4"/>
  <c r="A328" i="4" s="1"/>
  <c r="H327" i="4"/>
  <c r="D327" i="4"/>
  <c r="A327" i="4" s="1"/>
  <c r="H326" i="4"/>
  <c r="D326" i="4"/>
  <c r="A326" i="4" s="1"/>
  <c r="H325" i="4"/>
  <c r="D325" i="4"/>
  <c r="A325" i="4" s="1"/>
  <c r="H324" i="4"/>
  <c r="D324" i="4"/>
  <c r="A324" i="4" s="1"/>
  <c r="H323" i="4"/>
  <c r="D323" i="4"/>
  <c r="A323" i="4" s="1"/>
  <c r="H322" i="4"/>
  <c r="D322" i="4"/>
  <c r="A322" i="4" s="1"/>
  <c r="H321" i="4"/>
  <c r="D321" i="4"/>
  <c r="A321" i="4" s="1"/>
  <c r="H320" i="4"/>
  <c r="D320" i="4"/>
  <c r="A320" i="4" s="1"/>
  <c r="H319" i="4"/>
  <c r="D319" i="4"/>
  <c r="A319" i="4" s="1"/>
  <c r="H318" i="4"/>
  <c r="D318" i="4"/>
  <c r="A318" i="4" s="1"/>
  <c r="H317" i="4"/>
  <c r="D317" i="4"/>
  <c r="A317" i="4" s="1"/>
  <c r="H316" i="4"/>
  <c r="D316" i="4"/>
  <c r="A316" i="4" s="1"/>
  <c r="H315" i="4"/>
  <c r="D315" i="4"/>
  <c r="A315" i="4" s="1"/>
  <c r="H314" i="4"/>
  <c r="D314" i="4"/>
  <c r="A314" i="4" s="1"/>
  <c r="H313" i="4"/>
  <c r="D313" i="4"/>
  <c r="A313" i="4" s="1"/>
  <c r="H312" i="4"/>
  <c r="D312" i="4"/>
  <c r="A312" i="4" s="1"/>
  <c r="H311" i="4"/>
  <c r="D311" i="4"/>
  <c r="A311" i="4" s="1"/>
  <c r="H310" i="4"/>
  <c r="D310" i="4"/>
  <c r="A310" i="4" s="1"/>
  <c r="H309" i="4"/>
  <c r="D309" i="4"/>
  <c r="A309" i="4" s="1"/>
  <c r="H308" i="4"/>
  <c r="D308" i="4"/>
  <c r="A308" i="4" s="1"/>
  <c r="H307" i="4"/>
  <c r="D307" i="4"/>
  <c r="A307" i="4" s="1"/>
  <c r="H306" i="4"/>
  <c r="D306" i="4"/>
  <c r="A306" i="4" s="1"/>
  <c r="H305" i="4"/>
  <c r="D305" i="4"/>
  <c r="A305" i="4" s="1"/>
  <c r="H304" i="4"/>
  <c r="D304" i="4"/>
  <c r="A304" i="4" s="1"/>
  <c r="A303" i="4"/>
  <c r="H302" i="4"/>
  <c r="D302" i="4"/>
  <c r="H301" i="4"/>
  <c r="D301" i="4"/>
  <c r="H300" i="4"/>
  <c r="D300" i="4"/>
  <c r="H299" i="4"/>
  <c r="D299" i="4"/>
  <c r="H298" i="4"/>
  <c r="D298" i="4"/>
  <c r="H297" i="4"/>
  <c r="D297" i="4"/>
  <c r="H296" i="4"/>
  <c r="D296" i="4"/>
  <c r="H295" i="4"/>
  <c r="D295" i="4"/>
  <c r="H294" i="4"/>
  <c r="D294" i="4"/>
  <c r="H293" i="4"/>
  <c r="D293" i="4"/>
  <c r="H292" i="4"/>
  <c r="D292" i="4"/>
  <c r="H291" i="4"/>
  <c r="D291" i="4"/>
  <c r="H290" i="4"/>
  <c r="D290" i="4"/>
  <c r="H289" i="4"/>
  <c r="D289" i="4"/>
  <c r="H288" i="4"/>
  <c r="D288" i="4"/>
  <c r="H287" i="4"/>
  <c r="D287" i="4"/>
  <c r="H286" i="4"/>
  <c r="D286" i="4"/>
  <c r="H285" i="4"/>
  <c r="D285" i="4"/>
  <c r="H284" i="4"/>
  <c r="D284" i="4"/>
  <c r="H283" i="4"/>
  <c r="D283" i="4"/>
  <c r="H282" i="4"/>
  <c r="D282" i="4"/>
  <c r="H281" i="4"/>
  <c r="D281" i="4"/>
  <c r="H280" i="4"/>
  <c r="D280" i="4"/>
  <c r="H279" i="4"/>
  <c r="D279" i="4"/>
  <c r="H278" i="4"/>
  <c r="D278" i="4"/>
  <c r="H277" i="4"/>
  <c r="D277" i="4"/>
  <c r="H276" i="4"/>
  <c r="D276" i="4"/>
  <c r="H275" i="4"/>
  <c r="D275" i="4"/>
  <c r="H274" i="4"/>
  <c r="D274" i="4"/>
  <c r="H273" i="4"/>
  <c r="D273" i="4"/>
  <c r="H272" i="4"/>
  <c r="D272" i="4"/>
  <c r="A271" i="4"/>
  <c r="H270" i="4"/>
  <c r="D270" i="4"/>
  <c r="B270" i="4"/>
  <c r="A270" i="4"/>
  <c r="H269" i="4"/>
  <c r="D269" i="4"/>
  <c r="B269" i="4"/>
  <c r="A269" i="4"/>
  <c r="H268" i="4"/>
  <c r="D268" i="4"/>
  <c r="B268" i="4"/>
  <c r="A268" i="4"/>
  <c r="H267" i="4"/>
  <c r="D267" i="4"/>
  <c r="B267" i="4"/>
  <c r="A267" i="4"/>
  <c r="H266" i="4"/>
  <c r="D266" i="4"/>
  <c r="B266" i="4"/>
  <c r="A266" i="4"/>
  <c r="H265" i="4"/>
  <c r="D265" i="4"/>
  <c r="B265" i="4"/>
  <c r="A265" i="4"/>
  <c r="H264" i="4"/>
  <c r="D264" i="4"/>
  <c r="B264" i="4"/>
  <c r="A264" i="4"/>
  <c r="H263" i="4"/>
  <c r="D263" i="4"/>
  <c r="B263" i="4"/>
  <c r="A263" i="4"/>
  <c r="H262" i="4"/>
  <c r="D262" i="4"/>
  <c r="B262" i="4"/>
  <c r="A262" i="4"/>
  <c r="H261" i="4"/>
  <c r="D261" i="4"/>
  <c r="B261" i="4"/>
  <c r="A261" i="4"/>
  <c r="H260" i="4"/>
  <c r="D260" i="4"/>
  <c r="B260" i="4"/>
  <c r="A260" i="4"/>
  <c r="H259" i="4"/>
  <c r="D259" i="4"/>
  <c r="B259" i="4"/>
  <c r="A259" i="4"/>
  <c r="H258" i="4"/>
  <c r="D258" i="4"/>
  <c r="B258" i="4"/>
  <c r="A258" i="4"/>
  <c r="H257" i="4"/>
  <c r="D257" i="4"/>
  <c r="B257" i="4"/>
  <c r="A257" i="4"/>
  <c r="H256" i="4"/>
  <c r="D256" i="4"/>
  <c r="B256" i="4"/>
  <c r="A256" i="4"/>
  <c r="H255" i="4"/>
  <c r="D255" i="4"/>
  <c r="B255" i="4"/>
  <c r="A255" i="4"/>
  <c r="H254" i="4"/>
  <c r="D254" i="4"/>
  <c r="B254" i="4"/>
  <c r="A254" i="4"/>
  <c r="H253" i="4"/>
  <c r="D253" i="4"/>
  <c r="B253" i="4"/>
  <c r="A253" i="4"/>
  <c r="H252" i="4"/>
  <c r="D252" i="4"/>
  <c r="B252" i="4"/>
  <c r="A252" i="4"/>
  <c r="H251" i="4"/>
  <c r="D251" i="4"/>
  <c r="B251" i="4"/>
  <c r="A251" i="4"/>
  <c r="H250" i="4"/>
  <c r="D250" i="4"/>
  <c r="B250" i="4"/>
  <c r="A250" i="4"/>
  <c r="H249" i="4"/>
  <c r="D249" i="4"/>
  <c r="B249" i="4"/>
  <c r="A249" i="4"/>
  <c r="H248" i="4"/>
  <c r="D248" i="4"/>
  <c r="B248" i="4"/>
  <c r="A248" i="4"/>
  <c r="H247" i="4"/>
  <c r="D247" i="4"/>
  <c r="B247" i="4"/>
  <c r="A247" i="4"/>
  <c r="H246" i="4"/>
  <c r="D246" i="4"/>
  <c r="B246" i="4"/>
  <c r="A246" i="4"/>
  <c r="H245" i="4"/>
  <c r="D245" i="4"/>
  <c r="B245" i="4"/>
  <c r="A245" i="4"/>
  <c r="H244" i="4"/>
  <c r="D244" i="4"/>
  <c r="B244" i="4"/>
  <c r="A244" i="4"/>
  <c r="B243" i="4"/>
  <c r="A243" i="4"/>
  <c r="H242" i="4"/>
  <c r="B242" i="4"/>
  <c r="A242" i="4"/>
  <c r="H241" i="4"/>
  <c r="B241" i="4"/>
  <c r="A241" i="4"/>
  <c r="H240" i="4"/>
  <c r="B240" i="4"/>
  <c r="A240" i="4"/>
  <c r="H239" i="4"/>
  <c r="B239" i="4"/>
  <c r="A239" i="4"/>
  <c r="H238" i="4"/>
  <c r="B238" i="4"/>
  <c r="A238" i="4"/>
  <c r="H237" i="4"/>
  <c r="B237" i="4"/>
  <c r="A237" i="4"/>
  <c r="H236" i="4"/>
  <c r="B236" i="4"/>
  <c r="A236" i="4"/>
  <c r="H235" i="4"/>
  <c r="B235" i="4"/>
  <c r="A235" i="4"/>
  <c r="H234" i="4"/>
  <c r="B234" i="4"/>
  <c r="A234" i="4"/>
  <c r="H233" i="4"/>
  <c r="B233" i="4"/>
  <c r="A233" i="4"/>
  <c r="H232" i="4"/>
  <c r="B232" i="4"/>
  <c r="A232" i="4"/>
  <c r="H231" i="4"/>
  <c r="B231" i="4"/>
  <c r="A231" i="4"/>
  <c r="H230" i="4"/>
  <c r="B230" i="4"/>
  <c r="A230" i="4"/>
  <c r="H229" i="4"/>
  <c r="B229" i="4"/>
  <c r="A229" i="4"/>
  <c r="H228" i="4"/>
  <c r="B228" i="4"/>
  <c r="A228" i="4"/>
  <c r="H227" i="4"/>
  <c r="B227" i="4"/>
  <c r="A227" i="4"/>
  <c r="H226" i="4"/>
  <c r="B226" i="4"/>
  <c r="A226" i="4"/>
  <c r="H225" i="4"/>
  <c r="B225" i="4"/>
  <c r="A225" i="4"/>
  <c r="H224" i="4"/>
  <c r="B224" i="4"/>
  <c r="A224" i="4"/>
  <c r="H223" i="4"/>
  <c r="B223" i="4"/>
  <c r="A223" i="4"/>
  <c r="H222" i="4"/>
  <c r="B222" i="4"/>
  <c r="A222" i="4"/>
  <c r="H221" i="4"/>
  <c r="B221" i="4"/>
  <c r="A221" i="4"/>
  <c r="H220" i="4"/>
  <c r="B220" i="4"/>
  <c r="A220" i="4"/>
  <c r="H219" i="4"/>
  <c r="B219" i="4"/>
  <c r="A219" i="4"/>
  <c r="H218" i="4"/>
  <c r="B218" i="4"/>
  <c r="A218" i="4"/>
  <c r="B217" i="4"/>
  <c r="A217" i="4"/>
  <c r="H216" i="4"/>
  <c r="B216" i="4"/>
  <c r="A216" i="4"/>
  <c r="H215" i="4"/>
  <c r="B215" i="4"/>
  <c r="A215" i="4"/>
  <c r="H214" i="4"/>
  <c r="B214" i="4"/>
  <c r="A214" i="4"/>
  <c r="H213" i="4"/>
  <c r="B213" i="4"/>
  <c r="A213" i="4"/>
  <c r="H212" i="4"/>
  <c r="B212" i="4"/>
  <c r="A212" i="4"/>
  <c r="H211" i="4"/>
  <c r="B211" i="4"/>
  <c r="A211" i="4"/>
  <c r="H210" i="4"/>
  <c r="B210" i="4"/>
  <c r="A210" i="4"/>
  <c r="H209" i="4"/>
  <c r="B209" i="4"/>
  <c r="A209" i="4"/>
  <c r="H208" i="4"/>
  <c r="B208" i="4"/>
  <c r="A208" i="4"/>
  <c r="H207" i="4"/>
  <c r="B207" i="4"/>
  <c r="A207" i="4"/>
  <c r="H206" i="4"/>
  <c r="B206" i="4"/>
  <c r="A206" i="4"/>
  <c r="H205" i="4"/>
  <c r="B205" i="4"/>
  <c r="A205" i="4"/>
  <c r="H204" i="4"/>
  <c r="B204" i="4"/>
  <c r="A204" i="4"/>
  <c r="H203" i="4"/>
  <c r="B203" i="4"/>
  <c r="A203" i="4"/>
  <c r="H202" i="4"/>
  <c r="B202" i="4"/>
  <c r="A202" i="4"/>
  <c r="H201" i="4"/>
  <c r="B201" i="4"/>
  <c r="A201" i="4"/>
  <c r="H200" i="4"/>
  <c r="B200" i="4"/>
  <c r="A200" i="4"/>
  <c r="H199" i="4"/>
  <c r="B199" i="4"/>
  <c r="A199" i="4"/>
  <c r="H198" i="4"/>
  <c r="B198" i="4"/>
  <c r="A198" i="4"/>
  <c r="H197" i="4"/>
  <c r="B197" i="4"/>
  <c r="A197" i="4"/>
  <c r="H196" i="4"/>
  <c r="B196" i="4"/>
  <c r="A196" i="4"/>
  <c r="H195" i="4"/>
  <c r="B195" i="4"/>
  <c r="A195" i="4"/>
  <c r="H194" i="4"/>
  <c r="B194" i="4"/>
  <c r="A194" i="4"/>
  <c r="H193" i="4"/>
  <c r="B193" i="4"/>
  <c r="A193" i="4"/>
  <c r="H192" i="4"/>
  <c r="B192" i="4"/>
  <c r="A192" i="4"/>
  <c r="H191" i="4"/>
  <c r="B191" i="4"/>
  <c r="A191" i="4"/>
  <c r="H190" i="4"/>
  <c r="B190" i="4"/>
  <c r="A190" i="4"/>
  <c r="H189" i="4"/>
  <c r="B189" i="4"/>
  <c r="A189" i="4"/>
  <c r="H188" i="4"/>
  <c r="B188" i="4"/>
  <c r="A188" i="4"/>
  <c r="H187" i="4"/>
  <c r="B187" i="4"/>
  <c r="A187" i="4"/>
  <c r="H186" i="4"/>
  <c r="B186" i="4"/>
  <c r="A186" i="4"/>
  <c r="H185" i="4"/>
  <c r="B185" i="4"/>
  <c r="A185" i="4"/>
  <c r="H184" i="4"/>
  <c r="B184" i="4"/>
  <c r="A184" i="4"/>
  <c r="H183" i="4"/>
  <c r="B183" i="4"/>
  <c r="A183" i="4"/>
  <c r="H182" i="4"/>
  <c r="B182" i="4"/>
  <c r="A182" i="4"/>
  <c r="B181" i="4"/>
  <c r="A181" i="4"/>
  <c r="H180" i="4"/>
  <c r="B180" i="4"/>
  <c r="A180" i="4"/>
  <c r="H179" i="4"/>
  <c r="B179" i="4"/>
  <c r="A179" i="4"/>
  <c r="H178" i="4"/>
  <c r="B178" i="4"/>
  <c r="A178" i="4"/>
  <c r="H177" i="4"/>
  <c r="B177" i="4"/>
  <c r="A177" i="4"/>
  <c r="H176" i="4"/>
  <c r="B176" i="4"/>
  <c r="A176" i="4"/>
  <c r="H175" i="4"/>
  <c r="B175" i="4"/>
  <c r="A175" i="4"/>
  <c r="H174" i="4"/>
  <c r="B174" i="4"/>
  <c r="A174" i="4"/>
  <c r="H173" i="4"/>
  <c r="B173" i="4"/>
  <c r="A173" i="4"/>
  <c r="H172" i="4"/>
  <c r="B172" i="4"/>
  <c r="A172" i="4"/>
  <c r="H171" i="4"/>
  <c r="B171" i="4"/>
  <c r="A171" i="4"/>
  <c r="H170" i="4"/>
  <c r="B170" i="4"/>
  <c r="A170" i="4"/>
  <c r="H169" i="4"/>
  <c r="B169" i="4"/>
  <c r="A169" i="4"/>
  <c r="H168" i="4"/>
  <c r="B168" i="4"/>
  <c r="A168" i="4"/>
  <c r="H167" i="4"/>
  <c r="B167" i="4"/>
  <c r="A167" i="4"/>
  <c r="H166" i="4"/>
  <c r="B166" i="4"/>
  <c r="A166" i="4"/>
  <c r="H165" i="4"/>
  <c r="B165" i="4"/>
  <c r="A165" i="4"/>
  <c r="H164" i="4"/>
  <c r="B164" i="4"/>
  <c r="A164" i="4"/>
  <c r="H163" i="4"/>
  <c r="B163" i="4"/>
  <c r="A163" i="4"/>
  <c r="B162" i="4"/>
  <c r="A162" i="4"/>
  <c r="H161" i="4"/>
  <c r="B161" i="4"/>
  <c r="A161" i="4"/>
  <c r="H160" i="4"/>
  <c r="B160" i="4"/>
  <c r="A160" i="4"/>
  <c r="H159" i="4"/>
  <c r="B159" i="4"/>
  <c r="A159" i="4"/>
  <c r="H158" i="4"/>
  <c r="B158" i="4"/>
  <c r="A158" i="4"/>
  <c r="H157" i="4"/>
  <c r="B157" i="4"/>
  <c r="A157" i="4"/>
  <c r="H156" i="4"/>
  <c r="B156" i="4"/>
  <c r="A156" i="4"/>
  <c r="H155" i="4"/>
  <c r="B155" i="4"/>
  <c r="A155" i="4"/>
  <c r="H154" i="4"/>
  <c r="B154" i="4"/>
  <c r="A154" i="4"/>
  <c r="H153" i="4"/>
  <c r="B153" i="4"/>
  <c r="A153" i="4"/>
  <c r="H152" i="4"/>
  <c r="B152" i="4"/>
  <c r="A152" i="4"/>
  <c r="H151" i="4"/>
  <c r="B151" i="4"/>
  <c r="A151" i="4"/>
  <c r="H150" i="4"/>
  <c r="B150" i="4"/>
  <c r="A150" i="4"/>
  <c r="H149" i="4"/>
  <c r="B149" i="4"/>
  <c r="A149" i="4"/>
  <c r="H148" i="4"/>
  <c r="B148" i="4"/>
  <c r="A148" i="4"/>
  <c r="H147" i="4"/>
  <c r="B147" i="4"/>
  <c r="A147" i="4"/>
  <c r="H146" i="4"/>
  <c r="B146" i="4"/>
  <c r="A146" i="4"/>
  <c r="H145" i="4"/>
  <c r="B145" i="4"/>
  <c r="A145" i="4"/>
  <c r="H144" i="4"/>
  <c r="B144" i="4"/>
  <c r="A144" i="4"/>
  <c r="H143" i="4"/>
  <c r="B143" i="4"/>
  <c r="A143" i="4"/>
  <c r="H142" i="4"/>
  <c r="B142" i="4"/>
  <c r="A142" i="4"/>
  <c r="H141" i="4"/>
  <c r="B141" i="4"/>
  <c r="A141" i="4"/>
  <c r="H140" i="4"/>
  <c r="B140" i="4"/>
  <c r="A140" i="4"/>
  <c r="H139" i="4"/>
  <c r="B139" i="4"/>
  <c r="A139" i="4"/>
  <c r="H138" i="4"/>
  <c r="B138" i="4"/>
  <c r="A138" i="4"/>
  <c r="H137" i="4"/>
  <c r="B137" i="4"/>
  <c r="A137" i="4"/>
  <c r="H136" i="4"/>
  <c r="B136" i="4"/>
  <c r="A136" i="4"/>
  <c r="H135" i="4"/>
  <c r="B135" i="4"/>
  <c r="A135" i="4"/>
  <c r="H134" i="4"/>
  <c r="B134" i="4"/>
  <c r="A134" i="4"/>
  <c r="H133" i="4"/>
  <c r="B133" i="4"/>
  <c r="A133" i="4"/>
  <c r="H132" i="4"/>
  <c r="B132" i="4"/>
  <c r="A132" i="4"/>
  <c r="H131" i="4"/>
  <c r="B131" i="4"/>
  <c r="A131" i="4"/>
  <c r="B130" i="4"/>
  <c r="A130" i="4"/>
  <c r="H129" i="4"/>
  <c r="B129" i="4"/>
  <c r="A129" i="4"/>
  <c r="H128" i="4"/>
  <c r="B128" i="4"/>
  <c r="A128" i="4"/>
  <c r="H127" i="4"/>
  <c r="B127" i="4"/>
  <c r="A127" i="4"/>
  <c r="H126" i="4"/>
  <c r="B126" i="4"/>
  <c r="A126" i="4"/>
  <c r="H125" i="4"/>
  <c r="B125" i="4"/>
  <c r="A125" i="4"/>
  <c r="H124" i="4"/>
  <c r="B124" i="4"/>
  <c r="A124" i="4"/>
  <c r="H123" i="4"/>
  <c r="B123" i="4"/>
  <c r="A123" i="4"/>
  <c r="H122" i="4"/>
  <c r="B122" i="4"/>
  <c r="A122" i="4"/>
  <c r="H121" i="4"/>
  <c r="B121" i="4"/>
  <c r="A121" i="4"/>
  <c r="H120" i="4"/>
  <c r="B120" i="4"/>
  <c r="A120" i="4"/>
  <c r="H119" i="4"/>
  <c r="B119" i="4"/>
  <c r="A119" i="4"/>
  <c r="H118" i="4"/>
  <c r="B118" i="4"/>
  <c r="A118" i="4"/>
  <c r="H117" i="4"/>
  <c r="B117" i="4"/>
  <c r="A117" i="4"/>
  <c r="H116" i="4"/>
  <c r="B116" i="4"/>
  <c r="A116" i="4"/>
  <c r="H115" i="4"/>
  <c r="B115" i="4"/>
  <c r="A115" i="4"/>
  <c r="H114" i="4"/>
  <c r="B114" i="4"/>
  <c r="A114" i="4"/>
  <c r="H113" i="4"/>
  <c r="B113" i="4"/>
  <c r="A113" i="4"/>
  <c r="H112" i="4"/>
  <c r="B112" i="4"/>
  <c r="A112" i="4"/>
  <c r="H111" i="4"/>
  <c r="B111" i="4"/>
  <c r="A111" i="4"/>
  <c r="H110" i="4"/>
  <c r="B110" i="4"/>
  <c r="A110" i="4"/>
  <c r="H109" i="4"/>
  <c r="B109" i="4"/>
  <c r="A109" i="4"/>
  <c r="H108" i="4"/>
  <c r="B108" i="4"/>
  <c r="A108" i="4"/>
  <c r="H107" i="4"/>
  <c r="B107" i="4"/>
  <c r="A107" i="4"/>
  <c r="H106" i="4"/>
  <c r="B106" i="4"/>
  <c r="A106" i="4"/>
  <c r="H105" i="4"/>
  <c r="B105" i="4"/>
  <c r="A105" i="4"/>
  <c r="H104" i="4"/>
  <c r="B104" i="4"/>
  <c r="A104" i="4"/>
  <c r="H103" i="4"/>
  <c r="B103" i="4"/>
  <c r="A103" i="4"/>
  <c r="H102" i="4"/>
  <c r="B102" i="4"/>
  <c r="A102" i="4"/>
  <c r="B101" i="4"/>
  <c r="A101" i="4"/>
  <c r="H100" i="4"/>
  <c r="B100" i="4"/>
  <c r="A100" i="4"/>
  <c r="H99" i="4"/>
  <c r="B99" i="4"/>
  <c r="A99" i="4"/>
  <c r="H98" i="4"/>
  <c r="B98" i="4"/>
  <c r="A98" i="4"/>
  <c r="H97" i="4"/>
  <c r="B97" i="4"/>
  <c r="A97" i="4"/>
  <c r="H96" i="4"/>
  <c r="B96" i="4"/>
  <c r="A96" i="4"/>
  <c r="H95" i="4"/>
  <c r="B95" i="4"/>
  <c r="A95" i="4"/>
  <c r="H94" i="4"/>
  <c r="B94" i="4"/>
  <c r="A94" i="4"/>
  <c r="H93" i="4"/>
  <c r="B93" i="4"/>
  <c r="A93" i="4"/>
  <c r="H92" i="4"/>
  <c r="B92" i="4"/>
  <c r="A92" i="4"/>
  <c r="H91" i="4"/>
  <c r="B91" i="4"/>
  <c r="A91" i="4"/>
  <c r="H90" i="4"/>
  <c r="B90" i="4"/>
  <c r="A90" i="4"/>
  <c r="H89" i="4"/>
  <c r="B89" i="4"/>
  <c r="A89" i="4"/>
  <c r="H88" i="4"/>
  <c r="B88" i="4"/>
  <c r="A88" i="4"/>
  <c r="H87" i="4"/>
  <c r="B87" i="4"/>
  <c r="A87" i="4"/>
  <c r="H86" i="4"/>
  <c r="B86" i="4"/>
  <c r="A86" i="4"/>
  <c r="H85" i="4"/>
  <c r="B85" i="4"/>
  <c r="A85" i="4"/>
  <c r="H84" i="4"/>
  <c r="B84" i="4"/>
  <c r="A84" i="4"/>
  <c r="H83" i="4"/>
  <c r="B83" i="4"/>
  <c r="A83" i="4"/>
  <c r="H82" i="4"/>
  <c r="B82" i="4"/>
  <c r="A82" i="4"/>
  <c r="H81" i="4"/>
  <c r="B81" i="4"/>
  <c r="A81" i="4"/>
  <c r="H80" i="4"/>
  <c r="B80" i="4"/>
  <c r="A80" i="4"/>
  <c r="H79" i="4"/>
  <c r="B79" i="4"/>
  <c r="A79" i="4"/>
  <c r="H78" i="4"/>
  <c r="B78" i="4"/>
  <c r="A78" i="4"/>
  <c r="H77" i="4"/>
  <c r="B77" i="4"/>
  <c r="A77" i="4"/>
  <c r="H76" i="4"/>
  <c r="B76" i="4"/>
  <c r="A76" i="4"/>
  <c r="H75" i="4"/>
  <c r="B75" i="4"/>
  <c r="A75" i="4"/>
  <c r="H74" i="4"/>
  <c r="B74" i="4"/>
  <c r="A74" i="4"/>
  <c r="H73" i="4"/>
  <c r="B73" i="4"/>
  <c r="A73" i="4"/>
  <c r="H72" i="4"/>
  <c r="B72" i="4"/>
  <c r="A72" i="4"/>
  <c r="B71" i="4"/>
  <c r="A71" i="4"/>
  <c r="H70" i="4"/>
  <c r="B70" i="4"/>
  <c r="A70" i="4"/>
  <c r="H69" i="4"/>
  <c r="B69" i="4"/>
  <c r="A69" i="4"/>
  <c r="H68" i="4"/>
  <c r="B68" i="4"/>
  <c r="A68" i="4"/>
  <c r="H67" i="4"/>
  <c r="B67" i="4"/>
  <c r="A67" i="4"/>
  <c r="H66" i="4"/>
  <c r="B66" i="4"/>
  <c r="A66" i="4"/>
  <c r="H65" i="4"/>
  <c r="B65" i="4"/>
  <c r="A65" i="4"/>
  <c r="H64" i="4"/>
  <c r="B64" i="4"/>
  <c r="A64" i="4"/>
  <c r="H63" i="4"/>
  <c r="B63" i="4"/>
  <c r="A63" i="4"/>
  <c r="H62" i="4"/>
  <c r="B62" i="4"/>
  <c r="A62" i="4"/>
  <c r="H61" i="4"/>
  <c r="B61" i="4"/>
  <c r="A61" i="4"/>
  <c r="H60" i="4"/>
  <c r="B60" i="4"/>
  <c r="A60" i="4"/>
  <c r="H59" i="4"/>
  <c r="B59" i="4"/>
  <c r="A59" i="4"/>
  <c r="H58" i="4"/>
  <c r="B58" i="4"/>
  <c r="A58" i="4"/>
  <c r="H57" i="4"/>
  <c r="B57" i="4"/>
  <c r="A57" i="4"/>
  <c r="H56" i="4"/>
  <c r="B56" i="4"/>
  <c r="A56" i="4"/>
  <c r="H55" i="4"/>
  <c r="B55" i="4"/>
  <c r="A55" i="4"/>
  <c r="H54" i="4"/>
  <c r="B54" i="4"/>
  <c r="A54" i="4"/>
  <c r="H53" i="4"/>
  <c r="B53" i="4"/>
  <c r="A53" i="4"/>
  <c r="H52" i="4"/>
  <c r="B52" i="4"/>
  <c r="A52" i="4"/>
  <c r="H51" i="4"/>
  <c r="B51" i="4"/>
  <c r="A51" i="4"/>
  <c r="H50" i="4"/>
  <c r="B50" i="4"/>
  <c r="A50" i="4"/>
  <c r="H49" i="4"/>
  <c r="B49" i="4"/>
  <c r="A49" i="4"/>
  <c r="H48" i="4"/>
  <c r="B48" i="4"/>
  <c r="A48" i="4"/>
  <c r="H47" i="4"/>
  <c r="B47" i="4"/>
  <c r="A47" i="4"/>
  <c r="H46" i="4"/>
  <c r="B46" i="4"/>
  <c r="A46" i="4"/>
  <c r="H45" i="4"/>
  <c r="B45" i="4"/>
  <c r="A45" i="4"/>
  <c r="H44" i="4"/>
  <c r="B44" i="4"/>
  <c r="A44" i="4"/>
  <c r="H43" i="4"/>
  <c r="B43" i="4"/>
  <c r="A43" i="4"/>
  <c r="H42" i="4"/>
  <c r="B42" i="4"/>
  <c r="A42" i="4"/>
  <c r="H41" i="4"/>
  <c r="B41" i="4"/>
  <c r="A41" i="4"/>
  <c r="B40" i="4"/>
  <c r="A40" i="4"/>
  <c r="H39" i="4"/>
  <c r="B39" i="4"/>
  <c r="A39" i="4"/>
  <c r="H38" i="4"/>
  <c r="B38" i="4"/>
  <c r="A38" i="4"/>
  <c r="H37" i="4"/>
  <c r="B37" i="4"/>
  <c r="A37" i="4"/>
  <c r="H36" i="4"/>
  <c r="B36" i="4"/>
  <c r="A36" i="4"/>
  <c r="H35" i="4"/>
  <c r="B35" i="4"/>
  <c r="A35" i="4"/>
  <c r="H34" i="4"/>
  <c r="B34" i="4"/>
  <c r="A34" i="4"/>
  <c r="H33" i="4"/>
  <c r="B33" i="4"/>
  <c r="A33" i="4"/>
  <c r="H32" i="4"/>
  <c r="B32" i="4"/>
  <c r="A32" i="4"/>
  <c r="H31" i="4"/>
  <c r="B31" i="4"/>
  <c r="A31" i="4"/>
  <c r="H30" i="4"/>
  <c r="B30" i="4"/>
  <c r="A30" i="4"/>
  <c r="H29" i="4"/>
  <c r="B29" i="4"/>
  <c r="A29" i="4"/>
  <c r="H28" i="4"/>
  <c r="B28" i="4"/>
  <c r="A28" i="4"/>
  <c r="H27" i="4"/>
  <c r="B27" i="4"/>
  <c r="A27" i="4"/>
  <c r="H26" i="4"/>
  <c r="B26" i="4"/>
  <c r="A26" i="4"/>
  <c r="H25" i="4"/>
  <c r="B25" i="4"/>
  <c r="A25" i="4"/>
  <c r="H24" i="4"/>
  <c r="B24" i="4"/>
  <c r="A24" i="4"/>
  <c r="H23" i="4"/>
  <c r="B23" i="4"/>
  <c r="A23" i="4"/>
  <c r="H22" i="4"/>
  <c r="B22" i="4"/>
  <c r="A22" i="4"/>
  <c r="H21" i="4"/>
  <c r="B21" i="4"/>
  <c r="A21" i="4"/>
  <c r="H20" i="4"/>
  <c r="B20" i="4"/>
  <c r="A20" i="4"/>
  <c r="H19" i="4"/>
  <c r="B19" i="4"/>
  <c r="A19" i="4"/>
  <c r="H18" i="4"/>
  <c r="B18" i="4"/>
  <c r="A18" i="4"/>
  <c r="H17" i="4"/>
  <c r="B17" i="4"/>
  <c r="A17" i="4"/>
  <c r="H16" i="4"/>
  <c r="B16" i="4"/>
  <c r="A16" i="4"/>
  <c r="H15" i="4"/>
  <c r="B15" i="4"/>
  <c r="A15" i="4"/>
  <c r="H14" i="4"/>
  <c r="B14" i="4"/>
  <c r="A14" i="4"/>
  <c r="H13" i="4"/>
  <c r="B13" i="4"/>
  <c r="A13" i="4"/>
  <c r="H12" i="4"/>
  <c r="B12" i="4"/>
  <c r="A12" i="4"/>
  <c r="H11" i="4"/>
  <c r="B11" i="4"/>
  <c r="A11" i="4"/>
  <c r="E5" i="4"/>
  <c r="B371" i="4" l="1"/>
  <c r="B310" i="4"/>
  <c r="B306" i="4"/>
  <c r="B365" i="4"/>
  <c r="B318" i="4"/>
  <c r="B322" i="4"/>
  <c r="B334" i="4"/>
  <c r="A273" i="4"/>
  <c r="B273" i="4"/>
  <c r="A275" i="4"/>
  <c r="B275" i="4"/>
  <c r="A277" i="4"/>
  <c r="B277" i="4"/>
  <c r="A279" i="4"/>
  <c r="B279" i="4"/>
  <c r="A281" i="4"/>
  <c r="B281" i="4"/>
  <c r="A283" i="4"/>
  <c r="B283" i="4"/>
  <c r="A285" i="4"/>
  <c r="B285" i="4"/>
  <c r="A287" i="4"/>
  <c r="B287" i="4"/>
  <c r="A289" i="4"/>
  <c r="B289" i="4"/>
  <c r="A291" i="4"/>
  <c r="B291" i="4"/>
  <c r="A293" i="4"/>
  <c r="B293" i="4"/>
  <c r="A295" i="4"/>
  <c r="B295" i="4"/>
  <c r="A297" i="4"/>
  <c r="B297" i="4"/>
  <c r="A299" i="4"/>
  <c r="B299" i="4"/>
  <c r="A301" i="4"/>
  <c r="B301" i="4"/>
  <c r="B305" i="4"/>
  <c r="B309" i="4"/>
  <c r="B313" i="4"/>
  <c r="B317" i="4"/>
  <c r="B321" i="4"/>
  <c r="B325" i="4"/>
  <c r="B329" i="4"/>
  <c r="B333" i="4"/>
  <c r="B337" i="4"/>
  <c r="B341" i="4"/>
  <c r="B364" i="4"/>
  <c r="B368" i="4"/>
  <c r="B372" i="4"/>
  <c r="B314" i="4"/>
  <c r="B326" i="4"/>
  <c r="B330" i="4"/>
  <c r="B338" i="4"/>
  <c r="B342" i="4"/>
  <c r="B304" i="4"/>
  <c r="B308" i="4"/>
  <c r="B312" i="4"/>
  <c r="B316" i="4"/>
  <c r="B320" i="4"/>
  <c r="B324" i="4"/>
  <c r="B328" i="4"/>
  <c r="B332" i="4"/>
  <c r="B336" i="4"/>
  <c r="B340" i="4"/>
  <c r="B344" i="4"/>
  <c r="B363" i="4"/>
  <c r="B367" i="4"/>
  <c r="A272" i="4"/>
  <c r="E6" i="4" s="1"/>
  <c r="F7" i="4" s="1"/>
  <c r="E2" i="4" s="1"/>
  <c r="B374" i="4"/>
  <c r="B272" i="4"/>
  <c r="A274" i="4"/>
  <c r="B274" i="4"/>
  <c r="A276" i="4"/>
  <c r="B276" i="4"/>
  <c r="A278" i="4"/>
  <c r="B278" i="4"/>
  <c r="A280" i="4"/>
  <c r="B280" i="4"/>
  <c r="A282" i="4"/>
  <c r="B282" i="4"/>
  <c r="A284" i="4"/>
  <c r="B284" i="4"/>
  <c r="A286" i="4"/>
  <c r="B286" i="4"/>
  <c r="A288" i="4"/>
  <c r="B288" i="4"/>
  <c r="A290" i="4"/>
  <c r="B290" i="4"/>
  <c r="A292" i="4"/>
  <c r="B292" i="4"/>
  <c r="A294" i="4"/>
  <c r="B294" i="4"/>
  <c r="A296" i="4"/>
  <c r="B296" i="4"/>
  <c r="A298" i="4"/>
  <c r="B298" i="4"/>
  <c r="A300" i="4"/>
  <c r="B300" i="4"/>
  <c r="A302" i="4"/>
  <c r="B302" i="4"/>
  <c r="B307" i="4"/>
  <c r="B311" i="4"/>
  <c r="B315" i="4"/>
  <c r="B319" i="4"/>
  <c r="B323" i="4"/>
  <c r="B327" i="4"/>
  <c r="B331" i="4"/>
  <c r="B335" i="4"/>
  <c r="B339" i="4"/>
  <c r="B343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6" i="4"/>
  <c r="B370" i="4"/>
  <c r="B369" i="4"/>
  <c r="B373" i="4"/>
</calcChain>
</file>

<file path=xl/sharedStrings.xml><?xml version="1.0" encoding="utf-8"?>
<sst xmlns="http://schemas.openxmlformats.org/spreadsheetml/2006/main" count="5158" uniqueCount="719">
  <si>
    <t>Tgl kegiatan</t>
  </si>
  <si>
    <t>Tujuan</t>
  </si>
  <si>
    <t>Pekerjaan</t>
  </si>
  <si>
    <t>Lokasi
Depo</t>
  </si>
  <si>
    <t>Tonase Angkutan Sampah</t>
  </si>
  <si>
    <t>Brt kotor</t>
  </si>
  <si>
    <t>Brt Kosong</t>
  </si>
  <si>
    <t>Brt Bersih</t>
  </si>
  <si>
    <t>Debit</t>
  </si>
  <si>
    <t>Nominal
Parkir</t>
  </si>
  <si>
    <t>Nominal
Tol</t>
  </si>
  <si>
    <t>Nominal
Tambal ban /
Tambah angin</t>
  </si>
  <si>
    <t>Biaya Retribusi
Masuk TPS</t>
  </si>
  <si>
    <t>BS</t>
  </si>
  <si>
    <t>VO</t>
  </si>
  <si>
    <t>8494/2024</t>
  </si>
  <si>
    <t>68192/2024</t>
  </si>
  <si>
    <t>TPS Benowo</t>
  </si>
  <si>
    <t>Buang sampah</t>
  </si>
  <si>
    <t>DEPO T. BAYUR &amp; BKA</t>
  </si>
  <si>
    <t>DEPO JAPFA &amp; T. LANGON 5</t>
  </si>
  <si>
    <t>DEPO T. BAYUR</t>
  </si>
  <si>
    <t>DEPO 9 &amp; DEPO JAPFA</t>
  </si>
  <si>
    <t>DEPO T BAYUR &amp; DEPO 9</t>
  </si>
  <si>
    <t>DEPO JAPFA &amp; KANTOR KARET</t>
  </si>
  <si>
    <t>DEPO JAPFA</t>
  </si>
  <si>
    <t>DEPO T BAYUR &amp; DEPO JAPFA</t>
  </si>
  <si>
    <t>DEPO PKS 7 &amp; DEPO JAPFA</t>
  </si>
  <si>
    <t>DEPO JAPFA &amp; T. LANGO 5</t>
  </si>
  <si>
    <t>Depo T. Bayur &amp; Depo Japfa</t>
  </si>
  <si>
    <t>Kantor Karet &amp; Depo Japfa</t>
  </si>
  <si>
    <t>12034/2024</t>
  </si>
  <si>
    <t>Depo 4 &amp; depo Japfa</t>
  </si>
  <si>
    <t>depo T.Bayur &amp; Depo Japfa</t>
  </si>
  <si>
    <t>Depo 4 &amp; depo T. Langon 5</t>
  </si>
  <si>
    <t>Depo Japfa &amp; BKA</t>
  </si>
  <si>
    <t>14179/2024</t>
  </si>
  <si>
    <t xml:space="preserve"> 85878/2024</t>
  </si>
  <si>
    <t>Deapo Japfa &amp; Depo Japfa</t>
  </si>
  <si>
    <t>Deapo T. Bayur &amp; T. Langon 5</t>
  </si>
  <si>
    <t>Depo Japfa &amp; Depo Japfa</t>
  </si>
  <si>
    <t>15265/2024</t>
  </si>
  <si>
    <t>96768/2024</t>
  </si>
  <si>
    <t>16936/2024</t>
  </si>
  <si>
    <t>104945/2024</t>
  </si>
  <si>
    <t>Depo T. Bayur</t>
  </si>
  <si>
    <t>Depo 4 &amp; Depo PKS</t>
  </si>
  <si>
    <t>Depo Japfa &amp; T. Langon 5</t>
  </si>
  <si>
    <t>Kantor Karet</t>
  </si>
  <si>
    <t>Depo T Bayur &amp; Depo Japfa</t>
  </si>
  <si>
    <t>18476/2024</t>
  </si>
  <si>
    <t>116753/2024</t>
  </si>
  <si>
    <t>T. Langon 5</t>
  </si>
  <si>
    <t>Depo PKS &amp; Depo Japfa</t>
  </si>
  <si>
    <t>3 May 24</t>
  </si>
  <si>
    <t>20618/2024</t>
  </si>
  <si>
    <t>128911/2024</t>
  </si>
  <si>
    <t>22 May 24</t>
  </si>
  <si>
    <t>22865/2024</t>
  </si>
  <si>
    <t>134594/2024</t>
  </si>
  <si>
    <t>Depo Japfa &amp; Langon 5</t>
  </si>
  <si>
    <t>28 May 24</t>
  </si>
  <si>
    <t>23921/2024</t>
  </si>
  <si>
    <t xml:space="preserve"> 144757/2024</t>
  </si>
  <si>
    <t>T. Langon 5 &amp; Depo Japfa</t>
  </si>
  <si>
    <t>Depo T . Bayur &amp; Depo Japfa</t>
  </si>
  <si>
    <t>26057/2024</t>
  </si>
  <si>
    <t>156089/2024</t>
  </si>
  <si>
    <t>Depo Japfa</t>
  </si>
  <si>
    <t>Depo Japfa &amp; Depo T. Langon 5</t>
  </si>
  <si>
    <t>Depo T, Bayur &amp; Depo Japfa</t>
  </si>
  <si>
    <t>Depo Japfa &amp; Kantor Karet</t>
  </si>
  <si>
    <t>Depo T. Bayur &amp; T. Langon 5</t>
  </si>
  <si>
    <t>Depo T, bayur &amp; BKA</t>
  </si>
  <si>
    <t>27831/2024</t>
  </si>
  <si>
    <t>168031/2024</t>
  </si>
  <si>
    <t>Depo T. Bayur &amp; Depo T. Langon 5</t>
  </si>
  <si>
    <t>Depo T. Bayur &amp; Kantor PB</t>
  </si>
  <si>
    <t>Depo Japfa &amp; Depo T. Bayur</t>
  </si>
  <si>
    <t>2 Jul 24</t>
  </si>
  <si>
    <t>29989/2024</t>
  </si>
  <si>
    <t>178709/2024</t>
  </si>
  <si>
    <t>11 Jul 24</t>
  </si>
  <si>
    <t>31645/2024</t>
  </si>
  <si>
    <t>190048/2024</t>
  </si>
  <si>
    <t>Depo T. Bayur &amp; depo Japfa</t>
  </si>
  <si>
    <t>Depo 4 &amp; Depo Japfa</t>
  </si>
  <si>
    <t>23 Jul 24</t>
  </si>
  <si>
    <t>33635/2024</t>
  </si>
  <si>
    <t>203939/2024</t>
  </si>
  <si>
    <t>06 Agt 24</t>
  </si>
  <si>
    <t>36095/2024</t>
  </si>
  <si>
    <t>216545/2024</t>
  </si>
  <si>
    <t>16 Agt 24</t>
  </si>
  <si>
    <t>38128/2024</t>
  </si>
  <si>
    <t>227623/2024</t>
  </si>
  <si>
    <t>28 Agt 24</t>
  </si>
  <si>
    <t>40059/2024</t>
  </si>
  <si>
    <t>241244/2024</t>
  </si>
  <si>
    <t>Depo 4 &amp; Depo T. Langon 11</t>
  </si>
  <si>
    <t>Depo Japfa &amp; Matraco</t>
  </si>
  <si>
    <t>42306/2024</t>
  </si>
  <si>
    <t>258320/2024</t>
  </si>
  <si>
    <t>Depo T. Bayur &amp; Matraco</t>
  </si>
  <si>
    <t>44927/2024</t>
  </si>
  <si>
    <t>272898/2024</t>
  </si>
  <si>
    <t>Depo T Bayur &amp; BKA</t>
  </si>
  <si>
    <t>Depo T. Bayur &amp; Depo 4</t>
  </si>
  <si>
    <t>Depo T. Bayur &amp; Depo T. Bayur</t>
  </si>
  <si>
    <t>47274/2024</t>
  </si>
  <si>
    <t>284799/2024</t>
  </si>
  <si>
    <t>Depo Yon + Japfa</t>
  </si>
  <si>
    <t>Depo T. Bayur &amp; depo Jafa</t>
  </si>
  <si>
    <t>48983/2024</t>
  </si>
  <si>
    <t>295165/2024</t>
  </si>
  <si>
    <t>Depo 4 &amp; Depo T. Langon 5</t>
  </si>
  <si>
    <t>Depo T Langon 5 &amp; Depo Japfa</t>
  </si>
  <si>
    <t>50874/2024</t>
  </si>
  <si>
    <t>304002/2024</t>
  </si>
  <si>
    <t>Depo Japfa &amp; Depo Yonif</t>
  </si>
  <si>
    <t>Depo T. bayur &amp; Depo Japfa</t>
  </si>
  <si>
    <t>52269/2024</t>
  </si>
  <si>
    <t>311445/2024</t>
  </si>
  <si>
    <t>Depo PKS &amp; Depo T. Langon 5</t>
  </si>
  <si>
    <t>53299/2024</t>
  </si>
  <si>
    <t>324385/2024</t>
  </si>
  <si>
    <t>Depo Bayur &amp; Depo Japfa</t>
  </si>
  <si>
    <t>Depo PKS &amp; T. Langon 5</t>
  </si>
  <si>
    <t>Depo PKS , Yonif &amp; Japfa</t>
  </si>
  <si>
    <t>Depo Teluk Bayur &amp; Langon 5</t>
  </si>
  <si>
    <t>Depo PKS, Yonif &amp; Japfa</t>
  </si>
  <si>
    <t>55970/2024</t>
  </si>
  <si>
    <t>328851/2024</t>
  </si>
  <si>
    <t>Hari Minggu</t>
  </si>
  <si>
    <t>Langon 5</t>
  </si>
  <si>
    <t>Hari Libur Pilkada</t>
  </si>
  <si>
    <t>56628/2024</t>
  </si>
  <si>
    <t>337498/2024</t>
  </si>
  <si>
    <t>Yonif &amp; Japfa</t>
  </si>
  <si>
    <t>Depo PKS &amp; Japfa</t>
  </si>
  <si>
    <t>Depo  T. Bayur &amp; Depo Japfa</t>
  </si>
  <si>
    <t>Langon 5 &amp; Depo Japfa</t>
  </si>
  <si>
    <t>346731/2024</t>
  </si>
  <si>
    <t xml:space="preserve">Depo Teluk Bayur  </t>
  </si>
  <si>
    <t>Kir Mobil &amp; Depo Japfa</t>
  </si>
  <si>
    <r>
      <rPr>
        <sz val="10"/>
        <color theme="1"/>
        <rFont val="Liberation Sans"/>
      </rPr>
      <t>Depo Japfa</t>
    </r>
    <r>
      <rPr>
        <sz val="9"/>
        <color theme="1"/>
        <rFont val="Rubik4"/>
      </rPr>
      <t xml:space="preserve"> &amp; Depo Japfa</t>
    </r>
  </si>
  <si>
    <t>Kalianak</t>
  </si>
  <si>
    <t>59800/2024</t>
  </si>
  <si>
    <t>352407/2024</t>
  </si>
  <si>
    <t>OFF ( Izin Tidak Masuk )</t>
  </si>
  <si>
    <t>Depo Yon + Japfa &amp; Depo PKS</t>
  </si>
  <si>
    <t>Karet + PB &amp; Depo Japfa</t>
  </si>
  <si>
    <t>60774/2024</t>
  </si>
  <si>
    <t>5792/2025</t>
  </si>
  <si>
    <t>Libur Natal</t>
  </si>
  <si>
    <t>Depo  T. Bayur + Yon &amp; Depo Japfa</t>
  </si>
  <si>
    <t>Depo Japfa &amp; Depo PKS</t>
  </si>
  <si>
    <t>1045/2025</t>
  </si>
  <si>
    <t>12775/2025</t>
  </si>
  <si>
    <t>Ijin Tidak Masuk</t>
  </si>
  <si>
    <t>2280/2025</t>
  </si>
  <si>
    <t>21408/2025</t>
  </si>
  <si>
    <t>Kalianak &amp; Tambak Langon 5</t>
  </si>
  <si>
    <t>Depo Japfa &amp; Depo PKS + Yon</t>
  </si>
  <si>
    <t>Depo Japfa &amp; Depo 4</t>
  </si>
  <si>
    <t>Depo Japfa + Depo Japfa</t>
  </si>
  <si>
    <t>3586/2025</t>
  </si>
  <si>
    <t>30763/2025</t>
  </si>
  <si>
    <t>Depo Yonif + Pks &amp; Depo Japfa</t>
  </si>
  <si>
    <t>Libur Isra’ Mikraj</t>
  </si>
  <si>
    <t xml:space="preserve">  </t>
  </si>
  <si>
    <t>Depo Japfa + Depo Bayur</t>
  </si>
  <si>
    <t>5209/2025</t>
  </si>
  <si>
    <t>41167/2025</t>
  </si>
  <si>
    <t>Depo Yon + Pks &amp; Depo Japfa</t>
  </si>
  <si>
    <t>Depo Bayur 7 PKS</t>
  </si>
  <si>
    <t>6823/2025</t>
  </si>
  <si>
    <t>48696/2025</t>
  </si>
  <si>
    <t>Depo Yon  &amp; Depo Yon</t>
  </si>
  <si>
    <t>-</t>
  </si>
  <si>
    <t>7677/2025</t>
  </si>
  <si>
    <t>56184/2025</t>
  </si>
  <si>
    <t>Tambak Langon 5</t>
  </si>
  <si>
    <t>Depo Yon &amp; Depo Japfa</t>
  </si>
  <si>
    <t>8506/2025</t>
  </si>
  <si>
    <t>64687/2025</t>
  </si>
  <si>
    <t>Kalianak &amp; WTL 5</t>
  </si>
  <si>
    <t>Depo Bayur &amp; Gudang 71</t>
  </si>
  <si>
    <t>9430/2025</t>
  </si>
  <si>
    <t>75779/2025</t>
  </si>
  <si>
    <t>10437/2025</t>
  </si>
  <si>
    <t>84051/2025</t>
  </si>
  <si>
    <t>Depo Yonif &amp; Depo Japfa</t>
  </si>
  <si>
    <t>Perak Barat &amp; Depo Japfa</t>
  </si>
  <si>
    <t>11252/2025</t>
  </si>
  <si>
    <t>99242/2025</t>
  </si>
  <si>
    <t>Depo Yonif Dan Depo Japfa</t>
  </si>
  <si>
    <t>Depo 4</t>
  </si>
  <si>
    <t>12791/2025</t>
  </si>
  <si>
    <t>105213/2025</t>
  </si>
  <si>
    <t>Apr 5, 25</t>
  </si>
  <si>
    <t xml:space="preserve">Depo Yonif  </t>
  </si>
  <si>
    <t>Apr 6, 25</t>
  </si>
  <si>
    <t>Apr 7, 25</t>
  </si>
  <si>
    <t>Apr 8, 25</t>
  </si>
  <si>
    <t>Kantor Pusat &amp; T. Langon 5</t>
  </si>
  <si>
    <t>Apr 9, 25</t>
  </si>
  <si>
    <t>Apr 10, 25</t>
  </si>
  <si>
    <t>Apr 11, 25</t>
  </si>
  <si>
    <t>Apr 12, 25</t>
  </si>
  <si>
    <t>Apr 13, 25</t>
  </si>
  <si>
    <t>Apr 14, 25</t>
  </si>
  <si>
    <t>13269/2025</t>
  </si>
  <si>
    <t>111777/2025</t>
  </si>
  <si>
    <t>Depo T. Bayur dan Depo 4</t>
  </si>
  <si>
    <t xml:space="preserve">Depo Bayur  </t>
  </si>
  <si>
    <t>Depo Bayur dan Depo Japfa</t>
  </si>
  <si>
    <t>13893/2025</t>
  </si>
  <si>
    <t>119943/2025</t>
  </si>
  <si>
    <t>Depo Japfa dan Depo tambak Langon</t>
  </si>
  <si>
    <t>Depo 4 dan Depo Japfa</t>
  </si>
  <si>
    <t>14593/2025</t>
  </si>
  <si>
    <t>127899/2025</t>
  </si>
  <si>
    <t>Depo T.Bayur &amp; Karet</t>
  </si>
  <si>
    <t>Tambak sumur ( pindahan Depo Yonif )</t>
  </si>
  <si>
    <t>Hari Libur</t>
  </si>
  <si>
    <t>Benowo</t>
  </si>
  <si>
    <t>15288/2025</t>
  </si>
  <si>
    <t>135299/2025</t>
  </si>
  <si>
    <t>15875/2025</t>
  </si>
  <si>
    <t>142213/2025</t>
  </si>
  <si>
    <t>Bka Kalianak</t>
  </si>
  <si>
    <t>Depo japfa &amp; Tambak Langon 5</t>
  </si>
  <si>
    <t>16348/2025</t>
  </si>
  <si>
    <t>151902/2025</t>
  </si>
  <si>
    <t>Depo 4 &amp; Tambak Langon 5</t>
  </si>
  <si>
    <t>17209/2025</t>
  </si>
  <si>
    <t>159755/2025</t>
  </si>
  <si>
    <t>Ambil armada ke bengkel</t>
  </si>
  <si>
    <t>Depo  T. Bayur</t>
  </si>
  <si>
    <t>Depo 4 &amp; Margomulyo Indah</t>
  </si>
  <si>
    <t>17729/2025</t>
  </si>
  <si>
    <t>165538/2025</t>
  </si>
  <si>
    <t>Warehouse Tambak Langon</t>
  </si>
  <si>
    <t>18192/2025</t>
  </si>
  <si>
    <t>177142/2025</t>
  </si>
  <si>
    <t>Depo  4 &amp; Depo Japfa</t>
  </si>
  <si>
    <t>19123/2025</t>
  </si>
  <si>
    <t>182202/2025</t>
  </si>
  <si>
    <t>Depo  Yonif &amp; Depo Japfa</t>
  </si>
  <si>
    <t>19692/2025</t>
  </si>
  <si>
    <t>187170/2025</t>
  </si>
  <si>
    <t>Depo  T. Bayur &amp; Depo  T. Bayur</t>
  </si>
  <si>
    <t>Depo  T. Bayur &amp; Tambak Langon</t>
  </si>
  <si>
    <t>20155/2025</t>
  </si>
  <si>
    <t>197842/2025</t>
  </si>
  <si>
    <t>Depo Japfa &amp; Depo Langon 5</t>
  </si>
  <si>
    <t>21050/2025</t>
  </si>
  <si>
    <t>206546/2025</t>
  </si>
  <si>
    <t>22123/2025</t>
  </si>
  <si>
    <t>212954/2025</t>
  </si>
  <si>
    <t>22664/2025</t>
  </si>
  <si>
    <t>221034/2025</t>
  </si>
  <si>
    <t>Depo T. bayur &amp; Depo T. Langon</t>
  </si>
  <si>
    <t>BKA Kalianak + Depo T. Langon</t>
  </si>
  <si>
    <t>23429/2025</t>
  </si>
  <si>
    <t>240270/2025</t>
  </si>
  <si>
    <t>BKA Kalianak + BKA Kalianak</t>
  </si>
  <si>
    <t>25217/2025</t>
  </si>
  <si>
    <t>247977/2025</t>
  </si>
  <si>
    <t>Depo T. bayur &amp; Depo Yonif</t>
  </si>
  <si>
    <t>Perbaikan Aki</t>
  </si>
  <si>
    <t>25867/2025</t>
  </si>
  <si>
    <t>257386/2025</t>
  </si>
  <si>
    <t>BKA Kalianak + Depo T. Langon 5</t>
  </si>
  <si>
    <t>BKA Kalianak</t>
  </si>
  <si>
    <t>Depo Yonif &amp; Depo T. Bayur</t>
  </si>
  <si>
    <t>Depo T. bayur &amp; Depo T. Langon 5</t>
  </si>
  <si>
    <t>26780/2025</t>
  </si>
  <si>
    <t>262227/2025</t>
  </si>
  <si>
    <t>Depo T. Langon 5</t>
  </si>
  <si>
    <t>27155/2025</t>
  </si>
  <si>
    <t>269261/2025</t>
  </si>
  <si>
    <t>Depo Yonif</t>
  </si>
  <si>
    <t>BKA</t>
  </si>
  <si>
    <t>Perbaikan truk sampah</t>
  </si>
  <si>
    <t>27819/2025</t>
  </si>
  <si>
    <t>278665/2025</t>
  </si>
  <si>
    <t>Depo T. Langon 5 (MBB)</t>
  </si>
  <si>
    <t>28669/2025</t>
  </si>
  <si>
    <t>284468/2025</t>
  </si>
  <si>
    <t>Depo4 &amp; Kantor Karet</t>
  </si>
  <si>
    <t>29191/2025</t>
  </si>
  <si>
    <t>295838/2025</t>
  </si>
  <si>
    <t>Depo T. Langon</t>
  </si>
  <si>
    <t>30331/2025</t>
  </si>
  <si>
    <t>305455/2025</t>
  </si>
  <si>
    <t>BKA &amp; BKA</t>
  </si>
  <si>
    <t>31220/2025</t>
  </si>
  <si>
    <t>319940/2025</t>
  </si>
  <si>
    <t>32805/2025</t>
  </si>
  <si>
    <t>325682/2025</t>
  </si>
  <si>
    <t>33341/2025</t>
  </si>
  <si>
    <t>334487/2025</t>
  </si>
  <si>
    <t>Depo T. bayur</t>
  </si>
  <si>
    <t>Depo4</t>
  </si>
  <si>
    <t>Karet</t>
  </si>
  <si>
    <t>34258/2025</t>
  </si>
  <si>
    <t>338228/2025</t>
  </si>
  <si>
    <t>Depo Bayur</t>
  </si>
  <si>
    <t>34707/2025</t>
  </si>
  <si>
    <t>343786/2025</t>
  </si>
  <si>
    <t>35318/2025</t>
  </si>
  <si>
    <t>350703/2025</t>
  </si>
  <si>
    <t>36058/2025</t>
  </si>
  <si>
    <t>356824/2025</t>
  </si>
  <si>
    <t>TPA Benowo</t>
  </si>
  <si>
    <t>36755/2025</t>
  </si>
  <si>
    <t>365626/2025</t>
  </si>
  <si>
    <t>37599/2025</t>
  </si>
  <si>
    <t>371574/2025</t>
  </si>
  <si>
    <t>38254/2025</t>
  </si>
  <si>
    <t>377007/2025</t>
  </si>
  <si>
    <t>38856/2025</t>
  </si>
  <si>
    <t>381978/2025</t>
  </si>
  <si>
    <t>39378/2025</t>
  </si>
  <si>
    <t>6292/2026</t>
  </si>
  <si>
    <t>No</t>
  </si>
  <si>
    <t>BLN</t>
  </si>
  <si>
    <t>Periode</t>
  </si>
  <si>
    <t>Tanggal</t>
  </si>
  <si>
    <t>Nopol terupdate</t>
  </si>
  <si>
    <t>Nopol</t>
  </si>
  <si>
    <t>BBM</t>
  </si>
  <si>
    <t>Vol</t>
  </si>
  <si>
    <t>Harga</t>
  </si>
  <si>
    <t>Total</t>
  </si>
  <si>
    <t>KM Sekarang</t>
  </si>
  <si>
    <t>KM Sebelumnya</t>
  </si>
  <si>
    <t>Nama SPBU</t>
  </si>
  <si>
    <t>ID VO</t>
  </si>
  <si>
    <t>91</t>
  </si>
  <si>
    <t>L 9892 CO</t>
  </si>
  <si>
    <t>BioSolar</t>
  </si>
  <si>
    <t>SPBU BKA</t>
  </si>
  <si>
    <t>282930/2025</t>
  </si>
  <si>
    <t>92</t>
  </si>
  <si>
    <t>SPBU RAJAWALI</t>
  </si>
  <si>
    <t>321353/2025</t>
  </si>
  <si>
    <t>101</t>
  </si>
  <si>
    <t>321358/2025</t>
  </si>
  <si>
    <t>321365/2025</t>
  </si>
  <si>
    <t>321360/2025</t>
  </si>
  <si>
    <t>102</t>
  </si>
  <si>
    <t>332967/2025</t>
  </si>
  <si>
    <t>111</t>
  </si>
  <si>
    <t>343946/2025</t>
  </si>
  <si>
    <t>112</t>
  </si>
  <si>
    <t>360740/2025</t>
  </si>
  <si>
    <t>121</t>
  </si>
  <si>
    <t>205549</t>
  </si>
  <si>
    <t>3700/2026</t>
  </si>
  <si>
    <t>2927/2026</t>
  </si>
  <si>
    <t>122</t>
  </si>
  <si>
    <t>2924/2026</t>
  </si>
  <si>
    <t>INPUT NO POL</t>
  </si>
  <si>
    <t>TANGGAL</t>
  </si>
  <si>
    <t>DIBAYARKAN KPD</t>
  </si>
  <si>
    <t>USER</t>
  </si>
  <si>
    <t>DIVISI</t>
  </si>
  <si>
    <t>LOKASI</t>
  </si>
  <si>
    <t>LPK</t>
  </si>
  <si>
    <t>PO / LOKK</t>
  </si>
  <si>
    <t>KELUHAN</t>
  </si>
  <si>
    <t>RINCIAN PERBAIKAN</t>
  </si>
  <si>
    <t>JENIS</t>
  </si>
  <si>
    <t>JUMLAH_</t>
  </si>
  <si>
    <t>KM masuk di bulan kemarin</t>
  </si>
  <si>
    <t>KM masuk di bulan ini</t>
  </si>
  <si>
    <t>KM Pemakaian</t>
  </si>
  <si>
    <t>285526/2025</t>
  </si>
  <si>
    <t>AKBAR BAN</t>
  </si>
  <si>
    <t>Oprs Depo Teluk Bayur</t>
  </si>
  <si>
    <t>Oprs Depo</t>
  </si>
  <si>
    <t>Depo Teluk Bayur</t>
  </si>
  <si>
    <t>LPK002938/09/25</t>
  </si>
  <si>
    <t>LOKK.002881/09/25</t>
  </si>
  <si>
    <t>Ban Sobek</t>
  </si>
  <si>
    <t>ganti ban dalam R16 GT</t>
  </si>
  <si>
    <t>UnderSteel</t>
  </si>
  <si>
    <t>296319/2025</t>
  </si>
  <si>
    <t>HADI MOTOR</t>
  </si>
  <si>
    <t>LPK003034/09/25</t>
  </si>
  <si>
    <t>LOKK.002984/09/25</t>
  </si>
  <si>
    <t>Transmisi agak berat dan naik turun dump agak berat</t>
  </si>
  <si>
    <t>Cek transmisi (kopling) dan cek dump</t>
  </si>
  <si>
    <t>296938/2025</t>
  </si>
  <si>
    <t>DUNIA MOTOR</t>
  </si>
  <si>
    <t>LPK003054/09/25</t>
  </si>
  <si>
    <t>LOKK.003005/09/25</t>
  </si>
  <si>
    <t>GANTI OLIE RUTIN</t>
  </si>
  <si>
    <t>ganti Olie Mesin</t>
  </si>
  <si>
    <t>Engine Service</t>
  </si>
  <si>
    <t>281129/2025</t>
  </si>
  <si>
    <t>LPK002796/09/25</t>
  </si>
  <si>
    <t>LOKK.002742/09/25</t>
  </si>
  <si>
    <t>Pir Daun Putus</t>
  </si>
  <si>
    <t>Ganti Pir Daun</t>
  </si>
  <si>
    <t>377379/2025</t>
  </si>
  <si>
    <t>LPK003826/12/25</t>
  </si>
  <si>
    <t>LOKK.003772/12/25</t>
  </si>
  <si>
    <t>Ganti oli &amp; lampu riting mati</t>
  </si>
  <si>
    <t>ganti oli &amp; lampu</t>
  </si>
  <si>
    <t>SAMPAH DEPO</t>
  </si>
  <si>
    <t>Lokasi</t>
  </si>
  <si>
    <t>:</t>
  </si>
  <si>
    <t>ALL</t>
  </si>
  <si>
    <t>Volume Sampah</t>
  </si>
  <si>
    <t>Rit</t>
  </si>
  <si>
    <t>NO</t>
  </si>
  <si>
    <t>TRUCK</t>
  </si>
  <si>
    <t>VOLUME</t>
  </si>
  <si>
    <t>Jam</t>
  </si>
  <si>
    <t>YEAR</t>
  </si>
  <si>
    <t>W 9521 PD</t>
  </si>
  <si>
    <t>07.46</t>
  </si>
  <si>
    <t>Depo Tambak Langon</t>
  </si>
  <si>
    <t>140838/2025</t>
  </si>
  <si>
    <t>S 8588 NE</t>
  </si>
  <si>
    <t>07.06</t>
  </si>
  <si>
    <t>07.19</t>
  </si>
  <si>
    <t>L 8411 VB</t>
  </si>
  <si>
    <t>06.43</t>
  </si>
  <si>
    <t>AG 8726 GH</t>
  </si>
  <si>
    <t>06.53</t>
  </si>
  <si>
    <t>L 8257 AO</t>
  </si>
  <si>
    <t>15.26</t>
  </si>
  <si>
    <t>07.10</t>
  </si>
  <si>
    <t>AE 9002 SK</t>
  </si>
  <si>
    <t>07.00</t>
  </si>
  <si>
    <t>07.07</t>
  </si>
  <si>
    <t>06.51</t>
  </si>
  <si>
    <t>07.20</t>
  </si>
  <si>
    <t>06.56</t>
  </si>
  <si>
    <t>15.00</t>
  </si>
  <si>
    <t>06.42</t>
  </si>
  <si>
    <t>06.35</t>
  </si>
  <si>
    <t>B 9386 JQO</t>
  </si>
  <si>
    <t>07.14</t>
  </si>
  <si>
    <t>AD 8837 NA</t>
  </si>
  <si>
    <t>06.39</t>
  </si>
  <si>
    <t>06.52</t>
  </si>
  <si>
    <t>10.15</t>
  </si>
  <si>
    <t>S 8665 ND</t>
  </si>
  <si>
    <t>B 9316 YP</t>
  </si>
  <si>
    <t>06.37</t>
  </si>
  <si>
    <t>06.34</t>
  </si>
  <si>
    <t>06.48</t>
  </si>
  <si>
    <t>06.44</t>
  </si>
  <si>
    <t>07.08</t>
  </si>
  <si>
    <t>206717/2025</t>
  </si>
  <si>
    <t>07.03</t>
  </si>
  <si>
    <t>07.12</t>
  </si>
  <si>
    <t>07.50</t>
  </si>
  <si>
    <t>10.32</t>
  </si>
  <si>
    <t>06.47</t>
  </si>
  <si>
    <t>07.09</t>
  </si>
  <si>
    <t>07.25</t>
  </si>
  <si>
    <t>07.01</t>
  </si>
  <si>
    <t>06.58</t>
  </si>
  <si>
    <t>06.49</t>
  </si>
  <si>
    <t>08.00</t>
  </si>
  <si>
    <t>07.21</t>
  </si>
  <si>
    <t>07.15</t>
  </si>
  <si>
    <t>07.33</t>
  </si>
  <si>
    <t>07.30</t>
  </si>
  <si>
    <t>08.25</t>
  </si>
  <si>
    <t>06.25</t>
  </si>
  <si>
    <t>08.24</t>
  </si>
  <si>
    <t>06.24</t>
  </si>
  <si>
    <t>07.02</t>
  </si>
  <si>
    <t>209680/2025</t>
  </si>
  <si>
    <t>06.30</t>
  </si>
  <si>
    <t>10.21</t>
  </si>
  <si>
    <t>09.21</t>
  </si>
  <si>
    <t>08.58</t>
  </si>
  <si>
    <t>10.36</t>
  </si>
  <si>
    <t>08.05</t>
  </si>
  <si>
    <t>08.30</t>
  </si>
  <si>
    <t>11.00</t>
  </si>
  <si>
    <t>13.12</t>
  </si>
  <si>
    <t>07.05</t>
  </si>
  <si>
    <t>L 9620 CG</t>
  </si>
  <si>
    <t>06.38</t>
  </si>
  <si>
    <t>08.06</t>
  </si>
  <si>
    <t>09.37</t>
  </si>
  <si>
    <t>12.42</t>
  </si>
  <si>
    <t>08.52</t>
  </si>
  <si>
    <t>253772/2025</t>
  </si>
  <si>
    <t>09.32</t>
  </si>
  <si>
    <t>16.41</t>
  </si>
  <si>
    <t>12.14</t>
  </si>
  <si>
    <t>07.42</t>
  </si>
  <si>
    <t>AG 8047 FA</t>
  </si>
  <si>
    <t>07.26</t>
  </si>
  <si>
    <t>08.46</t>
  </si>
  <si>
    <t>07.55</t>
  </si>
  <si>
    <t>09.00</t>
  </si>
  <si>
    <t>07.04</t>
  </si>
  <si>
    <t>09.31</t>
  </si>
  <si>
    <t>07.28</t>
  </si>
  <si>
    <t>07.29</t>
  </si>
  <si>
    <t>07.27</t>
  </si>
  <si>
    <t>07.11</t>
  </si>
  <si>
    <t>07.31</t>
  </si>
  <si>
    <t>6:45</t>
  </si>
  <si>
    <t>281862/2025</t>
  </si>
  <si>
    <t>7:00</t>
  </si>
  <si>
    <t>6:43</t>
  </si>
  <si>
    <t>7:15</t>
  </si>
  <si>
    <t>10:05</t>
  </si>
  <si>
    <t>6:38</t>
  </si>
  <si>
    <t>15:40</t>
  </si>
  <si>
    <t>7:05</t>
  </si>
  <si>
    <t>11:04</t>
  </si>
  <si>
    <t>7:04</t>
  </si>
  <si>
    <t>7:31</t>
  </si>
  <si>
    <t>6:46</t>
  </si>
  <si>
    <t>6:47</t>
  </si>
  <si>
    <t>6:51</t>
  </si>
  <si>
    <t>14:15</t>
  </si>
  <si>
    <t>7:12</t>
  </si>
  <si>
    <t>7:33</t>
  </si>
  <si>
    <t>7:11</t>
  </si>
  <si>
    <t>7:06</t>
  </si>
  <si>
    <t>7:02</t>
  </si>
  <si>
    <t>13:36</t>
  </si>
  <si>
    <t>Depo 4, Tanjung Batu</t>
  </si>
  <si>
    <t>15:30</t>
  </si>
  <si>
    <t>6:26</t>
  </si>
  <si>
    <t>8:34</t>
  </si>
  <si>
    <t>15:04</t>
  </si>
  <si>
    <t>15.38</t>
  </si>
  <si>
    <t>365333/2025</t>
  </si>
  <si>
    <t>B 9187 CQB</t>
  </si>
  <si>
    <t>07.35</t>
  </si>
  <si>
    <t>11.05</t>
  </si>
  <si>
    <t>13.18</t>
  </si>
  <si>
    <t>08.51</t>
  </si>
  <si>
    <t>07.45</t>
  </si>
  <si>
    <t>09.12</t>
  </si>
  <si>
    <t>08.15</t>
  </si>
  <si>
    <t>07.47</t>
  </si>
  <si>
    <t>14.57</t>
  </si>
  <si>
    <t>L9925 VY</t>
  </si>
  <si>
    <t>07.18</t>
  </si>
  <si>
    <t>06.55</t>
  </si>
  <si>
    <t>15.24</t>
  </si>
  <si>
    <t>300346/2025</t>
  </si>
  <si>
    <t>07.17</t>
  </si>
  <si>
    <t>11.30</t>
  </si>
  <si>
    <t>06.57</t>
  </si>
  <si>
    <t>06.40</t>
  </si>
  <si>
    <t>06.45</t>
  </si>
  <si>
    <t>06.31</t>
  </si>
  <si>
    <t>15.45</t>
  </si>
  <si>
    <t>09.06</t>
  </si>
  <si>
    <t>07.16</t>
  </si>
  <si>
    <t>16.57</t>
  </si>
  <si>
    <t>06.50</t>
  </si>
  <si>
    <t>L 9925 VY</t>
  </si>
  <si>
    <t>Depo Tanjung Batu 4</t>
  </si>
  <si>
    <t>340945/2025</t>
  </si>
  <si>
    <t>B 9386 JOO</t>
  </si>
  <si>
    <t>16.00</t>
  </si>
  <si>
    <t>08.37</t>
  </si>
  <si>
    <t>06.46</t>
  </si>
  <si>
    <t>06.36</t>
  </si>
  <si>
    <t>06.26</t>
  </si>
  <si>
    <t>16.09</t>
  </si>
  <si>
    <t>09.39</t>
  </si>
  <si>
    <t>16.48</t>
  </si>
  <si>
    <t>122884/2025</t>
  </si>
  <si>
    <t>11.39</t>
  </si>
  <si>
    <t>06.54</t>
  </si>
  <si>
    <t>07.13</t>
  </si>
  <si>
    <t>07.22</t>
  </si>
  <si>
    <t>68945/2025</t>
  </si>
  <si>
    <t>08.23</t>
  </si>
  <si>
    <t>06.41</t>
  </si>
  <si>
    <t>06.33</t>
  </si>
  <si>
    <t>07.39</t>
  </si>
  <si>
    <t>09.10</t>
  </si>
  <si>
    <t>18.01</t>
  </si>
  <si>
    <t>10.57</t>
  </si>
  <si>
    <t>08.50</t>
  </si>
  <si>
    <t>07.23</t>
  </si>
  <si>
    <t>07.24</t>
  </si>
  <si>
    <t>09.30</t>
  </si>
  <si>
    <t>46557/2025</t>
  </si>
  <si>
    <t>S 8071 WF</t>
  </si>
  <si>
    <t>07.37</t>
  </si>
  <si>
    <t>08.45</t>
  </si>
  <si>
    <t>06.59</t>
  </si>
  <si>
    <t>08.48</t>
  </si>
  <si>
    <t>10.50</t>
  </si>
  <si>
    <t>09.29</t>
  </si>
  <si>
    <t>09.24</t>
  </si>
  <si>
    <t>07.32</t>
  </si>
  <si>
    <t>10.00</t>
  </si>
  <si>
    <t>09.19</t>
  </si>
  <si>
    <t>09.25</t>
  </si>
  <si>
    <t>06.28</t>
  </si>
  <si>
    <t>07.49</t>
  </si>
  <si>
    <t>08.56</t>
  </si>
  <si>
    <t>09.23</t>
  </si>
  <si>
    <t>L 9620 CC</t>
  </si>
  <si>
    <t>21386/2025</t>
  </si>
  <si>
    <t xml:space="preserve"> L 9620 CO</t>
  </si>
  <si>
    <t>AD 8832 NA</t>
  </si>
  <si>
    <t>S 8071 IUF</t>
  </si>
  <si>
    <t>336062/2024</t>
  </si>
  <si>
    <t>08.03</t>
  </si>
  <si>
    <t>Depo Spil PKS</t>
  </si>
  <si>
    <t>16.20</t>
  </si>
  <si>
    <t>Depo Spil 4</t>
  </si>
  <si>
    <t>08.20</t>
  </si>
  <si>
    <t>08.10</t>
  </si>
  <si>
    <t>08.55</t>
  </si>
  <si>
    <t>12.26</t>
  </si>
  <si>
    <t>06.14</t>
  </si>
  <si>
    <t>06.22</t>
  </si>
  <si>
    <t>06.32</t>
  </si>
  <si>
    <t>15.20</t>
  </si>
  <si>
    <t>328475/2024</t>
  </si>
  <si>
    <t>08.07</t>
  </si>
  <si>
    <t>00.00</t>
  </si>
  <si>
    <t>06.18</t>
  </si>
  <si>
    <t>10.03</t>
  </si>
  <si>
    <t>11.09</t>
  </si>
  <si>
    <t>07.41</t>
  </si>
  <si>
    <t>08.27</t>
  </si>
  <si>
    <t>07.40</t>
  </si>
  <si>
    <t>305244/2024</t>
  </si>
  <si>
    <t>Depo Spil PKS &amp; Depo Spil Yonif</t>
  </si>
  <si>
    <t>14.07</t>
  </si>
  <si>
    <t>07.48</t>
  </si>
  <si>
    <t>09.08</t>
  </si>
  <si>
    <t>16.25</t>
  </si>
  <si>
    <t>16.14</t>
  </si>
  <si>
    <t>07.36</t>
  </si>
  <si>
    <t>15.35</t>
  </si>
  <si>
    <t>16.56</t>
  </si>
  <si>
    <t>Depo Spil Yonif</t>
  </si>
  <si>
    <t>08.54</t>
  </si>
  <si>
    <t>15.46</t>
  </si>
  <si>
    <t>16.28</t>
  </si>
  <si>
    <t>08.17</t>
  </si>
  <si>
    <t>15.05</t>
  </si>
  <si>
    <t>10.10</t>
  </si>
  <si>
    <t>Depo PKS &amp; Depo Yonif &amp; Depo Bayur</t>
  </si>
  <si>
    <t>08.02</t>
  </si>
  <si>
    <t>08.59</t>
  </si>
  <si>
    <t>14.52</t>
  </si>
  <si>
    <t>16.44</t>
  </si>
  <si>
    <t>Depo Spil 4 &amp; Depo Spil Yonif</t>
  </si>
  <si>
    <t>311559/2024</t>
  </si>
  <si>
    <t>15.55</t>
  </si>
  <si>
    <t>09.16</t>
  </si>
  <si>
    <t>06.15</t>
  </si>
  <si>
    <t>15.40</t>
  </si>
  <si>
    <t>11.58</t>
  </si>
  <si>
    <t>13.08</t>
  </si>
  <si>
    <t>06.13</t>
  </si>
  <si>
    <t>16.17</t>
  </si>
  <si>
    <t>11.44</t>
  </si>
  <si>
    <t>06.21</t>
  </si>
  <si>
    <t>12.39</t>
  </si>
  <si>
    <t>Depo Spil PKS &amp; Depo Spil 4</t>
  </si>
  <si>
    <t>Depo teluk Bayur</t>
  </si>
  <si>
    <t>07.44</t>
  </si>
  <si>
    <t>17.11</t>
  </si>
  <si>
    <t>243363/2024</t>
  </si>
  <si>
    <t>13.46</t>
  </si>
  <si>
    <t>09.26</t>
  </si>
  <si>
    <t>11.14</t>
  </si>
  <si>
    <t>L. 8411 VB</t>
  </si>
  <si>
    <t>15.10</t>
  </si>
  <si>
    <t>16.18</t>
  </si>
  <si>
    <t>L. 9620 CG</t>
  </si>
  <si>
    <t>L. 9925 VY</t>
  </si>
  <si>
    <t>13.10</t>
  </si>
  <si>
    <t>Depo Spil Yonif &amp; PKS</t>
  </si>
  <si>
    <t>16.19</t>
  </si>
  <si>
    <t>243359/2024</t>
  </si>
  <si>
    <t>B 9386 JOG</t>
  </si>
  <si>
    <t>09.48</t>
  </si>
  <si>
    <t>09.18</t>
  </si>
  <si>
    <t>09.15</t>
  </si>
  <si>
    <t>B 9366 JOG</t>
  </si>
  <si>
    <t>09.05</t>
  </si>
  <si>
    <t>10.51</t>
  </si>
  <si>
    <t>06.27</t>
  </si>
  <si>
    <t>08.36</t>
  </si>
  <si>
    <t>08.40</t>
  </si>
  <si>
    <t>16.36</t>
  </si>
  <si>
    <t>15.15</t>
  </si>
  <si>
    <t>Depo Spil Japfa</t>
  </si>
  <si>
    <t>Depo Spil 4 &amp; Spil Yonif</t>
  </si>
  <si>
    <t>123177/2024</t>
  </si>
  <si>
    <t>07.38</t>
  </si>
  <si>
    <t>15.30</t>
  </si>
  <si>
    <t>15.27</t>
  </si>
  <si>
    <t>12.00</t>
  </si>
  <si>
    <t>Depo Spil 4 &amp; Depo Japfa</t>
  </si>
  <si>
    <t>14.45</t>
  </si>
  <si>
    <t>Depo Spil Telik Bayur</t>
  </si>
  <si>
    <t>14.37</t>
  </si>
  <si>
    <t>09.55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</si>
</sst>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&quot; &quot;;&quot;(&quot;#,##0&quot;)&quot;"/>
    <numFmt numFmtId="165" formatCode="d&quot; &quot;mmm&quot; &quot;yyyy"/>
    <numFmt numFmtId="166" formatCode="mmm&quot; &quot;d&quot;, &quot;yy"/>
    <numFmt numFmtId="167" formatCode="dd&quot; &quot;mmm&quot; &quot;yyyy"/>
    <numFmt numFmtId="168" formatCode="#,##0&quot; &quot;[$ Km];#,##0&quot; &quot;[$ Km]"/>
    <numFmt numFmtId="169" formatCode="#,##0&quot; &quot;[$ M³];#,##0&quot; &quot;[$ M³]"/>
    <numFmt numFmtId="170" formatCode="#,##0&quot; &quot;[$ Rit];#,##0&quot; &quot;[$ Rit]"/>
    <numFmt numFmtId="171" formatCode="#,##0&quot; &quot;[$ Kg];#,##0&quot; &quot;[$ Kg]"/>
    <numFmt numFmtId="172" formatCode="[$-421]dddd&quot;, &quot;dd&quot; &quot;mmmm&quot; &quot;yy"/>
    <numFmt numFmtId="173" formatCode="[$-421]dddd&quot; , &quot;d&quot; &quot;mmmm&quot; &quot;yyyy"/>
    <numFmt numFmtId="174" formatCode="#,##0&quot; &quot;[$ M³];#,##0&quot; &quot;[$  M³]"/>
    <numFmt numFmtId="175" formatCode="#,##0&quot; &quot;[$ Rit];#,##0&quot; &quot;[$  Rit]"/>
    <numFmt numFmtId="176" formatCode="#,##0&quot; &quot;[$ M³];&quot;-&quot;#,##0&quot; &quot;[$  M³]"/>
    <numFmt numFmtId="177" formatCode="hh&quot;:&quot;mm"/>
  </numFmts>
  <fonts count="32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b/>
      <i/>
      <sz val="9"/>
      <color theme="1"/>
      <name val="Rubik2"/>
    </font>
    <font>
      <i/>
      <sz val="10"/>
      <color rgb="FF808080"/>
      <name val="Liberation Sans"/>
    </font>
    <font>
      <sz val="10"/>
      <color rgb="FF000000"/>
      <name val="Rubik1"/>
    </font>
    <font>
      <b/>
      <i/>
      <sz val="9"/>
      <color rgb="FF111111"/>
      <name val="Rubik2"/>
    </font>
    <font>
      <b/>
      <sz val="9.5"/>
      <color theme="1"/>
      <name val="Rubik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sz val="10"/>
      <color rgb="FF000000"/>
      <name val="Ubuntu Mono"/>
    </font>
    <font>
      <b/>
      <i/>
      <u/>
      <sz val="10"/>
      <color theme="1"/>
      <name val="Liberation Sans"/>
    </font>
    <font>
      <sz val="9"/>
      <color theme="1"/>
      <name val="Rubik1"/>
    </font>
    <font>
      <sz val="9"/>
      <color rgb="FF000000"/>
      <name val="Rubik1"/>
    </font>
    <font>
      <b/>
      <sz val="9"/>
      <color theme="1"/>
      <name val="Rubik4"/>
    </font>
    <font>
      <sz val="9"/>
      <color theme="1"/>
      <name val="Rubik4"/>
    </font>
    <font>
      <sz val="9"/>
      <color rgb="FFCE181E"/>
      <name val="Rubik4"/>
    </font>
    <font>
      <b/>
      <sz val="9"/>
      <color rgb="FFCE181E"/>
      <name val="Rubik4"/>
    </font>
    <font>
      <b/>
      <sz val="11"/>
      <color rgb="FF000000"/>
      <name val="Rubik4"/>
    </font>
    <font>
      <sz val="11"/>
      <color rgb="FF000000"/>
      <name val="Rubik4"/>
    </font>
    <font>
      <sz val="11"/>
      <color theme="1"/>
      <name val="Rubik4"/>
    </font>
    <font>
      <b/>
      <sz val="11"/>
      <color theme="1"/>
      <name val="Rubik4"/>
    </font>
    <font>
      <b/>
      <sz val="12"/>
      <color theme="1"/>
      <name val="Rubik4"/>
    </font>
    <font>
      <sz val="10"/>
      <color theme="1"/>
      <name val="Rubik4"/>
    </font>
    <font>
      <sz val="9"/>
      <color theme="1"/>
      <name val="Rubik3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00FFFF"/>
        <bgColor rgb="FF00FFFF"/>
      </patternFill>
    </fill>
    <fill>
      <patternFill patternType="solid">
        <fgColor rgb="FFCC0000"/>
        <bgColor rgb="FFCC0000"/>
      </patternFill>
    </fill>
    <fill>
      <patternFill patternType="solid">
        <fgColor rgb="FF579835"/>
        <bgColor rgb="FF579835"/>
      </patternFill>
    </fill>
    <fill>
      <patternFill patternType="solid">
        <fgColor rgb="FF7FFFD4"/>
        <bgColor rgb="FF7FFFD4"/>
      </patternFill>
    </fill>
    <fill>
      <patternFill patternType="solid">
        <fgColor rgb="FFCCFFCC"/>
        <bgColor rgb="FFCCFFCC"/>
      </patternFill>
    </fill>
    <fill>
      <patternFill patternType="solid">
        <fgColor rgb="FFE3E300"/>
        <bgColor rgb="FFE3E300"/>
      </patternFill>
    </fill>
    <fill>
      <patternFill patternType="solid">
        <fgColor rgb="FFFFFFCC"/>
        <bgColor rgb="FFFFFFCC"/>
      </patternFill>
    </fill>
    <fill>
      <patternFill patternType="solid">
        <fgColor rgb="FFFF8080"/>
        <bgColor rgb="FFFF8080"/>
      </patternFill>
    </fill>
    <fill>
      <patternFill patternType="solid">
        <fgColor rgb="FFDFCCE4"/>
        <bgColor rgb="FFDFCCE4"/>
      </patternFill>
    </fill>
    <fill>
      <patternFill patternType="solid">
        <fgColor rgb="FF8CCFB7"/>
        <bgColor rgb="FF8CCFB7"/>
      </patternFill>
    </fill>
    <fill>
      <patternFill patternType="solid">
        <fgColor rgb="FFFFFFFF"/>
        <bgColor rgb="FFFFFFFF"/>
      </patternFill>
    </fill>
    <fill>
      <patternFill patternType="solid">
        <fgColor rgb="FF00A933"/>
        <bgColor rgb="FF00A933"/>
      </patternFill>
    </fill>
    <fill>
      <patternFill patternType="solid">
        <fgColor rgb="FFFCD4D1"/>
        <bgColor rgb="FFFCD4D1"/>
      </patternFill>
    </fill>
    <fill>
      <patternFill patternType="solid">
        <fgColor rgb="FFF7D1D5"/>
        <bgColor rgb="FFF7D1D5"/>
      </patternFill>
    </fill>
    <fill>
      <patternFill patternType="solid">
        <fgColor rgb="FFD3D3D3"/>
        <bgColor rgb="FFD3D3D3"/>
      </patternFill>
    </fill>
    <fill>
      <patternFill patternType="solid">
        <fgColor rgb="FFF0FFFF"/>
        <bgColor rgb="FFF0FFFF"/>
      </patternFill>
    </fill>
    <fill>
      <patternFill patternType="solid">
        <fgColor rgb="FFC0C0C0"/>
        <bgColor rgb="FFC0C0C0"/>
      </patternFill>
    </fill>
    <fill>
      <patternFill patternType="solid">
        <fgColor rgb="FFA9A9A9"/>
        <bgColor rgb="FFA9A9A9"/>
      </patternFill>
    </fill>
    <fill>
      <patternFill patternType="solid">
        <fgColor rgb="FFB2B2B2"/>
        <bgColor rgb="FFB2B2B2"/>
      </patternFill>
    </fill>
    <fill>
      <patternFill patternType="solid">
        <fgColor rgb="FFDCDCDC"/>
        <bgColor rgb="FFDCDCDC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000000"/>
      </right>
      <top style="thin">
        <color rgb="FF666666"/>
      </top>
      <bottom style="thin">
        <color rgb="FF666666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B2B2B2"/>
      </top>
      <bottom style="thin">
        <color rgb="FFB2B2B2"/>
      </bottom>
      <diagonal/>
    </border>
  </borders>
  <cellStyleXfs count="35">
    <xf numFmtId="0" fontId="0" fillId="0" borderId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0" fillId="10" borderId="0" applyNumberFormat="0" applyBorder="0" applyAlignment="0" applyProtection="0"/>
    <xf numFmtId="0" fontId="4" fillId="5" borderId="0" applyNumberFormat="0" applyBorder="0" applyAlignment="0" applyProtection="0"/>
    <xf numFmtId="0" fontId="15" fillId="12" borderId="0" applyNumberFormat="0" applyBorder="0" applyAlignment="0" applyProtection="0"/>
    <xf numFmtId="0" fontId="16" fillId="12" borderId="3" applyNumberFormat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164" fontId="5" fillId="6" borderId="0" applyAlignment="0" applyProtection="0"/>
    <xf numFmtId="0" fontId="1" fillId="0" borderId="0" applyNumberFormat="0" applyFont="0" applyFill="0" applyBorder="0" applyAlignment="0" applyProtection="0"/>
    <xf numFmtId="0" fontId="3" fillId="7" borderId="0" applyNumberFormat="0" applyBorder="0" applyAlignment="0" applyProtection="0"/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8" fillId="8" borderId="2" applyNumberFormat="0" applyAlignment="0" applyProtection="0"/>
    <xf numFmtId="0" fontId="9" fillId="9" borderId="1" applyNumberFormat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164" fontId="5" fillId="11" borderId="0" applyBorder="0" applyAlignment="0" applyProtection="0"/>
    <xf numFmtId="0" fontId="17" fillId="13" borderId="0" applyNumberFormat="0" applyBorder="0" applyAlignment="0" applyProtection="0"/>
    <xf numFmtId="0" fontId="1" fillId="0" borderId="0" applyNumberFormat="0" applyFont="0" applyFill="0" applyBorder="0" applyProtection="0">
      <alignment horizontal="left"/>
    </xf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Protection="0">
      <alignment horizontal="left"/>
    </xf>
    <xf numFmtId="0" fontId="1" fillId="0" borderId="0" applyNumberFormat="0" applyFont="0" applyFill="0" applyBorder="0" applyAlignment="0" applyProtection="0"/>
    <xf numFmtId="0" fontId="18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167" fontId="1" fillId="6" borderId="0" applyFont="0" applyProtection="0">
      <alignment horizontal="center"/>
    </xf>
    <xf numFmtId="167" fontId="19" fillId="11" borderId="0" applyBorder="0" applyAlignment="0" applyProtection="0"/>
    <xf numFmtId="0" fontId="20" fillId="0" borderId="1" applyNumberFormat="0" applyFill="0" applyAlignment="0" applyProtection="0"/>
    <xf numFmtId="0" fontId="4" fillId="0" borderId="0" applyNumberFormat="0" applyFill="0" applyBorder="0" applyAlignment="0" applyProtection="0"/>
  </cellStyleXfs>
  <cellXfs count="114">
    <xf numFmtId="0" fontId="0" fillId="0" borderId="0" xfId="0"/>
    <xf numFmtId="166" fontId="21" fillId="14" borderId="4" xfId="12" applyNumberFormat="1" applyFont="1" applyFill="1" applyBorder="1" applyAlignment="1">
      <alignment horizontal="center" vertical="center" wrapText="1"/>
    </xf>
    <xf numFmtId="3" fontId="21" fillId="14" borderId="4" xfId="12" applyNumberFormat="1" applyFont="1" applyFill="1" applyBorder="1" applyAlignment="1">
      <alignment horizontal="center" vertical="center"/>
    </xf>
    <xf numFmtId="3" fontId="21" fillId="14" borderId="4" xfId="12" applyNumberFormat="1" applyFont="1" applyFill="1" applyBorder="1" applyAlignment="1">
      <alignment horizontal="center" vertical="center" wrapText="1"/>
    </xf>
    <xf numFmtId="3" fontId="21" fillId="15" borderId="4" xfId="12" applyNumberFormat="1" applyFont="1" applyFill="1" applyBorder="1" applyAlignment="1">
      <alignment horizontal="center" vertical="center"/>
    </xf>
    <xf numFmtId="0" fontId="22" fillId="16" borderId="0" xfId="12" applyFont="1" applyFill="1" applyAlignment="1">
      <alignment horizontal="center" vertical="center"/>
    </xf>
    <xf numFmtId="0" fontId="22" fillId="0" borderId="0" xfId="12" applyFont="1" applyAlignment="1">
      <alignment vertical="center"/>
    </xf>
    <xf numFmtId="0" fontId="22" fillId="0" borderId="0" xfId="12" applyFont="1"/>
    <xf numFmtId="166" fontId="22" fillId="17" borderId="4" xfId="12" applyNumberFormat="1" applyFont="1" applyFill="1" applyBorder="1" applyAlignment="1">
      <alignment horizontal="center" vertical="center"/>
    </xf>
    <xf numFmtId="0" fontId="22" fillId="17" borderId="4" xfId="12" applyFont="1" applyFill="1" applyBorder="1" applyAlignment="1">
      <alignment horizontal="center" vertical="center"/>
    </xf>
    <xf numFmtId="0" fontId="22" fillId="17" borderId="4" xfId="12" applyFont="1" applyFill="1" applyBorder="1" applyAlignment="1">
      <alignment horizontal="left" vertical="center"/>
    </xf>
    <xf numFmtId="0" fontId="22" fillId="0" borderId="4" xfId="12" applyFont="1" applyBorder="1"/>
    <xf numFmtId="3" fontId="22" fillId="0" borderId="4" xfId="12" applyNumberFormat="1" applyFont="1" applyBorder="1"/>
    <xf numFmtId="166" fontId="22" fillId="0" borderId="4" xfId="12" applyNumberFormat="1" applyFont="1" applyBorder="1" applyAlignment="1">
      <alignment horizontal="center" vertical="center"/>
    </xf>
    <xf numFmtId="0" fontId="22" fillId="0" borderId="4" xfId="12" applyFont="1" applyBorder="1" applyAlignment="1">
      <alignment horizontal="center" vertical="center"/>
    </xf>
    <xf numFmtId="0" fontId="22" fillId="0" borderId="4" xfId="12" applyFont="1" applyBorder="1" applyAlignment="1">
      <alignment horizontal="left" vertical="center"/>
    </xf>
    <xf numFmtId="0" fontId="22" fillId="0" borderId="4" xfId="12" applyFont="1" applyBorder="1" applyAlignment="1">
      <alignment vertical="center"/>
    </xf>
    <xf numFmtId="3" fontId="22" fillId="0" borderId="4" xfId="12" applyNumberFormat="1" applyFont="1" applyBorder="1" applyAlignment="1">
      <alignment vertical="center"/>
    </xf>
    <xf numFmtId="166" fontId="22" fillId="0" borderId="4" xfId="12" applyNumberFormat="1" applyFont="1" applyFill="1" applyBorder="1" applyAlignment="1">
      <alignment horizontal="center" vertical="center"/>
    </xf>
    <xf numFmtId="0" fontId="22" fillId="0" borderId="4" xfId="12" applyFont="1" applyFill="1" applyBorder="1" applyAlignment="1">
      <alignment horizontal="center" vertical="center"/>
    </xf>
    <xf numFmtId="0" fontId="22" fillId="0" borderId="4" xfId="12" applyFont="1" applyFill="1" applyBorder="1" applyAlignment="1">
      <alignment horizontal="left" vertical="center"/>
    </xf>
    <xf numFmtId="166" fontId="22" fillId="16" borderId="4" xfId="12" applyNumberFormat="1" applyFont="1" applyFill="1" applyBorder="1" applyAlignment="1">
      <alignment horizontal="center" vertical="center"/>
    </xf>
    <xf numFmtId="0" fontId="22" fillId="16" borderId="4" xfId="12" applyFont="1" applyFill="1" applyBorder="1" applyAlignment="1">
      <alignment horizontal="center" vertical="center"/>
    </xf>
    <xf numFmtId="0" fontId="22" fillId="16" borderId="4" xfId="12" applyFont="1" applyFill="1" applyBorder="1" applyAlignment="1">
      <alignment horizontal="left" vertical="center"/>
    </xf>
    <xf numFmtId="166" fontId="22" fillId="18" borderId="4" xfId="12" applyNumberFormat="1" applyFont="1" applyFill="1" applyBorder="1" applyAlignment="1">
      <alignment horizontal="center" vertical="center"/>
    </xf>
    <xf numFmtId="0" fontId="22" fillId="18" borderId="4" xfId="12" applyFont="1" applyFill="1" applyBorder="1" applyAlignment="1">
      <alignment horizontal="center" vertical="center"/>
    </xf>
    <xf numFmtId="0" fontId="22" fillId="18" borderId="4" xfId="12" applyFont="1" applyFill="1" applyBorder="1" applyAlignment="1">
      <alignment horizontal="left" vertical="center"/>
    </xf>
    <xf numFmtId="0" fontId="23" fillId="0" borderId="4" xfId="12" applyFont="1" applyBorder="1" applyAlignment="1">
      <alignment horizontal="center" vertical="center"/>
    </xf>
    <xf numFmtId="0" fontId="24" fillId="0" borderId="4" xfId="12" applyFont="1" applyBorder="1" applyAlignment="1">
      <alignment horizontal="center" vertical="center"/>
    </xf>
    <xf numFmtId="166" fontId="22" fillId="19" borderId="4" xfId="12" applyNumberFormat="1" applyFont="1" applyFill="1" applyBorder="1" applyAlignment="1">
      <alignment horizontal="center" vertical="center"/>
    </xf>
    <xf numFmtId="0" fontId="22" fillId="19" borderId="4" xfId="12" applyFont="1" applyFill="1" applyBorder="1" applyAlignment="1">
      <alignment horizontal="center" vertical="center"/>
    </xf>
    <xf numFmtId="0" fontId="22" fillId="19" borderId="4" xfId="12" applyFont="1" applyFill="1" applyBorder="1" applyAlignment="1">
      <alignment horizontal="left" vertical="center"/>
    </xf>
    <xf numFmtId="166" fontId="21" fillId="17" borderId="4" xfId="12" applyNumberFormat="1" applyFont="1" applyFill="1" applyBorder="1" applyAlignment="1">
      <alignment horizontal="center" vertical="center"/>
    </xf>
    <xf numFmtId="0" fontId="21" fillId="17" borderId="4" xfId="12" applyFont="1" applyFill="1" applyBorder="1" applyAlignment="1">
      <alignment horizontal="center" vertical="center"/>
    </xf>
    <xf numFmtId="0" fontId="21" fillId="17" borderId="4" xfId="12" applyFont="1" applyFill="1" applyBorder="1" applyAlignment="1">
      <alignment horizontal="left" vertical="center"/>
    </xf>
    <xf numFmtId="166" fontId="21" fillId="0" borderId="4" xfId="12" applyNumberFormat="1" applyFont="1" applyFill="1" applyBorder="1" applyAlignment="1">
      <alignment horizontal="center" vertical="center"/>
    </xf>
    <xf numFmtId="0" fontId="21" fillId="0" borderId="4" xfId="12" applyFont="1" applyFill="1" applyBorder="1" applyAlignment="1">
      <alignment horizontal="center" vertical="center"/>
    </xf>
    <xf numFmtId="0" fontId="21" fillId="0" borderId="4" xfId="12" applyFont="1" applyFill="1" applyBorder="1" applyAlignment="1">
      <alignment horizontal="left" vertical="center"/>
    </xf>
    <xf numFmtId="165" fontId="22" fillId="16" borderId="4" xfId="12" applyNumberFormat="1" applyFont="1" applyFill="1" applyBorder="1" applyAlignment="1">
      <alignment horizontal="center" vertical="center"/>
    </xf>
    <xf numFmtId="169" fontId="22" fillId="16" borderId="4" xfId="12" applyNumberFormat="1" applyFont="1" applyFill="1" applyBorder="1" applyAlignment="1">
      <alignment horizontal="center" vertical="center"/>
    </xf>
    <xf numFmtId="170" fontId="22" fillId="16" borderId="4" xfId="12" applyNumberFormat="1" applyFont="1" applyFill="1" applyBorder="1" applyAlignment="1">
      <alignment horizontal="center" vertical="center"/>
    </xf>
    <xf numFmtId="169" fontId="22" fillId="16" borderId="4" xfId="12" applyNumberFormat="1" applyFont="1" applyFill="1" applyBorder="1" applyAlignment="1">
      <alignment horizontal="right" vertical="center"/>
    </xf>
    <xf numFmtId="171" fontId="22" fillId="16" borderId="4" xfId="12" applyNumberFormat="1" applyFont="1" applyFill="1" applyBorder="1" applyAlignment="1">
      <alignment horizontal="right" vertical="center"/>
    </xf>
    <xf numFmtId="169" fontId="22" fillId="20" borderId="4" xfId="12" applyNumberFormat="1" applyFont="1" applyFill="1" applyBorder="1" applyAlignment="1">
      <alignment horizontal="center" vertical="center"/>
    </xf>
    <xf numFmtId="3" fontId="22" fillId="0" borderId="0" xfId="12" applyNumberFormat="1" applyFont="1" applyAlignment="1">
      <alignment vertical="center"/>
    </xf>
    <xf numFmtId="0" fontId="21" fillId="21" borderId="4" xfId="12" applyFont="1" applyFill="1" applyBorder="1" applyAlignment="1">
      <alignment horizontal="center" vertical="center" wrapText="1"/>
    </xf>
    <xf numFmtId="165" fontId="21" fillId="21" borderId="4" xfId="12" applyNumberFormat="1" applyFont="1" applyFill="1" applyBorder="1" applyAlignment="1">
      <alignment horizontal="center" vertical="center" wrapText="1"/>
    </xf>
    <xf numFmtId="4" fontId="21" fillId="21" borderId="4" xfId="12" applyNumberFormat="1" applyFont="1" applyFill="1" applyBorder="1" applyAlignment="1">
      <alignment horizontal="center" vertical="center" wrapText="1"/>
    </xf>
    <xf numFmtId="3" fontId="21" fillId="21" borderId="4" xfId="12" applyNumberFormat="1" applyFont="1" applyFill="1" applyBorder="1" applyAlignment="1">
      <alignment horizontal="center" vertical="center" wrapText="1"/>
    </xf>
    <xf numFmtId="0" fontId="22" fillId="22" borderId="4" xfId="12" applyFont="1" applyFill="1" applyBorder="1" applyAlignment="1">
      <alignment horizontal="center"/>
    </xf>
    <xf numFmtId="0" fontId="22" fillId="0" borderId="4" xfId="12" applyFont="1" applyBorder="1" applyAlignment="1">
      <alignment horizontal="center"/>
    </xf>
    <xf numFmtId="165" fontId="22" fillId="0" borderId="4" xfId="12" applyNumberFormat="1" applyFont="1" applyBorder="1" applyAlignment="1">
      <alignment horizontal="center"/>
    </xf>
    <xf numFmtId="0" fontId="22" fillId="23" borderId="4" xfId="12" applyFont="1" applyFill="1" applyBorder="1"/>
    <xf numFmtId="0" fontId="22" fillId="22" borderId="4" xfId="12" applyFont="1" applyFill="1" applyBorder="1"/>
    <xf numFmtId="4" fontId="22" fillId="0" borderId="4" xfId="12" applyNumberFormat="1" applyFont="1" applyBorder="1"/>
    <xf numFmtId="3" fontId="22" fillId="24" borderId="4" xfId="12" applyNumberFormat="1" applyFont="1" applyFill="1" applyBorder="1"/>
    <xf numFmtId="3" fontId="22" fillId="20" borderId="4" xfId="12" applyNumberFormat="1" applyFont="1" applyFill="1" applyBorder="1"/>
    <xf numFmtId="3" fontId="22" fillId="20" borderId="4" xfId="12" applyNumberFormat="1" applyFont="1" applyFill="1" applyBorder="1" applyAlignment="1">
      <alignment horizontal="right"/>
    </xf>
    <xf numFmtId="3" fontId="22" fillId="0" borderId="4" xfId="12" applyNumberFormat="1" applyFont="1" applyBorder="1" applyAlignment="1">
      <alignment horizontal="right"/>
    </xf>
    <xf numFmtId="0" fontId="25" fillId="16" borderId="4" xfId="12" applyFont="1" applyFill="1" applyBorder="1" applyAlignment="1">
      <alignment horizontal="center" vertical="center" wrapText="1"/>
    </xf>
    <xf numFmtId="167" fontId="25" fillId="16" borderId="4" xfId="12" applyNumberFormat="1" applyFont="1" applyFill="1" applyBorder="1" applyAlignment="1">
      <alignment horizontal="center" vertical="center" wrapText="1"/>
    </xf>
    <xf numFmtId="0" fontId="25" fillId="16" borderId="4" xfId="12" applyFont="1" applyFill="1" applyBorder="1" applyAlignment="1">
      <alignment horizontal="center" vertical="center" shrinkToFit="1"/>
    </xf>
    <xf numFmtId="164" fontId="25" fillId="16" borderId="4" xfId="12" applyNumberFormat="1" applyFont="1" applyFill="1" applyBorder="1" applyAlignment="1">
      <alignment horizontal="center" vertical="center" wrapText="1"/>
    </xf>
    <xf numFmtId="164" fontId="26" fillId="16" borderId="4" xfId="12" applyNumberFormat="1" applyFont="1" applyFill="1" applyBorder="1" applyAlignment="1">
      <alignment horizontal="center" vertical="center" wrapText="1"/>
    </xf>
    <xf numFmtId="0" fontId="27" fillId="16" borderId="5" xfId="12" applyFont="1" applyFill="1" applyBorder="1" applyAlignment="1">
      <alignment horizontal="left" vertical="center" indent="1"/>
    </xf>
    <xf numFmtId="0" fontId="27" fillId="16" borderId="5" xfId="12" applyFont="1" applyFill="1" applyBorder="1" applyAlignment="1">
      <alignment horizontal="center" vertical="center"/>
    </xf>
    <xf numFmtId="167" fontId="27" fillId="16" borderId="5" xfId="12" applyNumberFormat="1" applyFont="1" applyFill="1" applyBorder="1" applyAlignment="1">
      <alignment horizontal="center" vertical="center"/>
    </xf>
    <xf numFmtId="0" fontId="26" fillId="16" borderId="5" xfId="12" applyFont="1" applyFill="1" applyBorder="1" applyAlignment="1">
      <alignment horizontal="left" vertical="center" wrapText="1" indent="1"/>
    </xf>
    <xf numFmtId="0" fontId="26" fillId="16" borderId="5" xfId="12" applyFont="1" applyFill="1" applyBorder="1" applyAlignment="1">
      <alignment horizontal="left" vertical="center" indent="1" shrinkToFit="1"/>
    </xf>
    <xf numFmtId="0" fontId="28" fillId="16" borderId="5" xfId="12" applyFont="1" applyFill="1" applyBorder="1" applyAlignment="1">
      <alignment horizontal="center" vertical="center"/>
    </xf>
    <xf numFmtId="0" fontId="27" fillId="16" borderId="5" xfId="12" applyFont="1" applyFill="1" applyBorder="1" applyAlignment="1">
      <alignment horizontal="left" vertical="center" shrinkToFit="1"/>
    </xf>
    <xf numFmtId="0" fontId="27" fillId="16" borderId="5" xfId="12" applyFont="1" applyFill="1" applyBorder="1" applyAlignment="1">
      <alignment horizontal="left" vertical="center" wrapText="1"/>
    </xf>
    <xf numFmtId="0" fontId="27" fillId="16" borderId="5" xfId="12" applyFont="1" applyFill="1" applyBorder="1" applyAlignment="1">
      <alignment horizontal="left" vertical="center"/>
    </xf>
    <xf numFmtId="164" fontId="25" fillId="16" borderId="5" xfId="12" applyNumberFormat="1" applyFont="1" applyFill="1" applyBorder="1" applyAlignment="1">
      <alignment horizontal="right" vertical="center"/>
    </xf>
    <xf numFmtId="168" fontId="28" fillId="25" borderId="5" xfId="12" applyNumberFormat="1" applyFont="1" applyFill="1" applyBorder="1" applyAlignment="1">
      <alignment horizontal="right" vertical="center"/>
    </xf>
    <xf numFmtId="0" fontId="22" fillId="25" borderId="0" xfId="12" applyFont="1" applyFill="1" applyAlignment="1">
      <alignment vertical="center" shrinkToFit="1"/>
    </xf>
    <xf numFmtId="0" fontId="21" fillId="0" borderId="0" xfId="12" applyFont="1" applyAlignment="1">
      <alignment horizontal="center"/>
    </xf>
    <xf numFmtId="0" fontId="22" fillId="0" borderId="0" xfId="12" applyFont="1" applyAlignment="1">
      <alignment horizontal="left" indent="1"/>
    </xf>
    <xf numFmtId="0" fontId="22" fillId="0" borderId="0" xfId="12" applyFont="1" applyAlignment="1">
      <alignment horizontal="center"/>
    </xf>
    <xf numFmtId="0" fontId="29" fillId="0" borderId="0" xfId="12" applyFont="1"/>
    <xf numFmtId="0" fontId="21" fillId="0" borderId="0" xfId="12" applyFont="1"/>
    <xf numFmtId="0" fontId="21" fillId="0" borderId="0" xfId="12" applyFont="1" applyAlignment="1">
      <alignment horizontal="right" vertical="center"/>
    </xf>
    <xf numFmtId="3" fontId="30" fillId="0" borderId="0" xfId="12" applyNumberFormat="1" applyFont="1" applyAlignment="1">
      <alignment vertical="center"/>
    </xf>
    <xf numFmtId="175" fontId="21" fillId="0" borderId="0" xfId="12" applyNumberFormat="1" applyFont="1" applyAlignment="1">
      <alignment horizontal="right"/>
    </xf>
    <xf numFmtId="175" fontId="22" fillId="0" borderId="0" xfId="12" applyNumberFormat="1" applyFont="1" applyAlignment="1">
      <alignment horizontal="center"/>
    </xf>
    <xf numFmtId="0" fontId="21" fillId="0" borderId="4" xfId="12" applyFont="1" applyBorder="1" applyAlignment="1">
      <alignment horizontal="center"/>
    </xf>
    <xf numFmtId="0" fontId="1" fillId="0" borderId="0" xfId="12"/>
    <xf numFmtId="0" fontId="21" fillId="0" borderId="0" xfId="12" applyFont="1" applyBorder="1" applyAlignment="1">
      <alignment horizontal="center"/>
    </xf>
    <xf numFmtId="172" fontId="22" fillId="0" borderId="0" xfId="12" applyNumberFormat="1" applyFont="1" applyBorder="1" applyAlignment="1">
      <alignment horizontal="left"/>
    </xf>
    <xf numFmtId="0" fontId="22" fillId="0" borderId="0" xfId="12" applyFont="1" applyBorder="1" applyAlignment="1">
      <alignment horizontal="left" indent="1"/>
    </xf>
    <xf numFmtId="176" fontId="31" fillId="0" borderId="0" xfId="12" applyNumberFormat="1" applyFont="1" applyBorder="1" applyAlignment="1">
      <alignment horizontal="center"/>
    </xf>
    <xf numFmtId="0" fontId="22" fillId="0" borderId="0" xfId="12" applyFont="1" applyBorder="1" applyAlignment="1">
      <alignment horizontal="center"/>
    </xf>
    <xf numFmtId="0" fontId="22" fillId="0" borderId="0" xfId="12" applyFont="1" applyBorder="1"/>
    <xf numFmtId="172" fontId="22" fillId="0" borderId="0" xfId="12" applyNumberFormat="1" applyFont="1"/>
    <xf numFmtId="0" fontId="22" fillId="16" borderId="0" xfId="12" applyFont="1" applyFill="1" applyBorder="1" applyAlignment="1">
      <alignment horizontal="left" indent="1"/>
    </xf>
    <xf numFmtId="176" fontId="31" fillId="0" borderId="0" xfId="12" applyNumberFormat="1" applyFont="1" applyAlignment="1">
      <alignment horizontal="center"/>
    </xf>
    <xf numFmtId="173" fontId="22" fillId="0" borderId="0" xfId="12" applyNumberFormat="1" applyFont="1" applyAlignment="1">
      <alignment horizontal="left"/>
    </xf>
    <xf numFmtId="49" fontId="22" fillId="0" borderId="0" xfId="12" applyNumberFormat="1" applyFont="1" applyAlignment="1">
      <alignment horizontal="center"/>
    </xf>
    <xf numFmtId="49" fontId="22" fillId="0" borderId="0" xfId="12" applyNumberFormat="1" applyFont="1"/>
    <xf numFmtId="177" fontId="22" fillId="0" borderId="0" xfId="12" applyNumberFormat="1" applyFont="1" applyAlignment="1">
      <alignment horizontal="center"/>
    </xf>
    <xf numFmtId="0" fontId="30" fillId="0" borderId="0" xfId="12" applyFont="1"/>
    <xf numFmtId="3" fontId="29" fillId="0" borderId="0" xfId="12" applyNumberFormat="1" applyFont="1" applyAlignment="1">
      <alignment horizontal="right" vertical="center"/>
    </xf>
    <xf numFmtId="0" fontId="21" fillId="0" borderId="0" xfId="12" applyFont="1" applyAlignment="1">
      <alignment horizontal="right" vertical="center"/>
    </xf>
    <xf numFmtId="174" fontId="21" fillId="0" borderId="0" xfId="12" applyNumberFormat="1" applyFont="1" applyAlignment="1">
      <alignment horizontal="right" vertical="center"/>
    </xf>
    <xf numFmtId="0" fontId="21" fillId="26" borderId="0" xfId="12" applyFont="1" applyFill="1" applyBorder="1" applyAlignment="1">
      <alignment horizontal="center"/>
    </xf>
    <xf numFmtId="172" fontId="22" fillId="26" borderId="0" xfId="12" applyNumberFormat="1" applyFont="1" applyFill="1" applyBorder="1" applyAlignment="1">
      <alignment horizontal="left"/>
    </xf>
    <xf numFmtId="0" fontId="21" fillId="26" borderId="0" xfId="12" applyFont="1" applyFill="1" applyAlignment="1">
      <alignment horizontal="center"/>
    </xf>
    <xf numFmtId="0" fontId="22" fillId="26" borderId="0" xfId="12" applyFont="1" applyFill="1" applyAlignment="1">
      <alignment horizontal="left" indent="1"/>
    </xf>
    <xf numFmtId="176" fontId="31" fillId="26" borderId="0" xfId="12" applyNumberFormat="1" applyFont="1" applyFill="1" applyAlignment="1">
      <alignment horizontal="center"/>
    </xf>
    <xf numFmtId="0" fontId="22" fillId="26" borderId="0" xfId="12" applyFont="1" applyFill="1" applyAlignment="1">
      <alignment horizontal="center"/>
    </xf>
    <xf numFmtId="0" fontId="22" fillId="26" borderId="0" xfId="12" applyFont="1" applyFill="1" applyBorder="1" applyAlignment="1">
      <alignment horizontal="center"/>
    </xf>
    <xf numFmtId="0" fontId="22" fillId="26" borderId="0" xfId="12" applyFont="1" applyFill="1"/>
    <xf numFmtId="173" fontId="22" fillId="26" borderId="0" xfId="12" applyNumberFormat="1" applyFont="1" applyFill="1" applyAlignment="1">
      <alignment horizontal="left"/>
    </xf>
    <xf numFmtId="49" fontId="22" fillId="26" borderId="0" xfId="12" applyNumberFormat="1" applyFont="1" applyFill="1" applyAlignment="1">
      <alignment horizontal="center"/>
    </xf>
  </cellXfs>
  <cellStyles count="35">
    <cellStyle name="Accent" xfId="7" xr:uid="{3EF36A46-DE03-4312-A11F-DDD5041009D4}"/>
    <cellStyle name="Accent 1" xfId="8" xr:uid="{DBFCCA0F-424C-4362-B942-CD587E22486D}"/>
    <cellStyle name="Accent 2" xfId="9" xr:uid="{E827B2A4-9ADF-44D3-8F4C-9AD6C0F0FECD}"/>
    <cellStyle name="Accent 3" xfId="10" xr:uid="{82C70305-1ABE-46E4-9429-D9E52AB138E0}"/>
    <cellStyle name="Bad" xfId="4" builtinId="27" customBuiltin="1"/>
    <cellStyle name="biruu" xfId="11" xr:uid="{B90259E9-251D-4C67-8023-0F4DC8F51F5F}"/>
    <cellStyle name="Default" xfId="12" xr:uid="{1A496A92-AB78-448C-B0D1-7EA6CEEC6765}"/>
    <cellStyle name="Error" xfId="13" xr:uid="{5569B375-8CDA-4EED-9C1E-09B3DBDAA3B6}"/>
    <cellStyle name="Footnote" xfId="14" xr:uid="{CC89CD08-C156-41AE-AF20-066A7E066D69}"/>
    <cellStyle name="garis item" xfId="15" xr:uid="{3BA2CA3A-C757-496B-96F4-D28C99E2F073}"/>
    <cellStyle name="garis kuning" xfId="16" xr:uid="{EFA04DDD-585C-4634-8F7E-E1D1B3674600}"/>
    <cellStyle name="GARISTOK" xfId="17" xr:uid="{2B40B6FD-BCD4-445C-AE7B-85880805C73E}"/>
    <cellStyle name="Good" xfId="3" builtinId="26" customBuiltin="1"/>
    <cellStyle name="Heading" xfId="18" xr:uid="{0BAC7F52-99F9-441A-BBFD-EFAE7BF49C0D}"/>
    <cellStyle name="Heading 1" xfId="1" builtinId="16" customBuiltin="1"/>
    <cellStyle name="Heading 2" xfId="2" builtinId="17" customBuiltin="1"/>
    <cellStyle name="Hyperlink" xfId="19" xr:uid="{2F8A6601-ED56-430C-9250-E5C4D8403E63}"/>
    <cellStyle name="kuning2" xfId="20" xr:uid="{BC440342-B9DA-488D-B253-02AE0E61B69D}"/>
    <cellStyle name="Neutral" xfId="5" builtinId="28" customBuiltin="1"/>
    <cellStyle name="Normal" xfId="0" builtinId="0" customBuiltin="1"/>
    <cellStyle name="Note" xfId="6" builtinId="10" customBuiltin="1"/>
    <cellStyle name="pink" xfId="21" xr:uid="{C270B0AF-71DE-4789-85F3-753AAC834961}"/>
    <cellStyle name="Pivot Table Category" xfId="22" xr:uid="{10233A81-289D-4A4B-8A2D-C5BADE3E7A28}"/>
    <cellStyle name="Pivot Table Corner" xfId="23" xr:uid="{78DED7E2-1CA5-44F3-AF98-788FDBF7AD69}"/>
    <cellStyle name="Pivot Table Field" xfId="24" xr:uid="{ACA46ABE-AC21-492D-A81C-E931BACEB06A}"/>
    <cellStyle name="Pivot Table Result" xfId="25" xr:uid="{AE44F403-7060-4C6C-B1AF-965A28C28B29}"/>
    <cellStyle name="Pivot Table Title" xfId="26" xr:uid="{6AB10D50-9171-4FF8-A8D8-A438C6739C45}"/>
    <cellStyle name="Pivot Table Value" xfId="27" xr:uid="{B90FCB2F-8D4A-4120-BEA0-900C07CA5314}"/>
    <cellStyle name="Result" xfId="28" xr:uid="{FFC3092B-40FA-44A7-B554-F60B62949D40}"/>
    <cellStyle name="Status" xfId="29" xr:uid="{9B501764-40C3-469A-8595-4C82BAE5DAAA}"/>
    <cellStyle name="Text" xfId="30" xr:uid="{8062C32C-8779-4F18-B810-064BCA85A7DB}"/>
    <cellStyle name="tglbiru" xfId="31" xr:uid="{6CF60ABC-8330-4349-9A54-7990CD0F8F0C}"/>
    <cellStyle name="Tglkuning" xfId="32" xr:uid="{8F67C7DA-4BB6-42D9-B258-28F4F28A49AB}"/>
    <cellStyle name="uitem" xfId="33" xr:uid="{A4E820A7-17BD-49DA-8868-B7DEA909CEF9}"/>
    <cellStyle name="Warning" xfId="34" xr:uid="{93D89887-2BB9-4114-A819-C199917E58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36784A-7A7B-49CA-BA79-7B272F8F83E1}" name="__Anonymous_Sheet_DB__0" displayName="__Anonymous_Sheet_DB__0" ref="A1:O462" totalsRowShown="0">
  <autoFilter ref="A1:O462" xr:uid="{F636784A-7A7B-49CA-BA79-7B272F8F83E1}"/>
  <tableColumns count="15">
    <tableColumn id="1" xr3:uid="{1FBA7AA6-10C0-4E6C-9537-3D1133E8C02E}" name="Tgl kegiatan"/>
    <tableColumn id="2" xr3:uid="{BE7FC439-976E-4CCE-9FC9-622C87C47017}" name="Tujuan"/>
    <tableColumn id="3" xr3:uid="{29894A6A-481E-4211-8883-078115736942}" name="Pekerjaan"/>
    <tableColumn id="4" xr3:uid="{567132C3-F7B1-4CEF-A10A-5580F90AA2AC}" name="Lokasi_x000a_Depo"/>
    <tableColumn id="5" xr3:uid="{31C289FC-0C12-4E52-AB9E-8D862C9C85F0}" name="Tonase Angkutan Sampah"/>
    <tableColumn id="6" xr3:uid="{FCBEB9B9-F091-4062-BC91-B94D79B930D2}" name="Brt kotor"/>
    <tableColumn id="7" xr3:uid="{90CF4D72-6D6D-4BCF-8084-B2422AC1ADB1}" name="Brt Kosong"/>
    <tableColumn id="8" xr3:uid="{DF1CDEF7-D0A6-40EC-A62E-D47EAD8846CF}" name="Brt Bersih"/>
    <tableColumn id="9" xr3:uid="{A5C2B520-DE5B-43EB-B9CB-398B91EA51CE}" name="Debit"/>
    <tableColumn id="10" xr3:uid="{2C86AF6C-0B1D-4CEA-9A6E-9DBA644BFA6B}" name="Nominal_x000a_Parkir"/>
    <tableColumn id="11" xr3:uid="{4E5A4DBB-3178-4D55-85E9-F0E4EC259F0C}" name="Nominal_x000a_Tol"/>
    <tableColumn id="12" xr3:uid="{F380BE82-2A2A-4659-A951-B611148A2EE7}" name="Nominal_x000a_Tambal ban /_x000a_Tambah angin"/>
    <tableColumn id="13" xr3:uid="{AD8B954C-4144-48B6-B1BC-3350C0FDFFC1}" name="Biaya Retribusi_x000a_Masuk TPS"/>
    <tableColumn id="14" xr3:uid="{14AE20FA-8B6B-4B9E-93C5-09167761555F}" name="BS"/>
    <tableColumn id="15" xr3:uid="{AFDE352E-6E2B-4ECF-902A-9DAD27355988}" name="V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28F644-77D3-40F5-A18B-BA4DC97B82E9}" name="__Anonymous_Sheet_DB__3" displayName="__Anonymous_Sheet_DB__3" ref="B9:J10000" totalsRowShown="0">
  <autoFilter ref="B9:J10000" xr:uid="{5968FA9E-8164-45B5-B9F6-10BEABB7D35E}"/>
  <tableColumns count="9">
    <tableColumn id="1" xr3:uid="{46081462-0478-4DF9-91DF-4014B67F1603}" name="NO"/>
    <tableColumn id="2" xr3:uid="{D33CD238-3FD3-48E7-8717-3D6BB8876D5A}" name="TANGGAL"/>
    <tableColumn id="3" xr3:uid="{D2D6B423-6D55-459A-A09E-CFA68E643018}" name="BLN"/>
    <tableColumn id="4" xr3:uid="{EF9F0DA0-623E-4E29-92CC-10B575B3F2CF}" name="TRUCK"/>
    <tableColumn id="5" xr3:uid="{B56B082E-9ED7-4EF8-972B-8BA8E5B16A4B}" name="VOLUME"/>
    <tableColumn id="6" xr3:uid="{E6F5E291-9465-4757-802E-DF42E64287CB}" name="Jam"/>
    <tableColumn id="7" xr3:uid="{F6B26688-2AED-4024-8F7A-A7023683DEF6}" name="YEAR"/>
    <tableColumn id="8" xr3:uid="{B90130A1-3681-4142-A8C7-DED98CECE200}" name="LOKASI"/>
    <tableColumn id="9" xr3:uid="{EABCB7C1-0E98-477A-A7BA-7B6E2090EAB1}" name="ID V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9670-B6F3-4314-A36A-007B68001EED}">
  <dimension ref="A1:XEU861"/>
  <sheetViews>
    <sheetView workbookViewId="0">
      <pane ySplit="1" topLeftCell="A674" activePane="bottomLeft" state="frozen"/>
      <selection pane="bottomLeft" activeCell="C686" sqref="C686"/>
    </sheetView>
  </sheetViews>
  <sheetFormatPr defaultRowHeight="12"/>
  <cols>
    <col min="1" max="1" width="14.140625" style="6" customWidth="1"/>
    <col min="2" max="2" width="23.85546875" style="6" customWidth="1"/>
    <col min="3" max="3" width="14.85546875" style="6" customWidth="1"/>
    <col min="4" max="4" width="36.140625" style="6" customWidth="1"/>
    <col min="5" max="5" width="17.28515625" style="6" customWidth="1"/>
    <col min="6" max="8" width="12.140625" style="6" customWidth="1"/>
    <col min="9" max="9" width="10.85546875" style="44" customWidth="1"/>
    <col min="10" max="11" width="14.5703125" style="44" customWidth="1"/>
    <col min="12" max="12" width="19.42578125" style="44" customWidth="1"/>
    <col min="13" max="13" width="17" style="44" customWidth="1"/>
    <col min="14" max="16375" width="12.140625" style="6" customWidth="1"/>
    <col min="16376" max="16384" width="12.140625" style="7" customWidth="1"/>
  </cols>
  <sheetData>
    <row r="1" spans="1:1019" s="7" customFormat="1" ht="36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 t="s">
        <v>13</v>
      </c>
      <c r="O1" s="2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6"/>
      <c r="AME1" s="6"/>
    </row>
    <row r="2" spans="1:1019" s="7" customFormat="1">
      <c r="A2" s="8">
        <v>45350</v>
      </c>
      <c r="B2" s="9"/>
      <c r="C2" s="9"/>
      <c r="D2" s="10"/>
      <c r="E2" s="11"/>
      <c r="F2" s="11"/>
      <c r="G2" s="11"/>
      <c r="H2" s="11"/>
      <c r="I2" s="12">
        <v>1000000</v>
      </c>
      <c r="J2" s="12"/>
      <c r="K2" s="12"/>
      <c r="L2" s="12"/>
      <c r="M2" s="12"/>
      <c r="N2" s="11" t="s">
        <v>15</v>
      </c>
      <c r="O2" s="11" t="s">
        <v>16</v>
      </c>
    </row>
    <row r="3" spans="1:1019">
      <c r="A3" s="13">
        <v>45346</v>
      </c>
      <c r="B3" s="14" t="s">
        <v>17</v>
      </c>
      <c r="C3" s="14" t="s">
        <v>18</v>
      </c>
      <c r="D3" s="15" t="s">
        <v>19</v>
      </c>
      <c r="E3" s="16"/>
      <c r="F3" s="16"/>
      <c r="G3" s="16"/>
      <c r="H3" s="16"/>
      <c r="I3" s="17"/>
      <c r="J3" s="17"/>
      <c r="K3" s="17">
        <v>42500</v>
      </c>
      <c r="L3" s="17"/>
      <c r="M3" s="17">
        <v>14000</v>
      </c>
      <c r="N3" s="16"/>
      <c r="O3" s="16"/>
    </row>
    <row r="4" spans="1:1019">
      <c r="A4" s="13">
        <v>45347</v>
      </c>
      <c r="B4" s="14" t="s">
        <v>17</v>
      </c>
      <c r="C4" s="14" t="s">
        <v>18</v>
      </c>
      <c r="D4" s="15"/>
      <c r="E4" s="16"/>
      <c r="F4" s="16"/>
      <c r="G4" s="16"/>
      <c r="H4" s="16"/>
      <c r="I4" s="17"/>
      <c r="J4" s="17"/>
      <c r="K4" s="17"/>
      <c r="L4" s="17"/>
      <c r="M4" s="17"/>
      <c r="N4" s="16"/>
      <c r="O4" s="16"/>
    </row>
    <row r="5" spans="1:1019">
      <c r="A5" s="13">
        <v>45348</v>
      </c>
      <c r="B5" s="14" t="s">
        <v>17</v>
      </c>
      <c r="C5" s="14" t="s">
        <v>18</v>
      </c>
      <c r="D5" s="15" t="s">
        <v>20</v>
      </c>
      <c r="E5" s="16"/>
      <c r="F5" s="16"/>
      <c r="G5" s="16"/>
      <c r="H5" s="16"/>
      <c r="I5" s="17"/>
      <c r="J5" s="17"/>
      <c r="K5" s="17">
        <v>42500</v>
      </c>
      <c r="L5" s="17"/>
      <c r="M5" s="17">
        <v>14000</v>
      </c>
      <c r="N5" s="16"/>
      <c r="O5" s="16"/>
    </row>
    <row r="6" spans="1:1019">
      <c r="A6" s="13">
        <v>45349</v>
      </c>
      <c r="B6" s="14" t="s">
        <v>17</v>
      </c>
      <c r="C6" s="14" t="s">
        <v>18</v>
      </c>
      <c r="D6" s="15" t="s">
        <v>21</v>
      </c>
      <c r="E6" s="16"/>
      <c r="F6" s="16"/>
      <c r="G6" s="16"/>
      <c r="H6" s="16"/>
      <c r="I6" s="17"/>
      <c r="J6" s="17"/>
      <c r="K6" s="17">
        <v>42500</v>
      </c>
      <c r="L6" s="17"/>
      <c r="M6" s="17">
        <v>7000</v>
      </c>
      <c r="N6" s="16"/>
      <c r="O6" s="16"/>
    </row>
    <row r="7" spans="1:1019">
      <c r="A7" s="13">
        <v>45350</v>
      </c>
      <c r="B7" s="14" t="s">
        <v>17</v>
      </c>
      <c r="C7" s="14" t="s">
        <v>18</v>
      </c>
      <c r="D7" s="15" t="s">
        <v>22</v>
      </c>
      <c r="E7" s="16"/>
      <c r="F7" s="16"/>
      <c r="G7" s="16"/>
      <c r="H7" s="16"/>
      <c r="I7" s="17"/>
      <c r="J7" s="17"/>
      <c r="K7" s="17">
        <v>69000</v>
      </c>
      <c r="L7" s="17"/>
      <c r="M7" s="17">
        <v>14000</v>
      </c>
      <c r="N7" s="16"/>
      <c r="O7" s="16"/>
    </row>
    <row r="8" spans="1:1019">
      <c r="A8" s="13">
        <v>45351</v>
      </c>
      <c r="B8" s="14" t="s">
        <v>17</v>
      </c>
      <c r="C8" s="14" t="s">
        <v>18</v>
      </c>
      <c r="D8" s="15" t="s">
        <v>23</v>
      </c>
      <c r="E8" s="16"/>
      <c r="F8" s="16"/>
      <c r="G8" s="16"/>
      <c r="H8" s="16"/>
      <c r="I8" s="17"/>
      <c r="J8" s="17"/>
      <c r="K8" s="17">
        <v>85000</v>
      </c>
      <c r="L8" s="17"/>
      <c r="M8" s="17">
        <v>14000</v>
      </c>
      <c r="N8" s="16"/>
      <c r="O8" s="16"/>
    </row>
    <row r="9" spans="1:1019">
      <c r="A9" s="13">
        <v>45352</v>
      </c>
      <c r="B9" s="14" t="s">
        <v>17</v>
      </c>
      <c r="C9" s="14" t="s">
        <v>18</v>
      </c>
      <c r="D9" s="15" t="s">
        <v>24</v>
      </c>
      <c r="E9" s="16"/>
      <c r="F9" s="16"/>
      <c r="G9" s="16"/>
      <c r="H9" s="16"/>
      <c r="I9" s="17"/>
      <c r="J9" s="17"/>
      <c r="K9" s="17">
        <v>86500</v>
      </c>
      <c r="L9" s="17"/>
      <c r="M9" s="17">
        <v>14000</v>
      </c>
      <c r="N9" s="16"/>
      <c r="O9" s="16"/>
    </row>
    <row r="10" spans="1:1019">
      <c r="A10" s="13">
        <v>45353</v>
      </c>
      <c r="B10" s="14" t="s">
        <v>17</v>
      </c>
      <c r="C10" s="14" t="s">
        <v>18</v>
      </c>
      <c r="D10" s="15" t="s">
        <v>25</v>
      </c>
      <c r="E10" s="16"/>
      <c r="F10" s="16"/>
      <c r="G10" s="16"/>
      <c r="H10" s="16"/>
      <c r="I10" s="17"/>
      <c r="J10" s="17"/>
      <c r="K10" s="17">
        <v>42500</v>
      </c>
      <c r="L10" s="17"/>
      <c r="M10" s="17">
        <v>7000</v>
      </c>
      <c r="N10" s="16"/>
      <c r="O10" s="16"/>
    </row>
    <row r="11" spans="1:1019">
      <c r="A11" s="13">
        <v>45354</v>
      </c>
      <c r="B11" s="14" t="s">
        <v>17</v>
      </c>
      <c r="C11" s="14" t="s">
        <v>18</v>
      </c>
      <c r="D11" s="15"/>
      <c r="E11" s="16"/>
      <c r="F11" s="16"/>
      <c r="G11" s="16"/>
      <c r="H11" s="16"/>
      <c r="I11" s="17"/>
      <c r="J11" s="17"/>
      <c r="K11" s="17"/>
      <c r="L11" s="17"/>
      <c r="M11" s="17"/>
      <c r="N11" s="16"/>
      <c r="O11" s="16"/>
    </row>
    <row r="12" spans="1:1019">
      <c r="A12" s="13">
        <v>45355</v>
      </c>
      <c r="B12" s="14" t="s">
        <v>17</v>
      </c>
      <c r="C12" s="14" t="s">
        <v>18</v>
      </c>
      <c r="D12" s="15" t="s">
        <v>26</v>
      </c>
      <c r="E12" s="16"/>
      <c r="F12" s="16"/>
      <c r="G12" s="16"/>
      <c r="H12" s="16"/>
      <c r="I12" s="17"/>
      <c r="J12" s="17"/>
      <c r="K12" s="17">
        <v>69000</v>
      </c>
      <c r="L12" s="17"/>
      <c r="M12" s="17">
        <v>4000</v>
      </c>
      <c r="N12" s="16"/>
      <c r="O12" s="16"/>
    </row>
    <row r="13" spans="1:1019">
      <c r="A13" s="13">
        <v>45356</v>
      </c>
      <c r="B13" s="14" t="s">
        <v>17</v>
      </c>
      <c r="C13" s="14" t="s">
        <v>18</v>
      </c>
      <c r="D13" s="15" t="s">
        <v>27</v>
      </c>
      <c r="E13" s="16"/>
      <c r="F13" s="16"/>
      <c r="G13" s="16"/>
      <c r="H13" s="16"/>
      <c r="I13" s="17"/>
      <c r="J13" s="17"/>
      <c r="K13" s="17">
        <v>85000</v>
      </c>
      <c r="L13" s="17"/>
      <c r="M13" s="17">
        <v>14000</v>
      </c>
      <c r="N13" s="16"/>
      <c r="O13" s="16"/>
    </row>
    <row r="14" spans="1:1019">
      <c r="A14" s="13">
        <v>45357</v>
      </c>
      <c r="B14" s="14" t="s">
        <v>17</v>
      </c>
      <c r="C14" s="14" t="s">
        <v>18</v>
      </c>
      <c r="D14" s="15" t="s">
        <v>28</v>
      </c>
      <c r="E14" s="16"/>
      <c r="F14" s="16"/>
      <c r="G14" s="16"/>
      <c r="H14" s="16"/>
      <c r="I14" s="17"/>
      <c r="J14" s="17"/>
      <c r="K14" s="17">
        <v>74500</v>
      </c>
      <c r="L14" s="17"/>
      <c r="M14" s="17">
        <v>14000</v>
      </c>
      <c r="N14" s="16"/>
      <c r="O14" s="16"/>
    </row>
    <row r="15" spans="1:1019">
      <c r="A15" s="13">
        <v>45358</v>
      </c>
      <c r="B15" s="14" t="s">
        <v>17</v>
      </c>
      <c r="C15" s="14" t="s">
        <v>18</v>
      </c>
      <c r="D15" s="15"/>
      <c r="E15" s="16"/>
      <c r="F15" s="16"/>
      <c r="G15" s="16"/>
      <c r="H15" s="16"/>
      <c r="I15" s="17"/>
      <c r="J15" s="17"/>
      <c r="K15" s="17"/>
      <c r="L15" s="17"/>
      <c r="M15" s="17"/>
      <c r="N15" s="16"/>
      <c r="O15" s="16"/>
    </row>
    <row r="16" spans="1:1019">
      <c r="A16" s="13">
        <v>45359</v>
      </c>
      <c r="B16" s="14" t="s">
        <v>17</v>
      </c>
      <c r="C16" s="14" t="s">
        <v>18</v>
      </c>
      <c r="D16" s="15" t="s">
        <v>29</v>
      </c>
      <c r="E16" s="16"/>
      <c r="F16" s="16"/>
      <c r="G16" s="16"/>
      <c r="H16" s="16"/>
      <c r="I16" s="17"/>
      <c r="J16" s="17"/>
      <c r="K16" s="17">
        <v>69000</v>
      </c>
      <c r="L16" s="17"/>
      <c r="M16" s="17">
        <v>14000</v>
      </c>
      <c r="N16" s="16"/>
      <c r="O16" s="16"/>
    </row>
    <row r="17" spans="1:15">
      <c r="A17" s="13">
        <v>45360</v>
      </c>
      <c r="B17" s="14" t="s">
        <v>17</v>
      </c>
      <c r="C17" s="14" t="s">
        <v>18</v>
      </c>
      <c r="D17" s="15" t="s">
        <v>30</v>
      </c>
      <c r="E17" s="16"/>
      <c r="F17" s="16"/>
      <c r="G17" s="16"/>
      <c r="H17" s="16"/>
      <c r="I17" s="17"/>
      <c r="J17" s="17"/>
      <c r="K17" s="17">
        <v>74500</v>
      </c>
      <c r="L17" s="17"/>
      <c r="M17" s="17">
        <v>7000</v>
      </c>
      <c r="N17" s="16"/>
      <c r="O17" s="16"/>
    </row>
    <row r="18" spans="1:15">
      <c r="A18" s="8">
        <v>45365</v>
      </c>
      <c r="B18" s="9"/>
      <c r="C18" s="9"/>
      <c r="D18" s="10"/>
      <c r="E18" s="16"/>
      <c r="F18" s="16"/>
      <c r="G18" s="16"/>
      <c r="H18" s="16"/>
      <c r="I18" s="17">
        <v>1000000</v>
      </c>
      <c r="J18" s="17"/>
      <c r="K18" s="17"/>
      <c r="L18" s="17"/>
      <c r="M18" s="17"/>
      <c r="N18" s="16" t="s">
        <v>31</v>
      </c>
      <c r="O18" s="16"/>
    </row>
    <row r="19" spans="1:15">
      <c r="A19" s="13">
        <v>45361</v>
      </c>
      <c r="B19" s="14" t="s">
        <v>17</v>
      </c>
      <c r="C19" s="14" t="s">
        <v>18</v>
      </c>
      <c r="D19" s="15"/>
      <c r="E19" s="16"/>
      <c r="F19" s="16"/>
      <c r="G19" s="16"/>
      <c r="H19" s="16"/>
      <c r="I19" s="17"/>
      <c r="J19" s="17"/>
      <c r="K19" s="17"/>
      <c r="L19" s="17"/>
      <c r="M19" s="17"/>
      <c r="N19" s="16"/>
      <c r="O19" s="16"/>
    </row>
    <row r="20" spans="1:15">
      <c r="A20" s="13">
        <v>45362</v>
      </c>
      <c r="B20" s="14" t="s">
        <v>17</v>
      </c>
      <c r="C20" s="14" t="s">
        <v>18</v>
      </c>
      <c r="D20" s="15"/>
      <c r="E20" s="16"/>
      <c r="F20" s="16"/>
      <c r="G20" s="16"/>
      <c r="H20" s="16"/>
      <c r="I20" s="17"/>
      <c r="J20" s="17"/>
      <c r="K20" s="17"/>
      <c r="L20" s="17"/>
      <c r="M20" s="17"/>
      <c r="N20" s="16"/>
      <c r="O20" s="16"/>
    </row>
    <row r="21" spans="1:15">
      <c r="A21" s="13">
        <v>45363</v>
      </c>
      <c r="B21" s="14" t="s">
        <v>17</v>
      </c>
      <c r="C21" s="14" t="s">
        <v>18</v>
      </c>
      <c r="D21" s="15" t="s">
        <v>29</v>
      </c>
      <c r="E21" s="16"/>
      <c r="F21" s="16"/>
      <c r="G21" s="16"/>
      <c r="H21" s="16"/>
      <c r="I21" s="17"/>
      <c r="J21" s="17"/>
      <c r="K21" s="17">
        <v>85000</v>
      </c>
      <c r="L21" s="17"/>
      <c r="M21" s="17">
        <v>14000</v>
      </c>
      <c r="N21" s="16"/>
      <c r="O21" s="16"/>
    </row>
    <row r="22" spans="1:15">
      <c r="A22" s="13">
        <v>45364</v>
      </c>
      <c r="B22" s="14" t="s">
        <v>17</v>
      </c>
      <c r="C22" s="14" t="s">
        <v>18</v>
      </c>
      <c r="D22" s="15" t="s">
        <v>32</v>
      </c>
      <c r="E22" s="16"/>
      <c r="F22" s="16"/>
      <c r="G22" s="16"/>
      <c r="H22" s="16"/>
      <c r="I22" s="17"/>
      <c r="J22" s="17"/>
      <c r="K22" s="17">
        <v>69000</v>
      </c>
      <c r="L22" s="17"/>
      <c r="M22" s="17">
        <v>14000</v>
      </c>
      <c r="N22" s="16"/>
      <c r="O22" s="16"/>
    </row>
    <row r="23" spans="1:15">
      <c r="A23" s="13">
        <v>45365</v>
      </c>
      <c r="B23" s="14" t="s">
        <v>17</v>
      </c>
      <c r="C23" s="14" t="s">
        <v>18</v>
      </c>
      <c r="D23" s="15" t="s">
        <v>33</v>
      </c>
      <c r="E23" s="16"/>
      <c r="F23" s="16"/>
      <c r="G23" s="16"/>
      <c r="H23" s="16"/>
      <c r="I23" s="17"/>
      <c r="J23" s="17"/>
      <c r="K23" s="17">
        <v>85000</v>
      </c>
      <c r="L23" s="17"/>
      <c r="M23" s="17">
        <v>14000</v>
      </c>
      <c r="N23" s="16"/>
      <c r="O23" s="16"/>
    </row>
    <row r="24" spans="1:15">
      <c r="A24" s="13">
        <v>45366</v>
      </c>
      <c r="B24" s="14" t="s">
        <v>17</v>
      </c>
      <c r="C24" s="14" t="s">
        <v>18</v>
      </c>
      <c r="D24" s="15" t="s">
        <v>26</v>
      </c>
      <c r="E24" s="16"/>
      <c r="F24" s="16"/>
      <c r="G24" s="16"/>
      <c r="H24" s="16"/>
      <c r="I24" s="17"/>
      <c r="J24" s="17"/>
      <c r="K24" s="17">
        <v>86500</v>
      </c>
      <c r="L24" s="17"/>
      <c r="M24" s="17">
        <v>14000</v>
      </c>
      <c r="N24" s="16"/>
      <c r="O24" s="16"/>
    </row>
    <row r="25" spans="1:15">
      <c r="A25" s="13">
        <v>45367</v>
      </c>
      <c r="B25" s="14" t="s">
        <v>17</v>
      </c>
      <c r="C25" s="14" t="s">
        <v>18</v>
      </c>
      <c r="D25" s="15" t="s">
        <v>34</v>
      </c>
      <c r="E25" s="16"/>
      <c r="F25" s="16"/>
      <c r="G25" s="16"/>
      <c r="H25" s="16"/>
      <c r="I25" s="17"/>
      <c r="J25" s="17"/>
      <c r="K25" s="17">
        <v>42500</v>
      </c>
      <c r="L25" s="17"/>
      <c r="M25" s="17">
        <v>14000</v>
      </c>
      <c r="N25" s="16"/>
      <c r="O25" s="16"/>
    </row>
    <row r="26" spans="1:15">
      <c r="A26" s="13">
        <v>45368</v>
      </c>
      <c r="B26" s="14" t="s">
        <v>17</v>
      </c>
      <c r="C26" s="14" t="s">
        <v>18</v>
      </c>
      <c r="D26" s="15"/>
      <c r="E26" s="16"/>
      <c r="F26" s="16"/>
      <c r="G26" s="16"/>
      <c r="H26" s="16"/>
      <c r="I26" s="17"/>
      <c r="J26" s="17"/>
      <c r="K26" s="17"/>
      <c r="L26" s="17"/>
      <c r="M26" s="17"/>
      <c r="N26" s="16"/>
      <c r="O26" s="16"/>
    </row>
    <row r="27" spans="1:15">
      <c r="A27" s="13">
        <v>45369</v>
      </c>
      <c r="B27" s="14" t="s">
        <v>17</v>
      </c>
      <c r="C27" s="14" t="s">
        <v>18</v>
      </c>
      <c r="D27" s="15" t="s">
        <v>29</v>
      </c>
      <c r="E27" s="16"/>
      <c r="F27" s="16"/>
      <c r="G27" s="16"/>
      <c r="H27" s="16"/>
      <c r="I27" s="17"/>
      <c r="J27" s="17"/>
      <c r="K27" s="17">
        <v>69000</v>
      </c>
      <c r="L27" s="17"/>
      <c r="M27" s="17">
        <v>7000</v>
      </c>
      <c r="N27" s="16"/>
      <c r="O27" s="16"/>
    </row>
    <row r="28" spans="1:15">
      <c r="A28" s="13">
        <v>45370</v>
      </c>
      <c r="B28" s="14" t="s">
        <v>17</v>
      </c>
      <c r="C28" s="14" t="s">
        <v>18</v>
      </c>
      <c r="D28" s="15" t="s">
        <v>20</v>
      </c>
      <c r="E28" s="16"/>
      <c r="F28" s="16"/>
      <c r="G28" s="16"/>
      <c r="H28" s="16"/>
      <c r="I28" s="17"/>
      <c r="J28" s="17"/>
      <c r="K28" s="17">
        <v>42500</v>
      </c>
      <c r="L28" s="17"/>
      <c r="M28" s="17">
        <v>14000</v>
      </c>
      <c r="N28" s="16"/>
      <c r="O28" s="16"/>
    </row>
    <row r="29" spans="1:15">
      <c r="A29" s="13">
        <v>45371</v>
      </c>
      <c r="B29" s="14" t="s">
        <v>17</v>
      </c>
      <c r="C29" s="14" t="s">
        <v>18</v>
      </c>
      <c r="D29" s="15" t="s">
        <v>29</v>
      </c>
      <c r="E29" s="16"/>
      <c r="F29" s="16"/>
      <c r="G29" s="16"/>
      <c r="H29" s="16"/>
      <c r="I29" s="17"/>
      <c r="J29" s="17"/>
      <c r="K29" s="17">
        <v>85000</v>
      </c>
      <c r="L29" s="17"/>
      <c r="M29" s="17">
        <v>14000</v>
      </c>
      <c r="N29" s="16"/>
      <c r="O29" s="16"/>
    </row>
    <row r="30" spans="1:15">
      <c r="A30" s="13">
        <v>45372</v>
      </c>
      <c r="B30" s="14" t="s">
        <v>17</v>
      </c>
      <c r="C30" s="14" t="s">
        <v>18</v>
      </c>
      <c r="D30" s="15" t="s">
        <v>32</v>
      </c>
      <c r="E30" s="16"/>
      <c r="F30" s="16"/>
      <c r="G30" s="16"/>
      <c r="H30" s="16"/>
      <c r="I30" s="17"/>
      <c r="J30" s="17"/>
      <c r="K30" s="17">
        <v>82000</v>
      </c>
      <c r="L30" s="17"/>
      <c r="M30" s="17">
        <v>14000</v>
      </c>
      <c r="N30" s="16"/>
      <c r="O30" s="16"/>
    </row>
    <row r="31" spans="1:15">
      <c r="A31" s="13">
        <v>45373</v>
      </c>
      <c r="B31" s="14" t="s">
        <v>17</v>
      </c>
      <c r="C31" s="14" t="s">
        <v>18</v>
      </c>
      <c r="D31" s="15" t="s">
        <v>32</v>
      </c>
      <c r="E31" s="16"/>
      <c r="F31" s="16"/>
      <c r="G31" s="16"/>
      <c r="H31" s="16"/>
      <c r="I31" s="17"/>
      <c r="J31" s="17"/>
      <c r="K31" s="17">
        <v>69000</v>
      </c>
      <c r="L31" s="17"/>
      <c r="M31" s="17">
        <v>14000</v>
      </c>
      <c r="N31" s="16"/>
      <c r="O31" s="16"/>
    </row>
    <row r="32" spans="1:15">
      <c r="A32" s="13">
        <v>45374</v>
      </c>
      <c r="B32" s="14" t="s">
        <v>17</v>
      </c>
      <c r="C32" s="14" t="s">
        <v>18</v>
      </c>
      <c r="D32" s="15" t="s">
        <v>35</v>
      </c>
      <c r="E32" s="16"/>
      <c r="F32" s="16"/>
      <c r="G32" s="16"/>
      <c r="H32" s="16"/>
      <c r="I32" s="17"/>
      <c r="J32" s="17"/>
      <c r="K32" s="17">
        <v>42500</v>
      </c>
      <c r="L32" s="17"/>
      <c r="M32" s="17">
        <v>7000</v>
      </c>
      <c r="N32" s="16"/>
      <c r="O32" s="16"/>
    </row>
    <row r="33" spans="1:15">
      <c r="A33" s="13">
        <v>45375</v>
      </c>
      <c r="B33" s="14" t="s">
        <v>17</v>
      </c>
      <c r="C33" s="14" t="s">
        <v>18</v>
      </c>
      <c r="D33" s="15"/>
      <c r="E33" s="16"/>
      <c r="F33" s="16"/>
      <c r="G33" s="16"/>
      <c r="H33" s="16"/>
      <c r="I33" s="17"/>
      <c r="J33" s="17"/>
      <c r="K33" s="17"/>
      <c r="L33" s="17"/>
      <c r="M33" s="17"/>
      <c r="N33" s="16"/>
      <c r="O33" s="16"/>
    </row>
    <row r="34" spans="1:15">
      <c r="A34" s="8">
        <v>45376</v>
      </c>
      <c r="B34" s="9"/>
      <c r="C34" s="9"/>
      <c r="D34" s="10"/>
      <c r="E34" s="16"/>
      <c r="F34" s="16"/>
      <c r="G34" s="16"/>
      <c r="H34" s="16"/>
      <c r="I34" s="17">
        <v>1000000</v>
      </c>
      <c r="J34" s="17"/>
      <c r="K34" s="17"/>
      <c r="L34" s="17"/>
      <c r="M34" s="17"/>
      <c r="N34" s="16" t="s">
        <v>36</v>
      </c>
      <c r="O34" s="16" t="s">
        <v>37</v>
      </c>
    </row>
    <row r="35" spans="1:15">
      <c r="A35" s="18">
        <v>45376</v>
      </c>
      <c r="B35" s="14" t="s">
        <v>17</v>
      </c>
      <c r="C35" s="19" t="s">
        <v>18</v>
      </c>
      <c r="D35" s="15" t="s">
        <v>29</v>
      </c>
      <c r="E35" s="16"/>
      <c r="F35" s="16"/>
      <c r="G35" s="16"/>
      <c r="H35" s="16"/>
      <c r="I35" s="17"/>
      <c r="J35" s="17"/>
      <c r="K35" s="17">
        <v>85000</v>
      </c>
      <c r="L35" s="17"/>
      <c r="M35" s="17">
        <v>14000</v>
      </c>
      <c r="N35" s="16"/>
      <c r="O35" s="16"/>
    </row>
    <row r="36" spans="1:15">
      <c r="A36" s="13">
        <v>45377</v>
      </c>
      <c r="B36" s="14" t="s">
        <v>17</v>
      </c>
      <c r="C36" s="14" t="s">
        <v>18</v>
      </c>
      <c r="D36" s="15" t="s">
        <v>38</v>
      </c>
      <c r="E36" s="16"/>
      <c r="F36" s="16"/>
      <c r="G36" s="16"/>
      <c r="H36" s="16"/>
      <c r="I36" s="17"/>
      <c r="J36" s="17"/>
      <c r="K36" s="17">
        <v>69000</v>
      </c>
      <c r="L36" s="17"/>
      <c r="M36" s="17">
        <v>14000</v>
      </c>
      <c r="N36" s="16"/>
      <c r="O36" s="16"/>
    </row>
    <row r="37" spans="1:15">
      <c r="A37" s="13">
        <v>45378</v>
      </c>
      <c r="B37" s="14" t="s">
        <v>17</v>
      </c>
      <c r="C37" s="14" t="s">
        <v>18</v>
      </c>
      <c r="D37" s="15" t="s">
        <v>39</v>
      </c>
      <c r="E37" s="16"/>
      <c r="F37" s="16"/>
      <c r="G37" s="16"/>
      <c r="H37" s="16"/>
      <c r="I37" s="17"/>
      <c r="J37" s="17"/>
      <c r="K37" s="17">
        <v>42500</v>
      </c>
      <c r="L37" s="17">
        <v>115000</v>
      </c>
      <c r="M37" s="17">
        <v>14000</v>
      </c>
      <c r="N37" s="16"/>
      <c r="O37" s="16"/>
    </row>
    <row r="38" spans="1:15">
      <c r="A38" s="13">
        <v>45379</v>
      </c>
      <c r="B38" s="14" t="s">
        <v>17</v>
      </c>
      <c r="C38" s="14" t="s">
        <v>18</v>
      </c>
      <c r="D38" s="15" t="s">
        <v>40</v>
      </c>
      <c r="E38" s="16"/>
      <c r="F38" s="16"/>
      <c r="G38" s="16"/>
      <c r="H38" s="16"/>
      <c r="I38" s="17"/>
      <c r="J38" s="17"/>
      <c r="K38" s="17">
        <v>85000</v>
      </c>
      <c r="L38" s="17"/>
      <c r="M38" s="17">
        <v>14000</v>
      </c>
      <c r="N38" s="16"/>
      <c r="O38" s="16"/>
    </row>
    <row r="39" spans="1:15">
      <c r="A39" s="13">
        <v>45380</v>
      </c>
      <c r="B39" s="14" t="s">
        <v>17</v>
      </c>
      <c r="C39" s="14" t="s">
        <v>18</v>
      </c>
      <c r="D39" s="15"/>
      <c r="E39" s="16"/>
      <c r="F39" s="16"/>
      <c r="G39" s="16"/>
      <c r="H39" s="16"/>
      <c r="I39" s="17"/>
      <c r="J39" s="17"/>
      <c r="K39" s="17"/>
      <c r="L39" s="17"/>
      <c r="M39" s="17"/>
      <c r="N39" s="16"/>
      <c r="O39" s="16"/>
    </row>
    <row r="40" spans="1:15">
      <c r="A40" s="13">
        <v>45381</v>
      </c>
      <c r="B40" s="14" t="s">
        <v>17</v>
      </c>
      <c r="C40" s="14" t="s">
        <v>18</v>
      </c>
      <c r="D40" s="15" t="s">
        <v>35</v>
      </c>
      <c r="E40" s="16"/>
      <c r="F40" s="16"/>
      <c r="G40" s="16"/>
      <c r="H40" s="16"/>
      <c r="I40" s="17"/>
      <c r="J40" s="17"/>
      <c r="K40" s="17">
        <v>53000</v>
      </c>
      <c r="L40" s="17"/>
      <c r="M40" s="17">
        <v>7000</v>
      </c>
      <c r="N40" s="16"/>
      <c r="O40" s="16"/>
    </row>
    <row r="41" spans="1:15">
      <c r="A41" s="8">
        <v>45382</v>
      </c>
      <c r="B41" s="9"/>
      <c r="C41" s="9"/>
      <c r="D41" s="10"/>
      <c r="E41" s="16"/>
      <c r="F41" s="16"/>
      <c r="G41" s="16"/>
      <c r="H41" s="16"/>
      <c r="I41" s="17">
        <v>1000000</v>
      </c>
      <c r="J41" s="17"/>
      <c r="K41" s="17"/>
      <c r="L41" s="17"/>
      <c r="M41" s="17"/>
      <c r="N41" s="16" t="s">
        <v>41</v>
      </c>
      <c r="O41" s="16" t="s">
        <v>42</v>
      </c>
    </row>
    <row r="42" spans="1:15">
      <c r="A42" s="13">
        <v>45383</v>
      </c>
      <c r="B42" s="14" t="s">
        <v>17</v>
      </c>
      <c r="C42" s="14" t="s">
        <v>18</v>
      </c>
      <c r="D42" s="15"/>
      <c r="E42" s="16"/>
      <c r="F42" s="16"/>
      <c r="G42" s="16"/>
      <c r="H42" s="16"/>
      <c r="I42" s="17"/>
      <c r="J42" s="17"/>
      <c r="K42" s="17">
        <v>69000</v>
      </c>
      <c r="L42" s="17"/>
      <c r="M42" s="17">
        <v>14000</v>
      </c>
      <c r="N42" s="16"/>
      <c r="O42" s="16"/>
    </row>
    <row r="43" spans="1:15">
      <c r="A43" s="13">
        <v>45384</v>
      </c>
      <c r="B43" s="14" t="s">
        <v>17</v>
      </c>
      <c r="C43" s="14" t="s">
        <v>18</v>
      </c>
      <c r="D43" s="15"/>
      <c r="E43" s="16"/>
      <c r="F43" s="16"/>
      <c r="G43" s="16"/>
      <c r="H43" s="16"/>
      <c r="I43" s="17"/>
      <c r="J43" s="17"/>
      <c r="K43" s="17">
        <v>85000</v>
      </c>
      <c r="L43" s="17"/>
      <c r="M43" s="17">
        <v>14000</v>
      </c>
      <c r="N43" s="16"/>
      <c r="O43" s="16"/>
    </row>
    <row r="44" spans="1:15">
      <c r="A44" s="13">
        <v>45385</v>
      </c>
      <c r="B44" s="14" t="s">
        <v>17</v>
      </c>
      <c r="C44" s="14" t="s">
        <v>18</v>
      </c>
      <c r="D44" s="15"/>
      <c r="E44" s="16"/>
      <c r="F44" s="16"/>
      <c r="G44" s="16"/>
      <c r="H44" s="16"/>
      <c r="I44" s="17"/>
      <c r="J44" s="17"/>
      <c r="K44" s="17">
        <v>42500</v>
      </c>
      <c r="L44" s="17"/>
      <c r="M44" s="17">
        <v>14000</v>
      </c>
      <c r="N44" s="16"/>
      <c r="O44" s="16"/>
    </row>
    <row r="45" spans="1:15">
      <c r="A45" s="13">
        <v>45386</v>
      </c>
      <c r="B45" s="14" t="s">
        <v>17</v>
      </c>
      <c r="C45" s="14" t="s">
        <v>18</v>
      </c>
      <c r="D45" s="15"/>
      <c r="E45" s="16"/>
      <c r="F45" s="16"/>
      <c r="G45" s="16"/>
      <c r="H45" s="16"/>
      <c r="I45" s="17"/>
      <c r="J45" s="17"/>
      <c r="K45" s="17">
        <v>85000</v>
      </c>
      <c r="L45" s="17"/>
      <c r="M45" s="17">
        <v>14000</v>
      </c>
      <c r="N45" s="16"/>
      <c r="O45" s="16"/>
    </row>
    <row r="46" spans="1:15">
      <c r="A46" s="13">
        <v>45387</v>
      </c>
      <c r="B46" s="14" t="s">
        <v>17</v>
      </c>
      <c r="C46" s="14" t="s">
        <v>18</v>
      </c>
      <c r="D46" s="15"/>
      <c r="E46" s="16"/>
      <c r="F46" s="16"/>
      <c r="G46" s="16"/>
      <c r="H46" s="16"/>
      <c r="I46" s="17"/>
      <c r="J46" s="17"/>
      <c r="K46" s="17">
        <v>69000</v>
      </c>
      <c r="L46" s="17"/>
      <c r="M46" s="17">
        <v>14000</v>
      </c>
      <c r="N46" s="16"/>
      <c r="O46" s="16"/>
    </row>
    <row r="47" spans="1:15">
      <c r="A47" s="8">
        <v>45399</v>
      </c>
      <c r="B47" s="9"/>
      <c r="C47" s="9"/>
      <c r="D47" s="10"/>
      <c r="E47" s="16"/>
      <c r="F47" s="16"/>
      <c r="G47" s="16"/>
      <c r="H47" s="16"/>
      <c r="I47" s="17">
        <v>1000000</v>
      </c>
      <c r="J47" s="17"/>
      <c r="K47" s="17"/>
      <c r="L47" s="17"/>
      <c r="M47" s="17"/>
      <c r="N47" s="16" t="s">
        <v>43</v>
      </c>
      <c r="O47" s="16" t="s">
        <v>44</v>
      </c>
    </row>
    <row r="48" spans="1:15">
      <c r="A48" s="13">
        <v>45388</v>
      </c>
      <c r="B48" s="14" t="s">
        <v>17</v>
      </c>
      <c r="C48" s="14" t="s">
        <v>18</v>
      </c>
      <c r="D48" s="15" t="s">
        <v>40</v>
      </c>
      <c r="E48" s="16"/>
      <c r="F48" s="16"/>
      <c r="G48" s="16"/>
      <c r="H48" s="16"/>
      <c r="I48" s="17"/>
      <c r="J48" s="17"/>
      <c r="K48" s="17">
        <v>85000</v>
      </c>
      <c r="L48" s="17"/>
      <c r="M48" s="17">
        <v>7000</v>
      </c>
      <c r="N48" s="16"/>
      <c r="O48" s="16"/>
    </row>
    <row r="49" spans="1:15">
      <c r="A49" s="13">
        <v>45389</v>
      </c>
      <c r="B49" s="14" t="s">
        <v>17</v>
      </c>
      <c r="C49" s="14" t="s">
        <v>18</v>
      </c>
      <c r="D49" s="15"/>
      <c r="E49" s="16"/>
      <c r="F49" s="16"/>
      <c r="G49" s="16"/>
      <c r="H49" s="16"/>
      <c r="I49" s="17"/>
      <c r="J49" s="17"/>
      <c r="K49" s="17"/>
      <c r="L49" s="17"/>
      <c r="M49" s="17"/>
      <c r="N49" s="16"/>
      <c r="O49" s="16"/>
    </row>
    <row r="50" spans="1:15">
      <c r="A50" s="13">
        <v>45390</v>
      </c>
      <c r="B50" s="14" t="s">
        <v>17</v>
      </c>
      <c r="C50" s="14" t="s">
        <v>18</v>
      </c>
      <c r="D50" s="15" t="s">
        <v>45</v>
      </c>
      <c r="E50" s="16"/>
      <c r="F50" s="16"/>
      <c r="G50" s="16"/>
      <c r="H50" s="16"/>
      <c r="I50" s="17"/>
      <c r="J50" s="17"/>
      <c r="K50" s="17">
        <v>26500</v>
      </c>
      <c r="L50" s="17"/>
      <c r="M50" s="17">
        <v>14000</v>
      </c>
      <c r="N50" s="16"/>
      <c r="O50" s="16"/>
    </row>
    <row r="51" spans="1:15">
      <c r="A51" s="13">
        <v>45391</v>
      </c>
      <c r="B51" s="14" t="s">
        <v>17</v>
      </c>
      <c r="C51" s="14" t="s">
        <v>18</v>
      </c>
      <c r="D51" s="15"/>
      <c r="E51" s="16"/>
      <c r="F51" s="16"/>
      <c r="G51" s="16"/>
      <c r="H51" s="16"/>
      <c r="I51" s="17"/>
      <c r="J51" s="17"/>
      <c r="K51" s="17"/>
      <c r="L51" s="17"/>
      <c r="M51" s="17"/>
      <c r="N51" s="16"/>
      <c r="O51" s="16"/>
    </row>
    <row r="52" spans="1:15">
      <c r="A52" s="13">
        <v>45392</v>
      </c>
      <c r="B52" s="14" t="s">
        <v>17</v>
      </c>
      <c r="C52" s="14" t="s">
        <v>18</v>
      </c>
      <c r="D52" s="15"/>
      <c r="E52" s="16"/>
      <c r="F52" s="16"/>
      <c r="G52" s="16"/>
      <c r="H52" s="16"/>
      <c r="I52" s="17"/>
      <c r="J52" s="17"/>
      <c r="K52" s="17"/>
      <c r="L52" s="17"/>
      <c r="M52" s="17"/>
      <c r="N52" s="16"/>
      <c r="O52" s="16"/>
    </row>
    <row r="53" spans="1:15">
      <c r="A53" s="13">
        <v>45393</v>
      </c>
      <c r="B53" s="14" t="s">
        <v>17</v>
      </c>
      <c r="C53" s="14" t="s">
        <v>18</v>
      </c>
      <c r="D53" s="15"/>
      <c r="E53" s="16"/>
      <c r="F53" s="16"/>
      <c r="G53" s="16"/>
      <c r="H53" s="16"/>
      <c r="I53" s="17"/>
      <c r="J53" s="17"/>
      <c r="K53" s="17"/>
      <c r="L53" s="17"/>
      <c r="M53" s="17"/>
      <c r="N53" s="16"/>
      <c r="O53" s="16"/>
    </row>
    <row r="54" spans="1:15">
      <c r="A54" s="13">
        <v>45394</v>
      </c>
      <c r="B54" s="14" t="s">
        <v>17</v>
      </c>
      <c r="C54" s="14" t="s">
        <v>18</v>
      </c>
      <c r="D54" s="15"/>
      <c r="E54" s="16"/>
      <c r="F54" s="16"/>
      <c r="G54" s="16"/>
      <c r="H54" s="16"/>
      <c r="I54" s="17"/>
      <c r="J54" s="17"/>
      <c r="K54" s="17"/>
      <c r="L54" s="17"/>
      <c r="M54" s="17"/>
      <c r="N54" s="16"/>
      <c r="O54" s="16"/>
    </row>
    <row r="55" spans="1:15">
      <c r="A55" s="13">
        <v>45395</v>
      </c>
      <c r="B55" s="14" t="s">
        <v>17</v>
      </c>
      <c r="C55" s="14" t="s">
        <v>18</v>
      </c>
      <c r="D55" s="15"/>
      <c r="E55" s="16"/>
      <c r="F55" s="16"/>
      <c r="G55" s="16"/>
      <c r="H55" s="16"/>
      <c r="I55" s="17"/>
      <c r="J55" s="17"/>
      <c r="K55" s="17"/>
      <c r="L55" s="17"/>
      <c r="M55" s="17"/>
      <c r="N55" s="16"/>
      <c r="O55" s="16"/>
    </row>
    <row r="56" spans="1:15">
      <c r="A56" s="13">
        <v>45396</v>
      </c>
      <c r="B56" s="14" t="s">
        <v>17</v>
      </c>
      <c r="C56" s="14" t="s">
        <v>18</v>
      </c>
      <c r="D56" s="15"/>
      <c r="E56" s="16"/>
      <c r="F56" s="16"/>
      <c r="G56" s="16"/>
      <c r="H56" s="16"/>
      <c r="I56" s="17"/>
      <c r="J56" s="17"/>
      <c r="K56" s="17"/>
      <c r="L56" s="17"/>
      <c r="M56" s="17"/>
      <c r="N56" s="16"/>
      <c r="O56" s="16"/>
    </row>
    <row r="57" spans="1:15">
      <c r="A57" s="13">
        <v>45397</v>
      </c>
      <c r="B57" s="14" t="s">
        <v>17</v>
      </c>
      <c r="C57" s="14" t="s">
        <v>18</v>
      </c>
      <c r="D57" s="15" t="s">
        <v>46</v>
      </c>
      <c r="E57" s="16"/>
      <c r="F57" s="16"/>
      <c r="G57" s="16"/>
      <c r="H57" s="16"/>
      <c r="I57" s="17"/>
      <c r="J57" s="17"/>
      <c r="K57" s="17">
        <v>85000</v>
      </c>
      <c r="L57" s="17"/>
      <c r="M57" s="17">
        <v>14000</v>
      </c>
      <c r="N57" s="16"/>
      <c r="O57" s="16"/>
    </row>
    <row r="58" spans="1:15">
      <c r="A58" s="13">
        <v>45398</v>
      </c>
      <c r="B58" s="14" t="s">
        <v>17</v>
      </c>
      <c r="C58" s="14" t="s">
        <v>18</v>
      </c>
      <c r="D58" s="15" t="s">
        <v>25</v>
      </c>
      <c r="E58" s="16"/>
      <c r="F58" s="16"/>
      <c r="G58" s="16"/>
      <c r="H58" s="16"/>
      <c r="I58" s="17"/>
      <c r="J58" s="17"/>
      <c r="K58" s="17">
        <v>26500</v>
      </c>
      <c r="L58" s="17"/>
      <c r="M58" s="17">
        <v>7000</v>
      </c>
      <c r="N58" s="16"/>
      <c r="O58" s="16"/>
    </row>
    <row r="59" spans="1:15">
      <c r="A59" s="13">
        <v>45399</v>
      </c>
      <c r="B59" s="14" t="s">
        <v>17</v>
      </c>
      <c r="C59" s="14" t="s">
        <v>18</v>
      </c>
      <c r="D59" s="15" t="s">
        <v>47</v>
      </c>
      <c r="E59" s="16"/>
      <c r="F59" s="16"/>
      <c r="G59" s="16"/>
      <c r="H59" s="16"/>
      <c r="I59" s="17"/>
      <c r="J59" s="17"/>
      <c r="K59" s="17">
        <v>53000</v>
      </c>
      <c r="L59" s="17"/>
      <c r="M59" s="17">
        <v>14000</v>
      </c>
      <c r="N59" s="16"/>
      <c r="O59" s="16"/>
    </row>
    <row r="60" spans="1:15">
      <c r="A60" s="18">
        <v>45400</v>
      </c>
      <c r="B60" s="19" t="s">
        <v>17</v>
      </c>
      <c r="C60" s="19" t="s">
        <v>18</v>
      </c>
      <c r="D60" s="20" t="s">
        <v>48</v>
      </c>
      <c r="E60" s="16"/>
      <c r="F60" s="16"/>
      <c r="G60" s="16"/>
      <c r="H60" s="16"/>
      <c r="I60" s="17"/>
      <c r="J60" s="17"/>
      <c r="K60" s="17">
        <v>42500</v>
      </c>
      <c r="L60" s="17"/>
      <c r="M60" s="17">
        <v>7000</v>
      </c>
      <c r="N60" s="16"/>
      <c r="O60" s="16"/>
    </row>
    <row r="61" spans="1:15">
      <c r="A61" s="13">
        <v>45401</v>
      </c>
      <c r="B61" s="14" t="s">
        <v>17</v>
      </c>
      <c r="C61" s="14" t="s">
        <v>18</v>
      </c>
      <c r="D61" s="15" t="s">
        <v>49</v>
      </c>
      <c r="E61" s="16"/>
      <c r="F61" s="16"/>
      <c r="G61" s="16"/>
      <c r="H61" s="16"/>
      <c r="I61" s="17"/>
      <c r="J61" s="17"/>
      <c r="K61" s="17">
        <v>85000</v>
      </c>
      <c r="L61" s="17"/>
      <c r="M61" s="17">
        <v>11000</v>
      </c>
      <c r="N61" s="16"/>
      <c r="O61" s="16"/>
    </row>
    <row r="62" spans="1:15">
      <c r="A62" s="13">
        <v>45402</v>
      </c>
      <c r="B62" s="14" t="s">
        <v>17</v>
      </c>
      <c r="C62" s="14" t="s">
        <v>18</v>
      </c>
      <c r="D62" s="15" t="s">
        <v>29</v>
      </c>
      <c r="E62" s="16"/>
      <c r="F62" s="16"/>
      <c r="G62" s="16"/>
      <c r="H62" s="16"/>
      <c r="I62" s="17"/>
      <c r="J62" s="17"/>
      <c r="K62" s="17">
        <v>85000</v>
      </c>
      <c r="L62" s="17"/>
      <c r="M62" s="17">
        <v>11000</v>
      </c>
      <c r="N62" s="16"/>
      <c r="O62" s="16"/>
    </row>
    <row r="63" spans="1:15">
      <c r="A63" s="8">
        <v>45407</v>
      </c>
      <c r="B63" s="9"/>
      <c r="C63" s="9"/>
      <c r="D63" s="10"/>
      <c r="E63" s="16"/>
      <c r="F63" s="16"/>
      <c r="G63" s="16"/>
      <c r="H63" s="16"/>
      <c r="I63" s="17">
        <v>1000000</v>
      </c>
      <c r="J63" s="17"/>
      <c r="K63" s="17"/>
      <c r="L63" s="17"/>
      <c r="M63" s="17"/>
      <c r="N63" s="16" t="s">
        <v>50</v>
      </c>
      <c r="O63" s="16" t="s">
        <v>51</v>
      </c>
    </row>
    <row r="64" spans="1:15">
      <c r="A64" s="13">
        <v>45404</v>
      </c>
      <c r="B64" s="14" t="s">
        <v>17</v>
      </c>
      <c r="C64" s="14" t="s">
        <v>18</v>
      </c>
      <c r="D64" s="15" t="s">
        <v>29</v>
      </c>
      <c r="E64" s="16"/>
      <c r="F64" s="16"/>
      <c r="G64" s="16"/>
      <c r="H64" s="16"/>
      <c r="I64" s="17"/>
      <c r="J64" s="17"/>
      <c r="K64" s="17">
        <v>69000</v>
      </c>
      <c r="L64" s="17">
        <v>70000</v>
      </c>
      <c r="M64" s="17">
        <v>14000</v>
      </c>
      <c r="N64" s="16"/>
      <c r="O64" s="16"/>
    </row>
    <row r="65" spans="1:15">
      <c r="A65" s="13">
        <v>45405</v>
      </c>
      <c r="B65" s="14" t="s">
        <v>17</v>
      </c>
      <c r="C65" s="14" t="s">
        <v>18</v>
      </c>
      <c r="D65" s="15" t="s">
        <v>32</v>
      </c>
      <c r="E65" s="16"/>
      <c r="F65" s="16"/>
      <c r="G65" s="16"/>
      <c r="H65" s="16"/>
      <c r="I65" s="17"/>
      <c r="J65" s="17"/>
      <c r="K65" s="17">
        <v>95500</v>
      </c>
      <c r="L65" s="17"/>
      <c r="M65" s="17">
        <v>14000</v>
      </c>
      <c r="N65" s="16"/>
      <c r="O65" s="16"/>
    </row>
    <row r="66" spans="1:15">
      <c r="A66" s="13">
        <v>45406</v>
      </c>
      <c r="B66" s="14" t="s">
        <v>17</v>
      </c>
      <c r="C66" s="14" t="s">
        <v>18</v>
      </c>
      <c r="D66" s="15" t="s">
        <v>52</v>
      </c>
      <c r="E66" s="16"/>
      <c r="F66" s="16"/>
      <c r="G66" s="16"/>
      <c r="H66" s="16"/>
      <c r="I66" s="17"/>
      <c r="J66" s="17"/>
      <c r="K66" s="17">
        <v>39500</v>
      </c>
      <c r="L66" s="17"/>
      <c r="M66" s="17">
        <v>14000</v>
      </c>
      <c r="N66" s="16"/>
      <c r="O66" s="16"/>
    </row>
    <row r="67" spans="1:15">
      <c r="A67" s="13">
        <v>45407</v>
      </c>
      <c r="B67" s="14" t="s">
        <v>17</v>
      </c>
      <c r="C67" s="14" t="s">
        <v>18</v>
      </c>
      <c r="D67" s="15" t="s">
        <v>53</v>
      </c>
      <c r="E67" s="16"/>
      <c r="F67" s="16"/>
      <c r="G67" s="16"/>
      <c r="H67" s="16"/>
      <c r="I67" s="17"/>
      <c r="J67" s="17"/>
      <c r="K67" s="17">
        <v>85000</v>
      </c>
      <c r="L67" s="17"/>
      <c r="M67" s="17">
        <v>7000</v>
      </c>
      <c r="N67" s="16"/>
      <c r="O67" s="16"/>
    </row>
    <row r="68" spans="1:15">
      <c r="A68" s="13">
        <v>45408</v>
      </c>
      <c r="B68" s="14" t="s">
        <v>17</v>
      </c>
      <c r="C68" s="14" t="s">
        <v>18</v>
      </c>
      <c r="D68" s="15" t="s">
        <v>29</v>
      </c>
      <c r="E68" s="16"/>
      <c r="F68" s="16"/>
      <c r="G68" s="16"/>
      <c r="H68" s="16"/>
      <c r="I68" s="17"/>
      <c r="J68" s="17"/>
      <c r="K68" s="17">
        <v>69000</v>
      </c>
      <c r="L68" s="17"/>
      <c r="M68" s="17">
        <v>11000</v>
      </c>
      <c r="N68" s="16"/>
      <c r="O68" s="16"/>
    </row>
    <row r="69" spans="1:15">
      <c r="A69" s="13">
        <v>45409</v>
      </c>
      <c r="B69" s="14" t="s">
        <v>17</v>
      </c>
      <c r="C69" s="14" t="s">
        <v>18</v>
      </c>
      <c r="D69" s="15" t="s">
        <v>40</v>
      </c>
      <c r="E69" s="16"/>
      <c r="F69" s="16"/>
      <c r="G69" s="16"/>
      <c r="H69" s="16"/>
      <c r="I69" s="17"/>
      <c r="J69" s="17"/>
      <c r="K69" s="17">
        <v>85000</v>
      </c>
      <c r="L69" s="17"/>
      <c r="M69" s="17">
        <v>14000</v>
      </c>
      <c r="N69" s="16"/>
      <c r="O69" s="16"/>
    </row>
    <row r="70" spans="1:15">
      <c r="A70" s="13">
        <v>45410</v>
      </c>
      <c r="B70" s="14" t="s">
        <v>17</v>
      </c>
      <c r="C70" s="14" t="s">
        <v>18</v>
      </c>
      <c r="D70" s="15"/>
      <c r="E70" s="16"/>
      <c r="F70" s="16"/>
      <c r="G70" s="16"/>
      <c r="H70" s="16"/>
      <c r="I70" s="17"/>
      <c r="J70" s="17"/>
      <c r="K70" s="17"/>
      <c r="L70" s="17"/>
      <c r="M70" s="17"/>
      <c r="N70" s="16"/>
      <c r="O70" s="16"/>
    </row>
    <row r="71" spans="1:15">
      <c r="A71" s="13">
        <v>45411</v>
      </c>
      <c r="B71" s="14" t="s">
        <v>17</v>
      </c>
      <c r="C71" s="14" t="s">
        <v>18</v>
      </c>
      <c r="D71" s="15" t="s">
        <v>32</v>
      </c>
      <c r="E71" s="16"/>
      <c r="F71" s="16"/>
      <c r="G71" s="16"/>
      <c r="H71" s="16"/>
      <c r="I71" s="17"/>
      <c r="J71" s="17"/>
      <c r="K71" s="17">
        <v>85000</v>
      </c>
      <c r="L71" s="17"/>
      <c r="M71" s="17">
        <v>14000</v>
      </c>
      <c r="N71" s="16"/>
      <c r="O71" s="16"/>
    </row>
    <row r="72" spans="1:15">
      <c r="A72" s="8" t="s">
        <v>54</v>
      </c>
      <c r="B72" s="9"/>
      <c r="C72" s="9"/>
      <c r="D72" s="10"/>
      <c r="E72" s="16"/>
      <c r="F72" s="16"/>
      <c r="G72" s="16"/>
      <c r="H72" s="16"/>
      <c r="I72" s="17">
        <v>1000000</v>
      </c>
      <c r="J72" s="17"/>
      <c r="K72" s="17"/>
      <c r="L72" s="17"/>
      <c r="M72" s="17"/>
      <c r="N72" s="16" t="s">
        <v>55</v>
      </c>
      <c r="O72" s="16" t="s">
        <v>56</v>
      </c>
    </row>
    <row r="73" spans="1:15">
      <c r="A73" s="13">
        <v>45412</v>
      </c>
      <c r="B73" s="14" t="s">
        <v>17</v>
      </c>
      <c r="C73" s="14" t="s">
        <v>18</v>
      </c>
      <c r="D73" s="15" t="s">
        <v>29</v>
      </c>
      <c r="E73" s="16"/>
      <c r="F73" s="16"/>
      <c r="G73" s="16"/>
      <c r="H73" s="16"/>
      <c r="I73" s="17"/>
      <c r="J73" s="17"/>
      <c r="K73" s="17">
        <v>69000</v>
      </c>
      <c r="L73" s="17"/>
      <c r="M73" s="17">
        <v>14000</v>
      </c>
      <c r="N73" s="16"/>
      <c r="O73" s="16"/>
    </row>
    <row r="74" spans="1:15">
      <c r="A74" s="13">
        <v>45413</v>
      </c>
      <c r="B74" s="14" t="s">
        <v>17</v>
      </c>
      <c r="C74" s="14" t="s">
        <v>18</v>
      </c>
      <c r="D74" s="15"/>
      <c r="E74" s="16"/>
      <c r="F74" s="16"/>
      <c r="G74" s="16"/>
      <c r="H74" s="16"/>
      <c r="I74" s="17"/>
      <c r="J74" s="17"/>
      <c r="K74" s="17"/>
      <c r="L74" s="17"/>
      <c r="M74" s="17"/>
      <c r="N74" s="16"/>
      <c r="O74" s="16"/>
    </row>
    <row r="75" spans="1:15">
      <c r="A75" s="13">
        <v>45414</v>
      </c>
      <c r="B75" s="14" t="s">
        <v>17</v>
      </c>
      <c r="C75" s="14" t="s">
        <v>18</v>
      </c>
      <c r="D75" s="15" t="s">
        <v>29</v>
      </c>
      <c r="E75" s="16"/>
      <c r="F75" s="16"/>
      <c r="G75" s="16"/>
      <c r="H75" s="16"/>
      <c r="I75" s="17"/>
      <c r="J75" s="17"/>
      <c r="K75" s="17">
        <v>95500</v>
      </c>
      <c r="L75" s="17"/>
      <c r="M75" s="17">
        <v>14000</v>
      </c>
      <c r="N75" s="16"/>
      <c r="O75" s="16"/>
    </row>
    <row r="76" spans="1:15">
      <c r="A76" s="13">
        <v>45415</v>
      </c>
      <c r="B76" s="14" t="s">
        <v>17</v>
      </c>
      <c r="C76" s="14" t="s">
        <v>18</v>
      </c>
      <c r="D76" s="15" t="s">
        <v>29</v>
      </c>
      <c r="E76" s="16"/>
      <c r="F76" s="16"/>
      <c r="G76" s="16"/>
      <c r="H76" s="16"/>
      <c r="I76" s="17"/>
      <c r="J76" s="17"/>
      <c r="K76" s="17">
        <v>83000</v>
      </c>
      <c r="L76" s="17"/>
      <c r="M76" s="17">
        <v>14000</v>
      </c>
      <c r="N76" s="16"/>
      <c r="O76" s="16"/>
    </row>
    <row r="77" spans="1:15">
      <c r="A77" s="13">
        <v>45416</v>
      </c>
      <c r="B77" s="14" t="s">
        <v>17</v>
      </c>
      <c r="C77" s="14" t="s">
        <v>18</v>
      </c>
      <c r="D77" s="15" t="s">
        <v>47</v>
      </c>
      <c r="E77" s="16"/>
      <c r="F77" s="16"/>
      <c r="G77" s="16"/>
      <c r="H77" s="16"/>
      <c r="I77" s="17"/>
      <c r="J77" s="17"/>
      <c r="K77" s="17">
        <v>26500</v>
      </c>
      <c r="L77" s="17"/>
      <c r="M77" s="17">
        <v>14000</v>
      </c>
      <c r="N77" s="16"/>
      <c r="O77" s="16"/>
    </row>
    <row r="78" spans="1:15">
      <c r="A78" s="13">
        <v>45417</v>
      </c>
      <c r="B78" s="14" t="s">
        <v>17</v>
      </c>
      <c r="C78" s="14" t="s">
        <v>18</v>
      </c>
      <c r="D78" s="15"/>
      <c r="E78" s="16"/>
      <c r="F78" s="16"/>
      <c r="G78" s="16"/>
      <c r="H78" s="16"/>
      <c r="I78" s="17"/>
      <c r="J78" s="17"/>
      <c r="K78" s="17"/>
      <c r="L78" s="17"/>
      <c r="M78" s="17"/>
      <c r="N78" s="16"/>
      <c r="O78" s="16"/>
    </row>
    <row r="79" spans="1:15">
      <c r="A79" s="13">
        <v>45418</v>
      </c>
      <c r="B79" s="14" t="s">
        <v>17</v>
      </c>
      <c r="C79" s="14" t="s">
        <v>18</v>
      </c>
      <c r="D79" s="15" t="s">
        <v>29</v>
      </c>
      <c r="E79" s="16"/>
      <c r="F79" s="16"/>
      <c r="G79" s="16"/>
      <c r="H79" s="16"/>
      <c r="I79" s="17"/>
      <c r="J79" s="17"/>
      <c r="K79" s="17">
        <v>85000</v>
      </c>
      <c r="L79" s="17"/>
      <c r="M79" s="17">
        <v>14000</v>
      </c>
      <c r="N79" s="16"/>
      <c r="O79" s="16"/>
    </row>
    <row r="80" spans="1:15">
      <c r="A80" s="13">
        <v>45419</v>
      </c>
      <c r="B80" s="14" t="s">
        <v>17</v>
      </c>
      <c r="C80" s="14" t="s">
        <v>18</v>
      </c>
      <c r="D80" s="15" t="s">
        <v>29</v>
      </c>
      <c r="E80" s="16"/>
      <c r="F80" s="16"/>
      <c r="G80" s="16"/>
      <c r="H80" s="16"/>
      <c r="I80" s="17"/>
      <c r="J80" s="17"/>
      <c r="K80" s="17">
        <v>85000</v>
      </c>
      <c r="L80" s="17"/>
      <c r="M80" s="17">
        <v>14000</v>
      </c>
      <c r="N80" s="16"/>
      <c r="O80" s="16"/>
    </row>
    <row r="81" spans="1:15">
      <c r="A81" s="13">
        <v>45420</v>
      </c>
      <c r="B81" s="14" t="s">
        <v>17</v>
      </c>
      <c r="C81" s="14" t="s">
        <v>18</v>
      </c>
      <c r="D81" s="15" t="s">
        <v>47</v>
      </c>
      <c r="E81" s="16"/>
      <c r="F81" s="16"/>
      <c r="G81" s="16"/>
      <c r="H81" s="16"/>
      <c r="I81" s="17"/>
      <c r="J81" s="17"/>
      <c r="K81" s="17">
        <v>42500</v>
      </c>
      <c r="L81" s="17"/>
      <c r="M81" s="17">
        <v>14000</v>
      </c>
      <c r="N81" s="16"/>
      <c r="O81" s="16"/>
    </row>
    <row r="82" spans="1:15">
      <c r="A82" s="8" t="s">
        <v>57</v>
      </c>
      <c r="B82" s="9"/>
      <c r="C82" s="9"/>
      <c r="D82" s="10"/>
      <c r="E82" s="16"/>
      <c r="F82" s="16"/>
      <c r="G82" s="16"/>
      <c r="H82" s="16"/>
      <c r="I82" s="17">
        <v>1000000</v>
      </c>
      <c r="J82" s="17"/>
      <c r="K82" s="17"/>
      <c r="L82" s="17"/>
      <c r="M82" s="17"/>
      <c r="N82" s="16" t="s">
        <v>58</v>
      </c>
      <c r="O82" s="16" t="s">
        <v>59</v>
      </c>
    </row>
    <row r="83" spans="1:15">
      <c r="A83" s="13">
        <v>45422</v>
      </c>
      <c r="B83" s="14" t="s">
        <v>17</v>
      </c>
      <c r="C83" s="14" t="s">
        <v>18</v>
      </c>
      <c r="D83" s="15" t="s">
        <v>29</v>
      </c>
      <c r="E83" s="16"/>
      <c r="F83" s="16"/>
      <c r="G83" s="16"/>
      <c r="H83" s="16"/>
      <c r="I83" s="17"/>
      <c r="J83" s="17"/>
      <c r="K83" s="17">
        <v>69000</v>
      </c>
      <c r="L83" s="17"/>
      <c r="M83" s="17">
        <v>14000</v>
      </c>
      <c r="N83" s="16"/>
      <c r="O83" s="16"/>
    </row>
    <row r="84" spans="1:15">
      <c r="A84" s="13">
        <v>45423</v>
      </c>
      <c r="B84" s="14" t="s">
        <v>17</v>
      </c>
      <c r="C84" s="14" t="s">
        <v>18</v>
      </c>
      <c r="D84" s="15" t="s">
        <v>29</v>
      </c>
      <c r="E84" s="16"/>
      <c r="F84" s="16"/>
      <c r="G84" s="16"/>
      <c r="H84" s="16"/>
      <c r="I84" s="17"/>
      <c r="J84" s="17"/>
      <c r="K84" s="17">
        <v>85000</v>
      </c>
      <c r="L84" s="17"/>
      <c r="M84" s="17">
        <v>14000</v>
      </c>
      <c r="N84" s="16"/>
      <c r="O84" s="16"/>
    </row>
    <row r="85" spans="1:15">
      <c r="A85" s="13">
        <v>45424</v>
      </c>
      <c r="B85" s="14" t="s">
        <v>17</v>
      </c>
      <c r="C85" s="14" t="s">
        <v>18</v>
      </c>
      <c r="D85" s="15"/>
      <c r="E85" s="16"/>
      <c r="F85" s="16"/>
      <c r="G85" s="16"/>
      <c r="H85" s="16"/>
      <c r="I85" s="17"/>
      <c r="J85" s="17"/>
      <c r="K85" s="17"/>
      <c r="L85" s="17"/>
      <c r="M85" s="17"/>
      <c r="N85" s="16"/>
      <c r="O85" s="16"/>
    </row>
    <row r="86" spans="1:15">
      <c r="A86" s="13">
        <v>45425</v>
      </c>
      <c r="B86" s="14" t="s">
        <v>17</v>
      </c>
      <c r="C86" s="14" t="s">
        <v>18</v>
      </c>
      <c r="D86" s="15"/>
      <c r="E86" s="16"/>
      <c r="F86" s="16"/>
      <c r="G86" s="16"/>
      <c r="H86" s="16"/>
      <c r="I86" s="17"/>
      <c r="J86" s="17"/>
      <c r="K86" s="17"/>
      <c r="L86" s="17"/>
      <c r="M86" s="17"/>
      <c r="N86" s="16"/>
      <c r="O86" s="16"/>
    </row>
    <row r="87" spans="1:15">
      <c r="A87" s="13">
        <v>45426</v>
      </c>
      <c r="B87" s="14" t="s">
        <v>17</v>
      </c>
      <c r="C87" s="14" t="s">
        <v>18</v>
      </c>
      <c r="D87" s="15" t="s">
        <v>40</v>
      </c>
      <c r="E87" s="16"/>
      <c r="F87" s="16"/>
      <c r="G87" s="16"/>
      <c r="H87" s="16"/>
      <c r="I87" s="17"/>
      <c r="J87" s="17"/>
      <c r="K87" s="17">
        <v>85000</v>
      </c>
      <c r="L87" s="17">
        <v>30000</v>
      </c>
      <c r="M87" s="17">
        <v>14000</v>
      </c>
      <c r="N87" s="16"/>
      <c r="O87" s="16"/>
    </row>
    <row r="88" spans="1:15">
      <c r="A88" s="13">
        <v>45427</v>
      </c>
      <c r="B88" s="14" t="s">
        <v>17</v>
      </c>
      <c r="C88" s="14" t="s">
        <v>18</v>
      </c>
      <c r="D88" s="15" t="s">
        <v>29</v>
      </c>
      <c r="E88" s="16"/>
      <c r="F88" s="16"/>
      <c r="G88" s="16"/>
      <c r="H88" s="16"/>
      <c r="I88" s="17"/>
      <c r="J88" s="17"/>
      <c r="K88" s="17">
        <v>85000</v>
      </c>
      <c r="L88" s="17"/>
      <c r="M88" s="17">
        <v>14000</v>
      </c>
      <c r="N88" s="16"/>
      <c r="O88" s="16"/>
    </row>
    <row r="89" spans="1:15">
      <c r="A89" s="13">
        <v>45428</v>
      </c>
      <c r="B89" s="14" t="s">
        <v>17</v>
      </c>
      <c r="C89" s="14" t="s">
        <v>18</v>
      </c>
      <c r="D89" s="15" t="s">
        <v>60</v>
      </c>
      <c r="E89" s="16"/>
      <c r="F89" s="16"/>
      <c r="G89" s="16"/>
      <c r="H89" s="16"/>
      <c r="I89" s="17"/>
      <c r="J89" s="17"/>
      <c r="K89" s="17">
        <v>26500</v>
      </c>
      <c r="L89" s="17"/>
      <c r="M89" s="17">
        <v>14000</v>
      </c>
      <c r="N89" s="16"/>
      <c r="O89" s="16"/>
    </row>
    <row r="90" spans="1:15">
      <c r="A90" s="13">
        <v>45429</v>
      </c>
      <c r="B90" s="14" t="s">
        <v>17</v>
      </c>
      <c r="C90" s="14" t="s">
        <v>18</v>
      </c>
      <c r="D90" s="15" t="s">
        <v>29</v>
      </c>
      <c r="E90" s="16"/>
      <c r="F90" s="16"/>
      <c r="G90" s="16"/>
      <c r="H90" s="16"/>
      <c r="I90" s="17"/>
      <c r="J90" s="17"/>
      <c r="K90" s="17">
        <v>85000</v>
      </c>
      <c r="L90" s="17"/>
      <c r="M90" s="17">
        <v>14000</v>
      </c>
      <c r="N90" s="16"/>
      <c r="O90" s="16"/>
    </row>
    <row r="91" spans="1:15">
      <c r="A91" s="13">
        <v>45430</v>
      </c>
      <c r="B91" s="14" t="s">
        <v>17</v>
      </c>
      <c r="C91" s="14" t="s">
        <v>18</v>
      </c>
      <c r="D91" s="15" t="s">
        <v>29</v>
      </c>
      <c r="E91" s="16"/>
      <c r="F91" s="16"/>
      <c r="G91" s="16"/>
      <c r="H91" s="16"/>
      <c r="I91" s="17"/>
      <c r="J91" s="17"/>
      <c r="K91" s="17">
        <v>85000</v>
      </c>
      <c r="L91" s="17"/>
      <c r="M91" s="17">
        <v>14000</v>
      </c>
      <c r="N91" s="16"/>
      <c r="O91" s="16"/>
    </row>
    <row r="92" spans="1:15">
      <c r="A92" s="8" t="s">
        <v>61</v>
      </c>
      <c r="B92" s="9"/>
      <c r="C92" s="9"/>
      <c r="D92" s="10"/>
      <c r="E92" s="16"/>
      <c r="F92" s="16"/>
      <c r="G92" s="16"/>
      <c r="H92" s="16"/>
      <c r="I92" s="17">
        <v>1000000</v>
      </c>
      <c r="J92" s="17"/>
      <c r="K92" s="17"/>
      <c r="L92" s="17"/>
      <c r="M92" s="17"/>
      <c r="N92" s="16" t="s">
        <v>62</v>
      </c>
      <c r="O92" s="16" t="s">
        <v>63</v>
      </c>
    </row>
    <row r="93" spans="1:15">
      <c r="A93" s="13">
        <v>45432</v>
      </c>
      <c r="B93" s="14" t="s">
        <v>17</v>
      </c>
      <c r="C93" s="14" t="s">
        <v>18</v>
      </c>
      <c r="D93" s="15" t="s">
        <v>40</v>
      </c>
      <c r="E93" s="16"/>
      <c r="F93" s="16"/>
      <c r="G93" s="16"/>
      <c r="H93" s="16"/>
      <c r="I93" s="17"/>
      <c r="J93" s="17"/>
      <c r="K93" s="17">
        <v>85000</v>
      </c>
      <c r="L93" s="17"/>
      <c r="M93" s="17">
        <v>14000</v>
      </c>
      <c r="N93" s="16"/>
      <c r="O93" s="16"/>
    </row>
    <row r="94" spans="1:15">
      <c r="A94" s="21">
        <v>45433</v>
      </c>
      <c r="B94" s="22" t="s">
        <v>17</v>
      </c>
      <c r="C94" s="22" t="s">
        <v>18</v>
      </c>
      <c r="D94" s="23" t="s">
        <v>64</v>
      </c>
      <c r="E94" s="16"/>
      <c r="F94" s="16"/>
      <c r="G94" s="16"/>
      <c r="H94" s="16"/>
      <c r="I94" s="17"/>
      <c r="J94" s="17"/>
      <c r="K94" s="17">
        <v>49500</v>
      </c>
      <c r="L94" s="17"/>
      <c r="M94" s="17">
        <v>14000</v>
      </c>
      <c r="N94" s="16"/>
      <c r="O94" s="16"/>
    </row>
    <row r="95" spans="1:15">
      <c r="A95" s="13">
        <v>45434</v>
      </c>
      <c r="B95" s="14" t="s">
        <v>17</v>
      </c>
      <c r="C95" s="14" t="s">
        <v>18</v>
      </c>
      <c r="D95" s="15" t="s">
        <v>45</v>
      </c>
      <c r="E95" s="16"/>
      <c r="F95" s="16"/>
      <c r="G95" s="16"/>
      <c r="H95" s="16"/>
      <c r="I95" s="17"/>
      <c r="J95" s="17"/>
      <c r="K95" s="17">
        <v>42500</v>
      </c>
      <c r="L95" s="17"/>
      <c r="M95" s="17">
        <v>7000</v>
      </c>
      <c r="N95" s="16"/>
      <c r="O95" s="16"/>
    </row>
    <row r="96" spans="1:15">
      <c r="A96" s="13">
        <v>45435</v>
      </c>
      <c r="B96" s="14" t="s">
        <v>17</v>
      </c>
      <c r="C96" s="14" t="s">
        <v>18</v>
      </c>
      <c r="D96" s="15"/>
      <c r="E96" s="16"/>
      <c r="F96" s="16"/>
      <c r="G96" s="16"/>
      <c r="H96" s="16"/>
      <c r="I96" s="17"/>
      <c r="J96" s="17"/>
      <c r="K96" s="17"/>
      <c r="L96" s="17"/>
      <c r="M96" s="17"/>
      <c r="N96" s="16"/>
      <c r="O96" s="16"/>
    </row>
    <row r="97" spans="1:15">
      <c r="A97" s="13">
        <v>45436</v>
      </c>
      <c r="B97" s="14" t="s">
        <v>17</v>
      </c>
      <c r="C97" s="14" t="s">
        <v>18</v>
      </c>
      <c r="D97" s="15" t="s">
        <v>65</v>
      </c>
      <c r="E97" s="16"/>
      <c r="F97" s="16"/>
      <c r="G97" s="16"/>
      <c r="H97" s="16"/>
      <c r="I97" s="17"/>
      <c r="J97" s="17">
        <v>5000</v>
      </c>
      <c r="K97" s="17">
        <v>76000</v>
      </c>
      <c r="L97" s="17"/>
      <c r="M97" s="17">
        <v>14000</v>
      </c>
      <c r="N97" s="16"/>
      <c r="O97" s="16"/>
    </row>
    <row r="98" spans="1:15">
      <c r="A98" s="21">
        <v>45437</v>
      </c>
      <c r="B98" s="14" t="s">
        <v>17</v>
      </c>
      <c r="C98" s="14" t="s">
        <v>18</v>
      </c>
      <c r="D98" s="23"/>
      <c r="E98" s="16"/>
      <c r="F98" s="16"/>
      <c r="G98" s="16"/>
      <c r="H98" s="16"/>
      <c r="I98" s="17"/>
      <c r="J98" s="17"/>
      <c r="K98" s="17"/>
      <c r="L98" s="17"/>
      <c r="M98" s="17"/>
      <c r="N98" s="16"/>
      <c r="O98" s="16"/>
    </row>
    <row r="99" spans="1:15">
      <c r="A99" s="13">
        <v>45438</v>
      </c>
      <c r="B99" s="14" t="s">
        <v>17</v>
      </c>
      <c r="C99" s="14" t="s">
        <v>18</v>
      </c>
      <c r="D99" s="15"/>
      <c r="E99" s="16"/>
      <c r="F99" s="16"/>
      <c r="G99" s="16"/>
      <c r="H99" s="16"/>
      <c r="I99" s="17"/>
      <c r="J99" s="17"/>
      <c r="K99" s="17"/>
      <c r="L99" s="17"/>
      <c r="M99" s="17"/>
      <c r="N99" s="16"/>
      <c r="O99" s="16"/>
    </row>
    <row r="100" spans="1:15">
      <c r="A100" s="13">
        <v>45439</v>
      </c>
      <c r="B100" s="14" t="s">
        <v>17</v>
      </c>
      <c r="C100" s="14" t="s">
        <v>18</v>
      </c>
      <c r="D100" s="15" t="s">
        <v>29</v>
      </c>
      <c r="E100" s="16"/>
      <c r="F100" s="16"/>
      <c r="G100" s="16"/>
      <c r="H100" s="16"/>
      <c r="I100" s="17"/>
      <c r="J100" s="17"/>
      <c r="K100" s="17">
        <v>69000</v>
      </c>
      <c r="L100" s="17"/>
      <c r="M100" s="17">
        <v>14000</v>
      </c>
      <c r="N100" s="16"/>
      <c r="O100" s="16"/>
    </row>
    <row r="101" spans="1:15">
      <c r="A101" s="8">
        <v>45453</v>
      </c>
      <c r="B101" s="9"/>
      <c r="C101" s="9"/>
      <c r="D101" s="10"/>
      <c r="E101" s="16"/>
      <c r="F101" s="16"/>
      <c r="G101" s="16"/>
      <c r="H101" s="16"/>
      <c r="I101" s="17">
        <v>1000000</v>
      </c>
      <c r="J101" s="17"/>
      <c r="K101" s="17"/>
      <c r="L101" s="17"/>
      <c r="M101" s="17"/>
      <c r="N101" s="16" t="s">
        <v>66</v>
      </c>
      <c r="O101" s="16" t="s">
        <v>67</v>
      </c>
    </row>
    <row r="102" spans="1:15">
      <c r="A102" s="13">
        <v>45440</v>
      </c>
      <c r="B102" s="14" t="s">
        <v>17</v>
      </c>
      <c r="C102" s="14" t="s">
        <v>18</v>
      </c>
      <c r="D102" s="15" t="s">
        <v>68</v>
      </c>
      <c r="E102" s="16"/>
      <c r="F102" s="16"/>
      <c r="G102" s="16"/>
      <c r="H102" s="16"/>
      <c r="I102" s="17"/>
      <c r="J102" s="17"/>
      <c r="K102" s="17">
        <v>85000</v>
      </c>
      <c r="L102" s="17"/>
      <c r="M102" s="17">
        <v>11000</v>
      </c>
      <c r="N102" s="16"/>
      <c r="O102" s="16"/>
    </row>
    <row r="103" spans="1:15">
      <c r="A103" s="13">
        <v>45441</v>
      </c>
      <c r="B103" s="14" t="s">
        <v>17</v>
      </c>
      <c r="C103" s="14" t="s">
        <v>18</v>
      </c>
      <c r="D103" s="15" t="s">
        <v>29</v>
      </c>
      <c r="E103" s="16"/>
      <c r="F103" s="16"/>
      <c r="G103" s="16"/>
      <c r="H103" s="16"/>
      <c r="I103" s="17"/>
      <c r="J103" s="17"/>
      <c r="K103" s="17">
        <v>85000</v>
      </c>
      <c r="L103" s="17"/>
      <c r="M103" s="17">
        <v>11000</v>
      </c>
      <c r="N103" s="16"/>
      <c r="O103" s="16"/>
    </row>
    <row r="104" spans="1:15">
      <c r="A104" s="13">
        <v>45442</v>
      </c>
      <c r="B104" s="14" t="s">
        <v>17</v>
      </c>
      <c r="C104" s="14" t="s">
        <v>18</v>
      </c>
      <c r="D104" s="15" t="s">
        <v>69</v>
      </c>
      <c r="E104" s="16"/>
      <c r="F104" s="16"/>
      <c r="G104" s="16"/>
      <c r="H104" s="16"/>
      <c r="I104" s="17"/>
      <c r="J104" s="17"/>
      <c r="K104" s="17">
        <v>26500</v>
      </c>
      <c r="L104" s="17"/>
      <c r="M104" s="17">
        <v>11000</v>
      </c>
      <c r="N104" s="16"/>
      <c r="O104" s="16"/>
    </row>
    <row r="105" spans="1:15">
      <c r="A105" s="13">
        <v>45443</v>
      </c>
      <c r="B105" s="14" t="s">
        <v>17</v>
      </c>
      <c r="C105" s="14" t="s">
        <v>18</v>
      </c>
      <c r="D105" s="15" t="s">
        <v>70</v>
      </c>
      <c r="E105" s="16"/>
      <c r="F105" s="16"/>
      <c r="G105" s="16"/>
      <c r="H105" s="16"/>
      <c r="I105" s="17"/>
      <c r="J105" s="17"/>
      <c r="K105" s="17">
        <v>85000</v>
      </c>
      <c r="L105" s="17"/>
      <c r="M105" s="17">
        <v>11000</v>
      </c>
      <c r="N105" s="16"/>
      <c r="O105" s="16"/>
    </row>
    <row r="106" spans="1:15">
      <c r="A106" s="13">
        <v>45444</v>
      </c>
      <c r="B106" s="14" t="s">
        <v>17</v>
      </c>
      <c r="C106" s="14" t="s">
        <v>18</v>
      </c>
      <c r="D106" s="15"/>
      <c r="E106" s="16"/>
      <c r="F106" s="16"/>
      <c r="G106" s="16"/>
      <c r="H106" s="16"/>
      <c r="I106" s="17"/>
      <c r="J106" s="17"/>
      <c r="K106" s="17"/>
      <c r="L106" s="17"/>
      <c r="M106" s="17"/>
      <c r="N106" s="16"/>
      <c r="O106" s="16"/>
    </row>
    <row r="107" spans="1:15">
      <c r="A107" s="13">
        <v>45445</v>
      </c>
      <c r="B107" s="14" t="s">
        <v>17</v>
      </c>
      <c r="C107" s="14" t="s">
        <v>18</v>
      </c>
      <c r="D107" s="15"/>
      <c r="E107" s="16"/>
      <c r="F107" s="16"/>
      <c r="G107" s="16"/>
      <c r="H107" s="16"/>
      <c r="I107" s="17"/>
      <c r="J107" s="17"/>
      <c r="K107" s="17"/>
      <c r="L107" s="17"/>
      <c r="M107" s="17"/>
      <c r="N107" s="16"/>
      <c r="O107" s="16"/>
    </row>
    <row r="108" spans="1:15">
      <c r="A108" s="13">
        <v>45446</v>
      </c>
      <c r="B108" s="14" t="s">
        <v>17</v>
      </c>
      <c r="C108" s="14" t="s">
        <v>18</v>
      </c>
      <c r="D108" s="15" t="s">
        <v>68</v>
      </c>
      <c r="E108" s="16"/>
      <c r="F108" s="16"/>
      <c r="G108" s="16"/>
      <c r="H108" s="16"/>
      <c r="I108" s="17"/>
      <c r="J108" s="17"/>
      <c r="K108" s="17">
        <v>42500</v>
      </c>
      <c r="L108" s="17"/>
      <c r="M108" s="17">
        <v>7000</v>
      </c>
      <c r="N108" s="16"/>
      <c r="O108" s="16"/>
    </row>
    <row r="109" spans="1:15">
      <c r="A109" s="13">
        <v>45447</v>
      </c>
      <c r="B109" s="14" t="s">
        <v>17</v>
      </c>
      <c r="C109" s="14" t="s">
        <v>18</v>
      </c>
      <c r="D109" s="15" t="s">
        <v>29</v>
      </c>
      <c r="E109" s="16"/>
      <c r="F109" s="16"/>
      <c r="G109" s="16"/>
      <c r="H109" s="16"/>
      <c r="I109" s="17"/>
      <c r="J109" s="17"/>
      <c r="K109" s="17">
        <v>82000</v>
      </c>
      <c r="L109" s="17">
        <v>50000</v>
      </c>
      <c r="M109" s="17">
        <v>7000</v>
      </c>
      <c r="N109" s="16"/>
      <c r="O109" s="16"/>
    </row>
    <row r="110" spans="1:15">
      <c r="A110" s="13">
        <v>45448</v>
      </c>
      <c r="B110" s="14" t="s">
        <v>17</v>
      </c>
      <c r="C110" s="14" t="s">
        <v>18</v>
      </c>
      <c r="D110" s="15" t="s">
        <v>71</v>
      </c>
      <c r="E110" s="16"/>
      <c r="F110" s="16"/>
      <c r="G110" s="16"/>
      <c r="H110" s="16"/>
      <c r="I110" s="17"/>
      <c r="J110" s="17"/>
      <c r="K110" s="17">
        <v>60000</v>
      </c>
      <c r="L110" s="17"/>
      <c r="M110" s="17">
        <v>7000</v>
      </c>
      <c r="N110" s="16"/>
      <c r="O110" s="16"/>
    </row>
    <row r="111" spans="1:15">
      <c r="A111" s="13">
        <v>45449</v>
      </c>
      <c r="B111" s="14" t="s">
        <v>17</v>
      </c>
      <c r="C111" s="14" t="s">
        <v>18</v>
      </c>
      <c r="D111" s="15" t="s">
        <v>40</v>
      </c>
      <c r="E111" s="16"/>
      <c r="F111" s="16"/>
      <c r="G111" s="16"/>
      <c r="H111" s="16"/>
      <c r="I111" s="17"/>
      <c r="J111" s="17"/>
      <c r="K111" s="17">
        <v>95500</v>
      </c>
      <c r="L111" s="17"/>
      <c r="M111" s="17">
        <v>14000</v>
      </c>
      <c r="N111" s="16"/>
      <c r="O111" s="16"/>
    </row>
    <row r="112" spans="1:15">
      <c r="A112" s="13">
        <v>45450</v>
      </c>
      <c r="B112" s="14" t="s">
        <v>17</v>
      </c>
      <c r="C112" s="14" t="s">
        <v>18</v>
      </c>
      <c r="D112" s="15" t="s">
        <v>72</v>
      </c>
      <c r="E112" s="16"/>
      <c r="F112" s="16"/>
      <c r="G112" s="16"/>
      <c r="H112" s="16"/>
      <c r="I112" s="17"/>
      <c r="J112" s="17"/>
      <c r="K112" s="17">
        <v>42500</v>
      </c>
      <c r="L112" s="17"/>
      <c r="M112" s="17">
        <v>14000</v>
      </c>
      <c r="N112" s="16"/>
      <c r="O112" s="16"/>
    </row>
    <row r="113" spans="1:15">
      <c r="A113" s="13">
        <v>45451</v>
      </c>
      <c r="B113" s="14" t="s">
        <v>17</v>
      </c>
      <c r="C113" s="14" t="s">
        <v>18</v>
      </c>
      <c r="D113" s="15" t="s">
        <v>73</v>
      </c>
      <c r="E113" s="16"/>
      <c r="F113" s="16"/>
      <c r="G113" s="16"/>
      <c r="H113" s="16"/>
      <c r="I113" s="17"/>
      <c r="J113" s="17"/>
      <c r="K113" s="17">
        <v>42500</v>
      </c>
      <c r="L113" s="17"/>
      <c r="M113" s="17">
        <v>14000</v>
      </c>
      <c r="N113" s="16"/>
      <c r="O113" s="16"/>
    </row>
    <row r="114" spans="1:15">
      <c r="A114" s="8">
        <v>45462</v>
      </c>
      <c r="B114" s="9"/>
      <c r="C114" s="9"/>
      <c r="D114" s="10"/>
      <c r="E114" s="16"/>
      <c r="F114" s="16"/>
      <c r="G114" s="16"/>
      <c r="H114" s="16"/>
      <c r="I114" s="17">
        <v>1000000</v>
      </c>
      <c r="J114" s="17"/>
      <c r="K114" s="17"/>
      <c r="L114" s="17"/>
      <c r="M114" s="17"/>
      <c r="N114" s="16" t="s">
        <v>74</v>
      </c>
      <c r="O114" s="16" t="s">
        <v>75</v>
      </c>
    </row>
    <row r="115" spans="1:15">
      <c r="A115" s="13">
        <v>45453</v>
      </c>
      <c r="B115" s="14" t="s">
        <v>17</v>
      </c>
      <c r="C115" s="14" t="s">
        <v>18</v>
      </c>
      <c r="D115" s="15" t="s">
        <v>40</v>
      </c>
      <c r="E115" s="16"/>
      <c r="F115" s="16"/>
      <c r="G115" s="16"/>
      <c r="H115" s="16"/>
      <c r="I115" s="17"/>
      <c r="J115" s="17"/>
      <c r="K115" s="17">
        <v>69000</v>
      </c>
      <c r="L115" s="17"/>
      <c r="M115" s="17">
        <v>14000</v>
      </c>
      <c r="N115" s="16"/>
      <c r="O115" s="16"/>
    </row>
    <row r="116" spans="1:15">
      <c r="A116" s="13">
        <v>45454</v>
      </c>
      <c r="B116" s="14" t="s">
        <v>17</v>
      </c>
      <c r="C116" s="14" t="s">
        <v>18</v>
      </c>
      <c r="D116" s="15" t="s">
        <v>65</v>
      </c>
      <c r="E116" s="16"/>
      <c r="F116" s="16"/>
      <c r="G116" s="16"/>
      <c r="H116" s="16"/>
      <c r="I116" s="17"/>
      <c r="J116" s="17"/>
      <c r="K116" s="17">
        <v>85000</v>
      </c>
      <c r="L116" s="17"/>
      <c r="M116" s="17">
        <v>11000</v>
      </c>
      <c r="N116" s="16"/>
      <c r="O116" s="16"/>
    </row>
    <row r="117" spans="1:15">
      <c r="A117" s="13">
        <v>45455</v>
      </c>
      <c r="B117" s="14" t="s">
        <v>17</v>
      </c>
      <c r="C117" s="14" t="s">
        <v>18</v>
      </c>
      <c r="D117" s="15" t="s">
        <v>40</v>
      </c>
      <c r="E117" s="16"/>
      <c r="F117" s="16"/>
      <c r="G117" s="16"/>
      <c r="H117" s="16"/>
      <c r="I117" s="17"/>
      <c r="J117" s="17"/>
      <c r="K117" s="17">
        <v>85000</v>
      </c>
      <c r="L117" s="17"/>
      <c r="M117" s="17">
        <v>14000</v>
      </c>
      <c r="N117" s="16"/>
      <c r="O117" s="16"/>
    </row>
    <row r="118" spans="1:15">
      <c r="A118" s="13">
        <v>45456</v>
      </c>
      <c r="B118" s="14" t="s">
        <v>17</v>
      </c>
      <c r="C118" s="14" t="s">
        <v>18</v>
      </c>
      <c r="D118" s="15" t="s">
        <v>76</v>
      </c>
      <c r="E118" s="16"/>
      <c r="F118" s="16"/>
      <c r="G118" s="16"/>
      <c r="H118" s="16"/>
      <c r="I118" s="17"/>
      <c r="J118" s="17"/>
      <c r="K118" s="17">
        <v>42500</v>
      </c>
      <c r="L118" s="17"/>
      <c r="M118" s="17">
        <v>14000</v>
      </c>
      <c r="N118" s="16"/>
      <c r="O118" s="16"/>
    </row>
    <row r="119" spans="1:15">
      <c r="A119" s="13">
        <v>45457</v>
      </c>
      <c r="B119" s="14" t="s">
        <v>17</v>
      </c>
      <c r="C119" s="14" t="s">
        <v>18</v>
      </c>
      <c r="D119" s="15" t="s">
        <v>68</v>
      </c>
      <c r="E119" s="16"/>
      <c r="F119" s="16"/>
      <c r="G119" s="16"/>
      <c r="H119" s="16"/>
      <c r="I119" s="17"/>
      <c r="J119" s="17"/>
      <c r="K119" s="17">
        <v>26500</v>
      </c>
      <c r="L119" s="17"/>
      <c r="M119" s="17">
        <v>7000</v>
      </c>
      <c r="N119" s="16"/>
      <c r="O119" s="16"/>
    </row>
    <row r="120" spans="1:15">
      <c r="A120" s="13">
        <v>45458</v>
      </c>
      <c r="B120" s="14" t="s">
        <v>17</v>
      </c>
      <c r="C120" s="14" t="s">
        <v>18</v>
      </c>
      <c r="D120" s="15" t="s">
        <v>77</v>
      </c>
      <c r="E120" s="16"/>
      <c r="F120" s="16"/>
      <c r="G120" s="16"/>
      <c r="H120" s="16"/>
      <c r="I120" s="17"/>
      <c r="J120" s="17"/>
      <c r="K120" s="17">
        <v>76000</v>
      </c>
      <c r="L120" s="17"/>
      <c r="M120" s="17">
        <v>7000</v>
      </c>
      <c r="N120" s="16"/>
      <c r="O120" s="16"/>
    </row>
    <row r="121" spans="1:15">
      <c r="A121" s="13">
        <v>45459</v>
      </c>
      <c r="B121" s="14" t="s">
        <v>17</v>
      </c>
      <c r="C121" s="14" t="s">
        <v>18</v>
      </c>
      <c r="D121" s="15"/>
      <c r="E121" s="16"/>
      <c r="F121" s="16"/>
      <c r="G121" s="16"/>
      <c r="H121" s="16"/>
      <c r="I121" s="17"/>
      <c r="J121" s="17"/>
      <c r="K121" s="17"/>
      <c r="L121" s="17"/>
      <c r="M121" s="17"/>
      <c r="N121" s="16"/>
      <c r="O121" s="16"/>
    </row>
    <row r="122" spans="1:15">
      <c r="A122" s="13">
        <v>45460</v>
      </c>
      <c r="B122" s="14" t="s">
        <v>17</v>
      </c>
      <c r="C122" s="14" t="s">
        <v>18</v>
      </c>
      <c r="D122" s="15"/>
      <c r="E122" s="16"/>
      <c r="F122" s="16"/>
      <c r="G122" s="16"/>
      <c r="H122" s="16"/>
      <c r="I122" s="17"/>
      <c r="J122" s="17"/>
      <c r="K122" s="17"/>
      <c r="L122" s="17"/>
      <c r="M122" s="17"/>
      <c r="N122" s="16"/>
      <c r="O122" s="16"/>
    </row>
    <row r="123" spans="1:15">
      <c r="A123" s="13">
        <v>45461</v>
      </c>
      <c r="B123" s="14" t="s">
        <v>17</v>
      </c>
      <c r="C123" s="14" t="s">
        <v>18</v>
      </c>
      <c r="D123" s="15" t="s">
        <v>40</v>
      </c>
      <c r="E123" s="16"/>
      <c r="F123" s="16"/>
      <c r="G123" s="16"/>
      <c r="H123" s="16"/>
      <c r="I123" s="17"/>
      <c r="J123" s="17"/>
      <c r="K123" s="17">
        <v>95500</v>
      </c>
      <c r="L123" s="17"/>
      <c r="M123" s="17">
        <v>11000</v>
      </c>
      <c r="N123" s="16"/>
      <c r="O123" s="16"/>
    </row>
    <row r="124" spans="1:15">
      <c r="A124" s="13">
        <v>45462</v>
      </c>
      <c r="B124" s="14" t="s">
        <v>17</v>
      </c>
      <c r="C124" s="14" t="s">
        <v>18</v>
      </c>
      <c r="D124" s="15" t="s">
        <v>78</v>
      </c>
      <c r="E124" s="16"/>
      <c r="F124" s="16"/>
      <c r="G124" s="16"/>
      <c r="H124" s="16"/>
      <c r="I124" s="17"/>
      <c r="J124" s="17"/>
      <c r="K124" s="17">
        <v>85000</v>
      </c>
      <c r="L124" s="17"/>
      <c r="M124" s="17">
        <v>14000</v>
      </c>
      <c r="N124" s="16"/>
      <c r="O124" s="16"/>
    </row>
    <row r="125" spans="1:15">
      <c r="A125" s="13">
        <v>45463</v>
      </c>
      <c r="B125" s="14" t="s">
        <v>17</v>
      </c>
      <c r="C125" s="14" t="s">
        <v>18</v>
      </c>
      <c r="D125" s="15" t="s">
        <v>69</v>
      </c>
      <c r="E125" s="16"/>
      <c r="F125" s="16"/>
      <c r="G125" s="16"/>
      <c r="H125" s="16"/>
      <c r="I125" s="17"/>
      <c r="J125" s="17"/>
      <c r="K125" s="17">
        <v>26500</v>
      </c>
      <c r="L125" s="17"/>
      <c r="M125" s="17">
        <v>14000</v>
      </c>
      <c r="N125" s="16"/>
      <c r="O125" s="16"/>
    </row>
    <row r="126" spans="1:15">
      <c r="A126" s="8" t="s">
        <v>79</v>
      </c>
      <c r="B126" s="9"/>
      <c r="C126" s="9"/>
      <c r="D126" s="10"/>
      <c r="E126" s="16"/>
      <c r="F126" s="16"/>
      <c r="G126" s="16"/>
      <c r="H126" s="16"/>
      <c r="I126" s="17">
        <v>1000000</v>
      </c>
      <c r="J126" s="17"/>
      <c r="K126" s="17"/>
      <c r="L126" s="17"/>
      <c r="M126" s="17"/>
      <c r="N126" s="16" t="s">
        <v>80</v>
      </c>
      <c r="O126" s="16" t="s">
        <v>81</v>
      </c>
    </row>
    <row r="127" spans="1:15">
      <c r="A127" s="13">
        <v>45464</v>
      </c>
      <c r="B127" s="14" t="s">
        <v>17</v>
      </c>
      <c r="C127" s="14" t="s">
        <v>18</v>
      </c>
      <c r="D127" s="15" t="s">
        <v>29</v>
      </c>
      <c r="E127" s="16"/>
      <c r="F127" s="16"/>
      <c r="G127" s="16"/>
      <c r="H127" s="16"/>
      <c r="I127" s="17"/>
      <c r="J127" s="17"/>
      <c r="K127" s="17">
        <v>85000</v>
      </c>
      <c r="L127" s="17"/>
      <c r="M127" s="17">
        <v>14000</v>
      </c>
      <c r="N127" s="16"/>
      <c r="O127" s="16"/>
    </row>
    <row r="128" spans="1:15">
      <c r="A128" s="13">
        <v>45465</v>
      </c>
      <c r="B128" s="14" t="s">
        <v>17</v>
      </c>
      <c r="C128" s="14" t="s">
        <v>18</v>
      </c>
      <c r="D128" s="15"/>
      <c r="E128" s="16"/>
      <c r="F128" s="16"/>
      <c r="G128" s="16"/>
      <c r="H128" s="16"/>
      <c r="I128" s="17"/>
      <c r="J128" s="17"/>
      <c r="K128" s="17"/>
      <c r="L128" s="17"/>
      <c r="M128" s="17"/>
      <c r="N128" s="16"/>
      <c r="O128" s="16"/>
    </row>
    <row r="129" spans="1:15">
      <c r="A129" s="13">
        <v>45466</v>
      </c>
      <c r="B129" s="14" t="s">
        <v>17</v>
      </c>
      <c r="C129" s="14" t="s">
        <v>18</v>
      </c>
      <c r="D129" s="15"/>
      <c r="E129" s="16"/>
      <c r="F129" s="16"/>
      <c r="G129" s="16"/>
      <c r="H129" s="16"/>
      <c r="I129" s="17"/>
      <c r="J129" s="17"/>
      <c r="K129" s="17"/>
      <c r="L129" s="17"/>
      <c r="M129" s="17"/>
      <c r="N129" s="16"/>
      <c r="O129" s="16"/>
    </row>
    <row r="130" spans="1:15">
      <c r="A130" s="13">
        <v>45467</v>
      </c>
      <c r="B130" s="14" t="s">
        <v>17</v>
      </c>
      <c r="C130" s="14" t="s">
        <v>18</v>
      </c>
      <c r="D130" s="15"/>
      <c r="E130" s="16"/>
      <c r="F130" s="16"/>
      <c r="G130" s="16"/>
      <c r="H130" s="16"/>
      <c r="I130" s="17"/>
      <c r="J130" s="17"/>
      <c r="K130" s="17"/>
      <c r="L130" s="17"/>
      <c r="M130" s="17"/>
      <c r="N130" s="16"/>
      <c r="O130" s="16"/>
    </row>
    <row r="131" spans="1:15">
      <c r="A131" s="13">
        <v>45468</v>
      </c>
      <c r="B131" s="14" t="s">
        <v>17</v>
      </c>
      <c r="C131" s="14" t="s">
        <v>18</v>
      </c>
      <c r="D131" s="15" t="s">
        <v>40</v>
      </c>
      <c r="E131" s="16"/>
      <c r="F131" s="16"/>
      <c r="G131" s="16"/>
      <c r="H131" s="16"/>
      <c r="I131" s="17"/>
      <c r="J131" s="17"/>
      <c r="K131" s="17">
        <v>85000</v>
      </c>
      <c r="L131" s="17"/>
      <c r="M131" s="17">
        <v>14000</v>
      </c>
      <c r="N131" s="16"/>
      <c r="O131" s="16"/>
    </row>
    <row r="132" spans="1:15">
      <c r="A132" s="13">
        <v>45469</v>
      </c>
      <c r="B132" s="14" t="s">
        <v>17</v>
      </c>
      <c r="C132" s="14" t="s">
        <v>18</v>
      </c>
      <c r="D132" s="15" t="s">
        <v>29</v>
      </c>
      <c r="E132" s="16"/>
      <c r="F132" s="16"/>
      <c r="G132" s="16"/>
      <c r="H132" s="16"/>
      <c r="I132" s="17"/>
      <c r="J132" s="17"/>
      <c r="K132" s="17">
        <v>85000</v>
      </c>
      <c r="L132" s="17"/>
      <c r="M132" s="17">
        <v>14000</v>
      </c>
      <c r="N132" s="16"/>
      <c r="O132" s="16"/>
    </row>
    <row r="133" spans="1:15">
      <c r="A133" s="13">
        <v>45470</v>
      </c>
      <c r="B133" s="14" t="s">
        <v>17</v>
      </c>
      <c r="C133" s="14" t="s">
        <v>18</v>
      </c>
      <c r="D133" s="15" t="s">
        <v>40</v>
      </c>
      <c r="E133" s="16"/>
      <c r="F133" s="16"/>
      <c r="G133" s="16"/>
      <c r="H133" s="16"/>
      <c r="I133" s="17"/>
      <c r="J133" s="17"/>
      <c r="K133" s="17">
        <v>69000</v>
      </c>
      <c r="L133" s="17"/>
      <c r="M133" s="17">
        <v>14000</v>
      </c>
      <c r="N133" s="16"/>
      <c r="O133" s="16"/>
    </row>
    <row r="134" spans="1:15">
      <c r="A134" s="13">
        <v>45471</v>
      </c>
      <c r="B134" s="14" t="s">
        <v>17</v>
      </c>
      <c r="C134" s="14" t="s">
        <v>18</v>
      </c>
      <c r="D134" s="15" t="s">
        <v>76</v>
      </c>
      <c r="E134" s="16"/>
      <c r="F134" s="16"/>
      <c r="G134" s="16"/>
      <c r="H134" s="16"/>
      <c r="I134" s="17"/>
      <c r="J134" s="17"/>
      <c r="K134" s="17">
        <v>42500</v>
      </c>
      <c r="L134" s="17"/>
      <c r="M134" s="17">
        <v>14000</v>
      </c>
      <c r="N134" s="16"/>
      <c r="O134" s="16"/>
    </row>
    <row r="135" spans="1:15">
      <c r="A135" s="13">
        <v>45472</v>
      </c>
      <c r="B135" s="14" t="s">
        <v>17</v>
      </c>
      <c r="C135" s="14" t="s">
        <v>18</v>
      </c>
      <c r="D135" s="15"/>
      <c r="E135" s="16"/>
      <c r="F135" s="16"/>
      <c r="G135" s="16"/>
      <c r="H135" s="16"/>
      <c r="I135" s="17"/>
      <c r="J135" s="17"/>
      <c r="K135" s="17"/>
      <c r="L135" s="17"/>
      <c r="M135" s="17"/>
      <c r="N135" s="16"/>
      <c r="O135" s="16"/>
    </row>
    <row r="136" spans="1:15">
      <c r="A136" s="13">
        <v>45473</v>
      </c>
      <c r="B136" s="14" t="s">
        <v>17</v>
      </c>
      <c r="C136" s="14" t="s">
        <v>18</v>
      </c>
      <c r="D136" s="15"/>
      <c r="E136" s="16"/>
      <c r="F136" s="16"/>
      <c r="G136" s="16"/>
      <c r="H136" s="16"/>
      <c r="I136" s="17"/>
      <c r="J136" s="17"/>
      <c r="K136" s="17"/>
      <c r="L136" s="17"/>
      <c r="M136" s="17"/>
      <c r="N136" s="16"/>
      <c r="O136" s="16"/>
    </row>
    <row r="137" spans="1:15">
      <c r="A137" s="13">
        <v>45474</v>
      </c>
      <c r="B137" s="14" t="s">
        <v>17</v>
      </c>
      <c r="C137" s="14" t="s">
        <v>18</v>
      </c>
      <c r="D137" s="15" t="s">
        <v>29</v>
      </c>
      <c r="E137" s="16"/>
      <c r="F137" s="16"/>
      <c r="G137" s="16"/>
      <c r="H137" s="16"/>
      <c r="I137" s="17"/>
      <c r="J137" s="17"/>
      <c r="K137" s="17">
        <v>85000</v>
      </c>
      <c r="L137" s="17"/>
      <c r="M137" s="17">
        <v>14000</v>
      </c>
      <c r="N137" s="16"/>
      <c r="O137" s="16"/>
    </row>
    <row r="138" spans="1:15">
      <c r="A138" s="13">
        <v>45475</v>
      </c>
      <c r="B138" s="14" t="s">
        <v>17</v>
      </c>
      <c r="C138" s="14" t="s">
        <v>18</v>
      </c>
      <c r="D138" s="15" t="s">
        <v>29</v>
      </c>
      <c r="E138" s="16"/>
      <c r="F138" s="16"/>
      <c r="G138" s="16"/>
      <c r="H138" s="16"/>
      <c r="I138" s="17"/>
      <c r="J138" s="17"/>
      <c r="K138" s="17">
        <v>85000</v>
      </c>
      <c r="L138" s="17"/>
      <c r="M138" s="17">
        <v>14000</v>
      </c>
      <c r="N138" s="16"/>
      <c r="O138" s="16"/>
    </row>
    <row r="139" spans="1:15">
      <c r="A139" s="8" t="s">
        <v>82</v>
      </c>
      <c r="B139" s="9"/>
      <c r="C139" s="9"/>
      <c r="D139" s="10"/>
      <c r="E139" s="16"/>
      <c r="F139" s="16"/>
      <c r="G139" s="16"/>
      <c r="H139" s="16"/>
      <c r="I139" s="17">
        <v>1000000</v>
      </c>
      <c r="J139" s="17"/>
      <c r="K139" s="17"/>
      <c r="L139" s="17"/>
      <c r="M139" s="17"/>
      <c r="N139" s="16" t="s">
        <v>83</v>
      </c>
      <c r="O139" s="16" t="s">
        <v>84</v>
      </c>
    </row>
    <row r="140" spans="1:15">
      <c r="A140" s="13">
        <v>45477</v>
      </c>
      <c r="B140" s="14" t="s">
        <v>17</v>
      </c>
      <c r="C140" s="14" t="s">
        <v>18</v>
      </c>
      <c r="D140" s="15" t="s">
        <v>29</v>
      </c>
      <c r="E140" s="16"/>
      <c r="F140" s="16"/>
      <c r="G140" s="16"/>
      <c r="H140" s="16"/>
      <c r="I140" s="17"/>
      <c r="J140" s="17"/>
      <c r="K140" s="17">
        <v>69000</v>
      </c>
      <c r="L140" s="17"/>
      <c r="M140" s="17">
        <v>11000</v>
      </c>
      <c r="N140" s="16"/>
      <c r="O140" s="16"/>
    </row>
    <row r="141" spans="1:15">
      <c r="A141" s="13">
        <v>45478</v>
      </c>
      <c r="B141" s="14" t="s">
        <v>17</v>
      </c>
      <c r="C141" s="14" t="s">
        <v>18</v>
      </c>
      <c r="D141" s="15" t="s">
        <v>68</v>
      </c>
      <c r="E141" s="16"/>
      <c r="F141" s="16"/>
      <c r="G141" s="16"/>
      <c r="H141" s="16"/>
      <c r="I141" s="17"/>
      <c r="J141" s="17"/>
      <c r="K141" s="17">
        <v>42500</v>
      </c>
      <c r="L141" s="17"/>
      <c r="M141" s="17">
        <v>7000</v>
      </c>
      <c r="N141" s="16"/>
      <c r="O141" s="16"/>
    </row>
    <row r="142" spans="1:15">
      <c r="A142" s="13">
        <v>45479</v>
      </c>
      <c r="B142" s="14" t="s">
        <v>17</v>
      </c>
      <c r="C142" s="14" t="s">
        <v>18</v>
      </c>
      <c r="D142" s="15" t="s">
        <v>85</v>
      </c>
      <c r="E142" s="16"/>
      <c r="F142" s="16"/>
      <c r="G142" s="16"/>
      <c r="H142" s="16"/>
      <c r="I142" s="17"/>
      <c r="J142" s="17"/>
      <c r="K142" s="17">
        <v>85000</v>
      </c>
      <c r="L142" s="17"/>
      <c r="M142" s="17">
        <v>11000</v>
      </c>
      <c r="N142" s="16"/>
      <c r="O142" s="16"/>
    </row>
    <row r="143" spans="1:15">
      <c r="A143" s="13">
        <v>45480</v>
      </c>
      <c r="B143" s="14" t="s">
        <v>17</v>
      </c>
      <c r="C143" s="14" t="s">
        <v>18</v>
      </c>
      <c r="D143" s="15"/>
      <c r="E143" s="16"/>
      <c r="F143" s="16"/>
      <c r="G143" s="16"/>
      <c r="H143" s="16"/>
      <c r="I143" s="17"/>
      <c r="J143" s="17"/>
      <c r="K143" s="17"/>
      <c r="L143" s="17"/>
      <c r="M143" s="17"/>
      <c r="N143" s="16"/>
      <c r="O143" s="16"/>
    </row>
    <row r="144" spans="1:15">
      <c r="A144" s="13">
        <v>45481</v>
      </c>
      <c r="B144" s="14" t="s">
        <v>17</v>
      </c>
      <c r="C144" s="14" t="s">
        <v>18</v>
      </c>
      <c r="D144" s="15" t="s">
        <v>47</v>
      </c>
      <c r="E144" s="16"/>
      <c r="F144" s="16"/>
      <c r="G144" s="16"/>
      <c r="H144" s="16"/>
      <c r="I144" s="17"/>
      <c r="J144" s="17"/>
      <c r="K144" s="17">
        <v>42500</v>
      </c>
      <c r="L144" s="17"/>
      <c r="M144" s="17">
        <v>14000</v>
      </c>
      <c r="N144" s="16"/>
      <c r="O144" s="16"/>
    </row>
    <row r="145" spans="1:15">
      <c r="A145" s="13">
        <v>45482</v>
      </c>
      <c r="B145" s="14" t="s">
        <v>17</v>
      </c>
      <c r="C145" s="14" t="s">
        <v>18</v>
      </c>
      <c r="D145" s="15" t="s">
        <v>29</v>
      </c>
      <c r="E145" s="16"/>
      <c r="F145" s="16"/>
      <c r="G145" s="16"/>
      <c r="H145" s="16"/>
      <c r="I145" s="17"/>
      <c r="J145" s="17"/>
      <c r="K145" s="17">
        <v>69000</v>
      </c>
      <c r="L145" s="17"/>
      <c r="M145" s="17">
        <v>14000</v>
      </c>
      <c r="N145" s="16"/>
      <c r="O145" s="16"/>
    </row>
    <row r="146" spans="1:15">
      <c r="A146" s="13">
        <v>45483</v>
      </c>
      <c r="B146" s="14" t="s">
        <v>17</v>
      </c>
      <c r="C146" s="14" t="s">
        <v>18</v>
      </c>
      <c r="D146" s="15" t="s">
        <v>86</v>
      </c>
      <c r="E146" s="16"/>
      <c r="F146" s="16"/>
      <c r="G146" s="16"/>
      <c r="H146" s="16"/>
      <c r="I146" s="17"/>
      <c r="J146" s="17"/>
      <c r="K146" s="17">
        <v>82000</v>
      </c>
      <c r="L146" s="17"/>
      <c r="M146" s="17">
        <v>14000</v>
      </c>
      <c r="N146" s="16"/>
      <c r="O146" s="16"/>
    </row>
    <row r="147" spans="1:15">
      <c r="A147" s="13">
        <v>45484</v>
      </c>
      <c r="B147" s="14" t="s">
        <v>17</v>
      </c>
      <c r="C147" s="14" t="s">
        <v>18</v>
      </c>
      <c r="D147" s="15" t="s">
        <v>45</v>
      </c>
      <c r="E147" s="16"/>
      <c r="F147" s="16"/>
      <c r="G147" s="16"/>
      <c r="H147" s="16"/>
      <c r="I147" s="17"/>
      <c r="J147" s="17"/>
      <c r="K147" s="17">
        <v>42500</v>
      </c>
      <c r="L147" s="17"/>
      <c r="M147" s="17">
        <v>7000</v>
      </c>
      <c r="N147" s="16"/>
      <c r="O147" s="16"/>
    </row>
    <row r="148" spans="1:15">
      <c r="A148" s="13">
        <v>45485</v>
      </c>
      <c r="B148" s="14" t="s">
        <v>17</v>
      </c>
      <c r="C148" s="14" t="s">
        <v>18</v>
      </c>
      <c r="D148" s="15" t="s">
        <v>85</v>
      </c>
      <c r="E148" s="16"/>
      <c r="F148" s="16"/>
      <c r="G148" s="16"/>
      <c r="H148" s="16"/>
      <c r="I148" s="17"/>
      <c r="J148" s="17"/>
      <c r="K148" s="17">
        <v>85000</v>
      </c>
      <c r="L148" s="17"/>
      <c r="M148" s="17">
        <v>14000</v>
      </c>
      <c r="N148" s="16"/>
      <c r="O148" s="16"/>
    </row>
    <row r="149" spans="1:15">
      <c r="A149" s="13">
        <v>45486</v>
      </c>
      <c r="B149" s="14" t="s">
        <v>17</v>
      </c>
      <c r="C149" s="14" t="s">
        <v>18</v>
      </c>
      <c r="D149" s="15" t="s">
        <v>40</v>
      </c>
      <c r="E149" s="16"/>
      <c r="F149" s="16"/>
      <c r="G149" s="16"/>
      <c r="H149" s="16"/>
      <c r="I149" s="17"/>
      <c r="J149" s="17"/>
      <c r="K149" s="17">
        <v>69000</v>
      </c>
      <c r="L149" s="17"/>
      <c r="M149" s="17">
        <v>14000</v>
      </c>
      <c r="N149" s="16"/>
      <c r="O149" s="16"/>
    </row>
    <row r="150" spans="1:15">
      <c r="A150" s="13">
        <v>45487</v>
      </c>
      <c r="B150" s="14" t="s">
        <v>17</v>
      </c>
      <c r="C150" s="14" t="s">
        <v>18</v>
      </c>
      <c r="D150" s="15" t="s">
        <v>40</v>
      </c>
      <c r="E150" s="16"/>
      <c r="F150" s="16"/>
      <c r="G150" s="16"/>
      <c r="H150" s="16"/>
      <c r="I150" s="17"/>
      <c r="J150" s="17"/>
      <c r="K150" s="17">
        <v>79500</v>
      </c>
      <c r="L150" s="17"/>
      <c r="M150" s="17">
        <v>14000</v>
      </c>
      <c r="N150" s="16"/>
      <c r="O150" s="16"/>
    </row>
    <row r="151" spans="1:15">
      <c r="A151" s="8" t="s">
        <v>87</v>
      </c>
      <c r="B151" s="9"/>
      <c r="C151" s="9"/>
      <c r="D151" s="10"/>
      <c r="E151" s="16"/>
      <c r="F151" s="16"/>
      <c r="G151" s="16"/>
      <c r="H151" s="16"/>
      <c r="I151" s="17">
        <v>1000000</v>
      </c>
      <c r="J151" s="17"/>
      <c r="K151" s="17"/>
      <c r="L151" s="17"/>
      <c r="M151" s="17"/>
      <c r="N151" s="16" t="s">
        <v>88</v>
      </c>
      <c r="O151" s="16" t="s">
        <v>89</v>
      </c>
    </row>
    <row r="152" spans="1:15">
      <c r="A152" s="13">
        <v>45489</v>
      </c>
      <c r="B152" s="14" t="s">
        <v>17</v>
      </c>
      <c r="C152" s="14" t="s">
        <v>18</v>
      </c>
      <c r="D152" s="15" t="s">
        <v>85</v>
      </c>
      <c r="E152" s="16"/>
      <c r="F152" s="16"/>
      <c r="G152" s="16"/>
      <c r="H152" s="16"/>
      <c r="I152" s="17"/>
      <c r="J152" s="17"/>
      <c r="K152" s="17">
        <v>85000</v>
      </c>
      <c r="L152" s="17"/>
      <c r="M152" s="17">
        <v>11000</v>
      </c>
      <c r="N152" s="16"/>
      <c r="O152" s="16"/>
    </row>
    <row r="153" spans="1:15">
      <c r="A153" s="13">
        <v>45490</v>
      </c>
      <c r="B153" s="14" t="s">
        <v>17</v>
      </c>
      <c r="C153" s="14" t="s">
        <v>18</v>
      </c>
      <c r="D153" s="15" t="s">
        <v>40</v>
      </c>
      <c r="E153" s="16"/>
      <c r="F153" s="16"/>
      <c r="G153" s="16"/>
      <c r="H153" s="16"/>
      <c r="I153" s="17"/>
      <c r="J153" s="17"/>
      <c r="K153" s="17">
        <v>85000</v>
      </c>
      <c r="L153" s="17"/>
      <c r="M153" s="17">
        <v>14000</v>
      </c>
      <c r="N153" s="16"/>
      <c r="O153" s="16"/>
    </row>
    <row r="154" spans="1:15">
      <c r="A154" s="13">
        <v>45491</v>
      </c>
      <c r="B154" s="14" t="s">
        <v>17</v>
      </c>
      <c r="C154" s="14" t="s">
        <v>18</v>
      </c>
      <c r="D154" s="15" t="s">
        <v>85</v>
      </c>
      <c r="E154" s="16"/>
      <c r="F154" s="16"/>
      <c r="G154" s="16"/>
      <c r="H154" s="16"/>
      <c r="I154" s="17"/>
      <c r="J154" s="17"/>
      <c r="K154" s="17">
        <v>69000</v>
      </c>
      <c r="L154" s="17"/>
      <c r="M154" s="17">
        <v>14000</v>
      </c>
      <c r="N154" s="16"/>
      <c r="O154" s="16"/>
    </row>
    <row r="155" spans="1:15">
      <c r="A155" s="13">
        <v>45492</v>
      </c>
      <c r="B155" s="14" t="s">
        <v>17</v>
      </c>
      <c r="C155" s="14" t="s">
        <v>18</v>
      </c>
      <c r="D155" s="15" t="s">
        <v>85</v>
      </c>
      <c r="E155" s="16"/>
      <c r="F155" s="16"/>
      <c r="G155" s="16"/>
      <c r="H155" s="16"/>
      <c r="I155" s="17"/>
      <c r="J155" s="17"/>
      <c r="K155" s="17">
        <v>42500</v>
      </c>
      <c r="L155" s="17"/>
      <c r="M155" s="17">
        <v>7000</v>
      </c>
      <c r="N155" s="16"/>
      <c r="O155" s="16"/>
    </row>
    <row r="156" spans="1:15">
      <c r="A156" s="13">
        <v>45493</v>
      </c>
      <c r="B156" s="14" t="s">
        <v>17</v>
      </c>
      <c r="C156" s="14" t="s">
        <v>18</v>
      </c>
      <c r="D156" s="15" t="s">
        <v>69</v>
      </c>
      <c r="E156" s="16"/>
      <c r="F156" s="16"/>
      <c r="G156" s="16"/>
      <c r="H156" s="16"/>
      <c r="I156" s="17"/>
      <c r="J156" s="17"/>
      <c r="K156" s="17">
        <v>69000</v>
      </c>
      <c r="L156" s="17"/>
      <c r="M156" s="17">
        <v>11000</v>
      </c>
      <c r="N156" s="16"/>
      <c r="O156" s="16"/>
    </row>
    <row r="157" spans="1:15">
      <c r="A157" s="13">
        <v>45494</v>
      </c>
      <c r="B157" s="14" t="s">
        <v>17</v>
      </c>
      <c r="C157" s="14" t="s">
        <v>18</v>
      </c>
      <c r="D157" s="15"/>
      <c r="E157" s="16"/>
      <c r="F157" s="16"/>
      <c r="G157" s="16"/>
      <c r="H157" s="16"/>
      <c r="I157" s="17"/>
      <c r="J157" s="17"/>
      <c r="K157" s="17"/>
      <c r="L157" s="17"/>
      <c r="M157" s="17"/>
      <c r="N157" s="16"/>
      <c r="O157" s="16"/>
    </row>
    <row r="158" spans="1:15">
      <c r="A158" s="13">
        <v>45495</v>
      </c>
      <c r="B158" s="14" t="s">
        <v>17</v>
      </c>
      <c r="C158" s="14" t="s">
        <v>18</v>
      </c>
      <c r="D158" s="15" t="s">
        <v>45</v>
      </c>
      <c r="E158" s="16"/>
      <c r="F158" s="16"/>
      <c r="G158" s="16"/>
      <c r="H158" s="16"/>
      <c r="I158" s="17"/>
      <c r="J158" s="17"/>
      <c r="K158" s="17">
        <v>42500</v>
      </c>
      <c r="L158" s="17"/>
      <c r="M158" s="17">
        <v>7000</v>
      </c>
      <c r="N158" s="16"/>
      <c r="O158" s="16"/>
    </row>
    <row r="159" spans="1:15">
      <c r="A159" s="13">
        <v>45496</v>
      </c>
      <c r="B159" s="14" t="s">
        <v>17</v>
      </c>
      <c r="C159" s="14" t="s">
        <v>18</v>
      </c>
      <c r="D159" s="15" t="s">
        <v>68</v>
      </c>
      <c r="E159" s="16"/>
      <c r="F159" s="16"/>
      <c r="G159" s="16"/>
      <c r="H159" s="16"/>
      <c r="I159" s="17"/>
      <c r="J159" s="17"/>
      <c r="K159" s="17">
        <v>42500</v>
      </c>
      <c r="L159" s="17"/>
      <c r="M159" s="17">
        <v>4000</v>
      </c>
      <c r="N159" s="16"/>
      <c r="O159" s="16"/>
    </row>
    <row r="160" spans="1:15">
      <c r="A160" s="13">
        <v>45497</v>
      </c>
      <c r="B160" s="14" t="s">
        <v>17</v>
      </c>
      <c r="C160" s="14" t="s">
        <v>18</v>
      </c>
      <c r="D160" s="15" t="s">
        <v>68</v>
      </c>
      <c r="E160" s="16"/>
      <c r="F160" s="16"/>
      <c r="G160" s="16"/>
      <c r="H160" s="16"/>
      <c r="I160" s="17"/>
      <c r="J160" s="17"/>
      <c r="K160" s="17">
        <v>26500</v>
      </c>
      <c r="L160" s="17"/>
      <c r="M160" s="17">
        <v>7000</v>
      </c>
      <c r="N160" s="16"/>
      <c r="O160" s="16"/>
    </row>
    <row r="161" spans="1:15">
      <c r="A161" s="13">
        <v>45498</v>
      </c>
      <c r="B161" s="14" t="s">
        <v>17</v>
      </c>
      <c r="C161" s="14" t="s">
        <v>18</v>
      </c>
      <c r="D161" s="15" t="s">
        <v>45</v>
      </c>
      <c r="E161" s="16"/>
      <c r="F161" s="16"/>
      <c r="G161" s="16"/>
      <c r="H161" s="16"/>
      <c r="I161" s="17"/>
      <c r="J161" s="17"/>
      <c r="K161" s="17">
        <v>26500</v>
      </c>
      <c r="L161" s="17"/>
      <c r="M161" s="17">
        <v>7000</v>
      </c>
      <c r="N161" s="16"/>
      <c r="O161" s="16"/>
    </row>
    <row r="162" spans="1:15">
      <c r="A162" s="13">
        <v>45499</v>
      </c>
      <c r="B162" s="14" t="s">
        <v>17</v>
      </c>
      <c r="C162" s="14" t="s">
        <v>18</v>
      </c>
      <c r="D162" s="15" t="s">
        <v>45</v>
      </c>
      <c r="E162" s="16"/>
      <c r="F162" s="16"/>
      <c r="G162" s="16"/>
      <c r="H162" s="16"/>
      <c r="I162" s="17"/>
      <c r="J162" s="17"/>
      <c r="K162" s="17">
        <v>26500</v>
      </c>
      <c r="L162" s="17"/>
      <c r="M162" s="17">
        <v>7000</v>
      </c>
      <c r="N162" s="16"/>
      <c r="O162" s="16"/>
    </row>
    <row r="163" spans="1:15">
      <c r="A163" s="13">
        <v>45500</v>
      </c>
      <c r="B163" s="14" t="s">
        <v>17</v>
      </c>
      <c r="C163" s="14" t="s">
        <v>18</v>
      </c>
      <c r="D163" s="15"/>
      <c r="E163" s="16"/>
      <c r="F163" s="16"/>
      <c r="G163" s="16"/>
      <c r="H163" s="16"/>
      <c r="I163" s="17"/>
      <c r="J163" s="17"/>
      <c r="K163" s="17"/>
      <c r="L163" s="17"/>
      <c r="M163" s="17"/>
      <c r="N163" s="16"/>
      <c r="O163" s="16"/>
    </row>
    <row r="164" spans="1:15">
      <c r="A164" s="13">
        <v>45501</v>
      </c>
      <c r="B164" s="14" t="s">
        <v>17</v>
      </c>
      <c r="C164" s="14" t="s">
        <v>18</v>
      </c>
      <c r="D164" s="15"/>
      <c r="E164" s="16"/>
      <c r="F164" s="16"/>
      <c r="G164" s="16"/>
      <c r="H164" s="16"/>
      <c r="I164" s="17"/>
      <c r="J164" s="17"/>
      <c r="K164" s="17"/>
      <c r="L164" s="17"/>
      <c r="M164" s="17"/>
      <c r="N164" s="16"/>
      <c r="O164" s="16"/>
    </row>
    <row r="165" spans="1:15">
      <c r="A165" s="13">
        <v>45502</v>
      </c>
      <c r="B165" s="14" t="s">
        <v>17</v>
      </c>
      <c r="C165" s="14" t="s">
        <v>18</v>
      </c>
      <c r="D165" s="15"/>
      <c r="E165" s="16"/>
      <c r="F165" s="16"/>
      <c r="G165" s="16"/>
      <c r="H165" s="16"/>
      <c r="I165" s="17"/>
      <c r="J165" s="17"/>
      <c r="K165" s="17"/>
      <c r="L165" s="17"/>
      <c r="M165" s="17"/>
      <c r="N165" s="16"/>
      <c r="O165" s="16"/>
    </row>
    <row r="166" spans="1:15">
      <c r="A166" s="13">
        <v>45503</v>
      </c>
      <c r="B166" s="14" t="s">
        <v>17</v>
      </c>
      <c r="C166" s="14" t="s">
        <v>18</v>
      </c>
      <c r="D166" s="15" t="s">
        <v>47</v>
      </c>
      <c r="E166" s="16"/>
      <c r="F166" s="16"/>
      <c r="G166" s="16"/>
      <c r="H166" s="16"/>
      <c r="I166" s="17"/>
      <c r="J166" s="17"/>
      <c r="K166" s="17">
        <v>42500</v>
      </c>
      <c r="L166" s="17">
        <v>100000</v>
      </c>
      <c r="M166" s="17">
        <v>14000</v>
      </c>
      <c r="N166" s="16"/>
      <c r="O166" s="16"/>
    </row>
    <row r="167" spans="1:15">
      <c r="A167" s="13">
        <v>45504</v>
      </c>
      <c r="B167" s="14" t="s">
        <v>17</v>
      </c>
      <c r="C167" s="14" t="s">
        <v>18</v>
      </c>
      <c r="D167" s="15" t="s">
        <v>29</v>
      </c>
      <c r="E167" s="16"/>
      <c r="F167" s="16"/>
      <c r="G167" s="16"/>
      <c r="H167" s="16"/>
      <c r="I167" s="17"/>
      <c r="J167" s="17"/>
      <c r="K167" s="17">
        <v>69000</v>
      </c>
      <c r="L167" s="17"/>
      <c r="M167" s="17">
        <v>14000</v>
      </c>
      <c r="N167" s="16"/>
      <c r="O167" s="16"/>
    </row>
    <row r="168" spans="1:15">
      <c r="A168" s="13">
        <v>45505</v>
      </c>
      <c r="B168" s="14" t="s">
        <v>17</v>
      </c>
      <c r="C168" s="14" t="s">
        <v>18</v>
      </c>
      <c r="D168" s="15" t="s">
        <v>40</v>
      </c>
      <c r="E168" s="16"/>
      <c r="F168" s="16"/>
      <c r="G168" s="16"/>
      <c r="H168" s="16"/>
      <c r="I168" s="17"/>
      <c r="J168" s="17"/>
      <c r="K168" s="17">
        <v>85000</v>
      </c>
      <c r="L168" s="17">
        <v>50000</v>
      </c>
      <c r="M168" s="17">
        <v>14000</v>
      </c>
      <c r="N168" s="16"/>
      <c r="O168" s="16"/>
    </row>
    <row r="169" spans="1:15">
      <c r="A169" s="8" t="s">
        <v>90</v>
      </c>
      <c r="B169" s="9"/>
      <c r="C169" s="9"/>
      <c r="D169" s="10"/>
      <c r="E169" s="16"/>
      <c r="F169" s="16"/>
      <c r="G169" s="16"/>
      <c r="H169" s="16"/>
      <c r="I169" s="17">
        <v>1000000</v>
      </c>
      <c r="J169" s="17"/>
      <c r="K169" s="17"/>
      <c r="L169" s="17"/>
      <c r="M169" s="17"/>
      <c r="N169" s="16" t="s">
        <v>91</v>
      </c>
      <c r="O169" s="16" t="s">
        <v>92</v>
      </c>
    </row>
    <row r="170" spans="1:15">
      <c r="A170" s="13">
        <v>45506</v>
      </c>
      <c r="B170" s="14" t="s">
        <v>17</v>
      </c>
      <c r="C170" s="14" t="s">
        <v>18</v>
      </c>
      <c r="D170" s="15" t="s">
        <v>40</v>
      </c>
      <c r="E170" s="16"/>
      <c r="F170" s="16"/>
      <c r="G170" s="16"/>
      <c r="H170" s="16"/>
      <c r="I170" s="17"/>
      <c r="J170" s="17"/>
      <c r="K170" s="17">
        <v>85000</v>
      </c>
      <c r="L170" s="17"/>
      <c r="M170" s="17">
        <v>14000</v>
      </c>
      <c r="N170" s="16"/>
      <c r="O170" s="16"/>
    </row>
    <row r="171" spans="1:15">
      <c r="A171" s="13">
        <v>45507</v>
      </c>
      <c r="B171" s="14" t="s">
        <v>17</v>
      </c>
      <c r="C171" s="14" t="s">
        <v>18</v>
      </c>
      <c r="D171" s="15" t="s">
        <v>29</v>
      </c>
      <c r="E171" s="16"/>
      <c r="F171" s="16"/>
      <c r="G171" s="16"/>
      <c r="H171" s="16"/>
      <c r="I171" s="17"/>
      <c r="J171" s="17"/>
      <c r="K171" s="17">
        <v>69000</v>
      </c>
      <c r="L171" s="17"/>
      <c r="M171" s="17">
        <v>14000</v>
      </c>
      <c r="N171" s="16"/>
      <c r="O171" s="16"/>
    </row>
    <row r="172" spans="1:15">
      <c r="A172" s="13">
        <v>45508</v>
      </c>
      <c r="B172" s="14" t="s">
        <v>17</v>
      </c>
      <c r="C172" s="14" t="s">
        <v>18</v>
      </c>
      <c r="D172" s="15"/>
      <c r="E172" s="16"/>
      <c r="F172" s="16"/>
      <c r="G172" s="16"/>
      <c r="H172" s="16"/>
      <c r="I172" s="17"/>
      <c r="J172" s="17"/>
      <c r="K172" s="17"/>
      <c r="L172" s="17"/>
      <c r="M172" s="17"/>
      <c r="N172" s="16"/>
      <c r="O172" s="16"/>
    </row>
    <row r="173" spans="1:15">
      <c r="A173" s="13">
        <v>45509</v>
      </c>
      <c r="B173" s="14" t="s">
        <v>17</v>
      </c>
      <c r="C173" s="14" t="s">
        <v>18</v>
      </c>
      <c r="D173" s="15" t="s">
        <v>29</v>
      </c>
      <c r="E173" s="16"/>
      <c r="F173" s="16"/>
      <c r="G173" s="16"/>
      <c r="H173" s="16"/>
      <c r="I173" s="17"/>
      <c r="J173" s="17"/>
      <c r="K173" s="17">
        <v>85000</v>
      </c>
      <c r="L173" s="17"/>
      <c r="M173" s="17">
        <v>14000</v>
      </c>
      <c r="N173" s="16"/>
      <c r="O173" s="16"/>
    </row>
    <row r="174" spans="1:15">
      <c r="A174" s="13">
        <v>45510</v>
      </c>
      <c r="B174" s="14" t="s">
        <v>17</v>
      </c>
      <c r="C174" s="14" t="s">
        <v>18</v>
      </c>
      <c r="D174" s="15" t="s">
        <v>45</v>
      </c>
      <c r="E174" s="16"/>
      <c r="F174" s="16"/>
      <c r="G174" s="16"/>
      <c r="H174" s="16"/>
      <c r="I174" s="17"/>
      <c r="J174" s="17"/>
      <c r="K174" s="17">
        <v>42500</v>
      </c>
      <c r="L174" s="17"/>
      <c r="M174" s="17">
        <v>7000</v>
      </c>
      <c r="N174" s="16"/>
      <c r="O174" s="16"/>
    </row>
    <row r="175" spans="1:15">
      <c r="A175" s="13">
        <v>45511</v>
      </c>
      <c r="B175" s="14" t="s">
        <v>17</v>
      </c>
      <c r="C175" s="14" t="s">
        <v>18</v>
      </c>
      <c r="D175" s="15" t="s">
        <v>34</v>
      </c>
      <c r="E175" s="16"/>
      <c r="F175" s="16"/>
      <c r="G175" s="16"/>
      <c r="H175" s="16"/>
      <c r="I175" s="17"/>
      <c r="J175" s="17"/>
      <c r="K175" s="17">
        <v>53000</v>
      </c>
      <c r="L175" s="17">
        <v>50000</v>
      </c>
      <c r="M175" s="17">
        <v>14000</v>
      </c>
      <c r="N175" s="16"/>
      <c r="O175" s="16"/>
    </row>
    <row r="176" spans="1:15">
      <c r="A176" s="13">
        <v>45512</v>
      </c>
      <c r="B176" s="14" t="s">
        <v>17</v>
      </c>
      <c r="C176" s="14" t="s">
        <v>18</v>
      </c>
      <c r="D176" s="15" t="s">
        <v>40</v>
      </c>
      <c r="E176" s="16"/>
      <c r="F176" s="16"/>
      <c r="G176" s="16"/>
      <c r="H176" s="16"/>
      <c r="I176" s="17"/>
      <c r="J176" s="17"/>
      <c r="K176" s="17">
        <v>85000</v>
      </c>
      <c r="L176" s="17"/>
      <c r="M176" s="17">
        <v>14000</v>
      </c>
      <c r="N176" s="16"/>
      <c r="O176" s="16"/>
    </row>
    <row r="177" spans="1:15">
      <c r="A177" s="13">
        <v>45513</v>
      </c>
      <c r="B177" s="14" t="s">
        <v>17</v>
      </c>
      <c r="C177" s="14" t="s">
        <v>18</v>
      </c>
      <c r="D177" s="15" t="s">
        <v>29</v>
      </c>
      <c r="E177" s="16"/>
      <c r="F177" s="16"/>
      <c r="G177" s="16"/>
      <c r="H177" s="16"/>
      <c r="I177" s="17"/>
      <c r="J177" s="17"/>
      <c r="K177" s="17">
        <v>53000</v>
      </c>
      <c r="L177" s="17"/>
      <c r="M177" s="17">
        <v>14000</v>
      </c>
      <c r="N177" s="16"/>
      <c r="O177" s="16"/>
    </row>
    <row r="178" spans="1:15">
      <c r="A178" s="13">
        <v>45514</v>
      </c>
      <c r="B178" s="14" t="s">
        <v>17</v>
      </c>
      <c r="C178" s="14" t="s">
        <v>18</v>
      </c>
      <c r="D178" s="15" t="s">
        <v>29</v>
      </c>
      <c r="E178" s="16"/>
      <c r="F178" s="16"/>
      <c r="G178" s="16"/>
      <c r="H178" s="16"/>
      <c r="I178" s="17"/>
      <c r="J178" s="17"/>
      <c r="K178" s="17">
        <v>90000</v>
      </c>
      <c r="L178" s="17"/>
      <c r="M178" s="17">
        <v>14000</v>
      </c>
      <c r="N178" s="16"/>
      <c r="O178" s="16"/>
    </row>
    <row r="179" spans="1:15">
      <c r="A179" s="8" t="s">
        <v>93</v>
      </c>
      <c r="B179" s="9"/>
      <c r="C179" s="9"/>
      <c r="D179" s="10"/>
      <c r="E179" s="16"/>
      <c r="F179" s="16"/>
      <c r="G179" s="16"/>
      <c r="H179" s="16"/>
      <c r="I179" s="17">
        <v>1000000</v>
      </c>
      <c r="J179" s="17"/>
      <c r="K179" s="17"/>
      <c r="L179" s="17"/>
      <c r="M179" s="17"/>
      <c r="N179" s="16" t="s">
        <v>94</v>
      </c>
      <c r="O179" s="16" t="s">
        <v>95</v>
      </c>
    </row>
    <row r="180" spans="1:15">
      <c r="A180" s="13">
        <v>45515</v>
      </c>
      <c r="B180" s="14" t="s">
        <v>17</v>
      </c>
      <c r="C180" s="14" t="s">
        <v>18</v>
      </c>
      <c r="D180" s="15"/>
      <c r="E180" s="16"/>
      <c r="F180" s="16"/>
      <c r="G180" s="16"/>
      <c r="H180" s="16"/>
      <c r="I180" s="17"/>
      <c r="J180" s="17"/>
      <c r="K180" s="17"/>
      <c r="L180" s="17"/>
      <c r="M180" s="17"/>
      <c r="N180" s="16"/>
      <c r="O180" s="16"/>
    </row>
    <row r="181" spans="1:15">
      <c r="A181" s="13">
        <v>45516</v>
      </c>
      <c r="B181" s="14" t="s">
        <v>17</v>
      </c>
      <c r="C181" s="14" t="s">
        <v>18</v>
      </c>
      <c r="D181" s="15" t="s">
        <v>40</v>
      </c>
      <c r="E181" s="16"/>
      <c r="F181" s="16"/>
      <c r="G181" s="16"/>
      <c r="H181" s="16"/>
      <c r="I181" s="17"/>
      <c r="J181" s="17"/>
      <c r="K181" s="17">
        <v>85000</v>
      </c>
      <c r="L181" s="17"/>
      <c r="M181" s="17">
        <v>14000</v>
      </c>
      <c r="N181" s="16"/>
      <c r="O181" s="16"/>
    </row>
    <row r="182" spans="1:15">
      <c r="A182" s="13">
        <v>45517</v>
      </c>
      <c r="B182" s="14" t="s">
        <v>17</v>
      </c>
      <c r="C182" s="14" t="s">
        <v>18</v>
      </c>
      <c r="D182" s="15" t="s">
        <v>29</v>
      </c>
      <c r="E182" s="16"/>
      <c r="F182" s="16"/>
      <c r="G182" s="16"/>
      <c r="H182" s="16"/>
      <c r="I182" s="17"/>
      <c r="J182" s="17"/>
      <c r="K182" s="17">
        <v>85000</v>
      </c>
      <c r="L182" s="17"/>
      <c r="M182" s="17">
        <v>14000</v>
      </c>
      <c r="N182" s="16"/>
      <c r="O182" s="16"/>
    </row>
    <row r="183" spans="1:15">
      <c r="A183" s="13">
        <v>45518</v>
      </c>
      <c r="B183" s="14" t="s">
        <v>17</v>
      </c>
      <c r="C183" s="14" t="s">
        <v>18</v>
      </c>
      <c r="D183" s="15" t="s">
        <v>86</v>
      </c>
      <c r="E183" s="16"/>
      <c r="F183" s="16"/>
      <c r="G183" s="16"/>
      <c r="H183" s="16"/>
      <c r="I183" s="17"/>
      <c r="J183" s="17"/>
      <c r="K183" s="17">
        <v>69000</v>
      </c>
      <c r="L183" s="17"/>
      <c r="M183" s="17">
        <v>14000</v>
      </c>
      <c r="N183" s="16"/>
      <c r="O183" s="16"/>
    </row>
    <row r="184" spans="1:15">
      <c r="A184" s="13">
        <v>45519</v>
      </c>
      <c r="B184" s="14" t="s">
        <v>17</v>
      </c>
      <c r="C184" s="14" t="s">
        <v>18</v>
      </c>
      <c r="D184" s="15" t="s">
        <v>40</v>
      </c>
      <c r="E184" s="16"/>
      <c r="F184" s="16"/>
      <c r="G184" s="16"/>
      <c r="H184" s="16"/>
      <c r="I184" s="17"/>
      <c r="J184" s="17"/>
      <c r="K184" s="17">
        <v>85000</v>
      </c>
      <c r="L184" s="17"/>
      <c r="M184" s="17">
        <v>14000</v>
      </c>
      <c r="N184" s="16"/>
      <c r="O184" s="16"/>
    </row>
    <row r="185" spans="1:15">
      <c r="A185" s="13">
        <v>45520</v>
      </c>
      <c r="B185" s="14" t="s">
        <v>17</v>
      </c>
      <c r="C185" s="14" t="s">
        <v>18</v>
      </c>
      <c r="D185" s="15" t="s">
        <v>72</v>
      </c>
      <c r="E185" s="16"/>
      <c r="F185" s="16"/>
      <c r="G185" s="16"/>
      <c r="H185" s="16"/>
      <c r="I185" s="17"/>
      <c r="J185" s="17"/>
      <c r="K185" s="17">
        <v>42500</v>
      </c>
      <c r="L185" s="17"/>
      <c r="M185" s="17">
        <v>14000</v>
      </c>
      <c r="N185" s="16"/>
      <c r="O185" s="16"/>
    </row>
    <row r="186" spans="1:15">
      <c r="A186" s="13">
        <v>45521</v>
      </c>
      <c r="B186" s="14" t="s">
        <v>17</v>
      </c>
      <c r="C186" s="14" t="s">
        <v>18</v>
      </c>
      <c r="D186" s="15"/>
      <c r="E186" s="16"/>
      <c r="F186" s="16"/>
      <c r="G186" s="16"/>
      <c r="H186" s="16"/>
      <c r="I186" s="17"/>
      <c r="J186" s="17"/>
      <c r="K186" s="17"/>
      <c r="L186" s="17"/>
      <c r="M186" s="17"/>
      <c r="N186" s="16"/>
      <c r="O186" s="16"/>
    </row>
    <row r="187" spans="1:15">
      <c r="A187" s="13">
        <v>45522</v>
      </c>
      <c r="B187" s="14" t="s">
        <v>17</v>
      </c>
      <c r="C187" s="14" t="s">
        <v>18</v>
      </c>
      <c r="D187" s="15"/>
      <c r="E187" s="16"/>
      <c r="F187" s="16"/>
      <c r="G187" s="16"/>
      <c r="H187" s="16"/>
      <c r="I187" s="17"/>
      <c r="J187" s="17"/>
      <c r="K187" s="17"/>
      <c r="L187" s="17"/>
      <c r="M187" s="17"/>
      <c r="N187" s="16"/>
      <c r="O187" s="16"/>
    </row>
    <row r="188" spans="1:15">
      <c r="A188" s="13">
        <v>45523</v>
      </c>
      <c r="B188" s="14" t="s">
        <v>17</v>
      </c>
      <c r="C188" s="14" t="s">
        <v>18</v>
      </c>
      <c r="D188" s="15" t="s">
        <v>40</v>
      </c>
      <c r="E188" s="16"/>
      <c r="F188" s="16"/>
      <c r="G188" s="16"/>
      <c r="H188" s="16"/>
      <c r="I188" s="17"/>
      <c r="J188" s="17"/>
      <c r="K188" s="17">
        <v>69000</v>
      </c>
      <c r="L188" s="17"/>
      <c r="M188" s="17">
        <v>14000</v>
      </c>
      <c r="N188" s="16"/>
      <c r="O188" s="16"/>
    </row>
    <row r="189" spans="1:15">
      <c r="A189" s="13">
        <v>45524</v>
      </c>
      <c r="B189" s="14" t="s">
        <v>17</v>
      </c>
      <c r="C189" s="14" t="s">
        <v>18</v>
      </c>
      <c r="D189" s="15" t="s">
        <v>65</v>
      </c>
      <c r="E189" s="16"/>
      <c r="F189" s="16"/>
      <c r="G189" s="16"/>
      <c r="H189" s="16"/>
      <c r="I189" s="17"/>
      <c r="J189" s="17"/>
      <c r="K189" s="17">
        <v>85000</v>
      </c>
      <c r="L189" s="17"/>
      <c r="M189" s="17">
        <v>14000</v>
      </c>
      <c r="N189" s="16"/>
      <c r="O189" s="16"/>
    </row>
    <row r="190" spans="1:15">
      <c r="A190" s="8" t="s">
        <v>96</v>
      </c>
      <c r="B190" s="9"/>
      <c r="C190" s="9"/>
      <c r="D190" s="10"/>
      <c r="E190" s="16"/>
      <c r="F190" s="16"/>
      <c r="G190" s="16"/>
      <c r="H190" s="16"/>
      <c r="I190" s="17">
        <v>1000000</v>
      </c>
      <c r="J190" s="17"/>
      <c r="K190" s="17"/>
      <c r="L190" s="17"/>
      <c r="M190" s="17"/>
      <c r="N190" s="16" t="s">
        <v>97</v>
      </c>
      <c r="O190" s="16" t="s">
        <v>98</v>
      </c>
    </row>
    <row r="191" spans="1:15">
      <c r="A191" s="13">
        <v>45525</v>
      </c>
      <c r="B191" s="14" t="s">
        <v>17</v>
      </c>
      <c r="C191" s="14" t="s">
        <v>18</v>
      </c>
      <c r="D191" s="15" t="s">
        <v>99</v>
      </c>
      <c r="E191" s="16"/>
      <c r="F191" s="16"/>
      <c r="G191" s="16"/>
      <c r="H191" s="16"/>
      <c r="I191" s="17"/>
      <c r="J191" s="17"/>
      <c r="K191" s="17">
        <v>42500</v>
      </c>
      <c r="L191" s="17"/>
      <c r="M191" s="17">
        <v>7000</v>
      </c>
      <c r="N191" s="16"/>
      <c r="O191" s="16"/>
    </row>
    <row r="192" spans="1:15">
      <c r="A192" s="13">
        <v>45526</v>
      </c>
      <c r="B192" s="14" t="s">
        <v>17</v>
      </c>
      <c r="C192" s="14" t="s">
        <v>18</v>
      </c>
      <c r="D192" s="15" t="s">
        <v>100</v>
      </c>
      <c r="E192" s="16"/>
      <c r="F192" s="16"/>
      <c r="G192" s="16"/>
      <c r="H192" s="16"/>
      <c r="I192" s="17"/>
      <c r="J192" s="17"/>
      <c r="K192" s="17">
        <v>17500</v>
      </c>
      <c r="L192" s="17"/>
      <c r="M192" s="17">
        <v>7000</v>
      </c>
      <c r="N192" s="16"/>
      <c r="O192" s="16"/>
    </row>
    <row r="193" spans="1:15">
      <c r="A193" s="13">
        <v>45527</v>
      </c>
      <c r="B193" s="14" t="s">
        <v>17</v>
      </c>
      <c r="C193" s="14" t="s">
        <v>18</v>
      </c>
      <c r="D193" s="15" t="s">
        <v>45</v>
      </c>
      <c r="E193" s="16"/>
      <c r="F193" s="16"/>
      <c r="G193" s="16"/>
      <c r="H193" s="16"/>
      <c r="I193" s="17"/>
      <c r="J193" s="17"/>
      <c r="K193" s="17">
        <v>42500</v>
      </c>
      <c r="L193" s="17"/>
      <c r="M193" s="17">
        <v>7000</v>
      </c>
      <c r="N193" s="16"/>
      <c r="O193" s="16"/>
    </row>
    <row r="194" spans="1:15">
      <c r="A194" s="13">
        <v>45528</v>
      </c>
      <c r="B194" s="14" t="s">
        <v>17</v>
      </c>
      <c r="C194" s="14" t="s">
        <v>18</v>
      </c>
      <c r="D194" s="15" t="s">
        <v>69</v>
      </c>
      <c r="E194" s="16"/>
      <c r="F194" s="16"/>
      <c r="G194" s="16"/>
      <c r="H194" s="16"/>
      <c r="I194" s="17"/>
      <c r="J194" s="17"/>
      <c r="K194" s="17">
        <v>42500</v>
      </c>
      <c r="L194" s="17"/>
      <c r="M194" s="17">
        <v>14000</v>
      </c>
      <c r="N194" s="16"/>
      <c r="O194" s="16"/>
    </row>
    <row r="195" spans="1:15">
      <c r="A195" s="13">
        <v>45529</v>
      </c>
      <c r="B195" s="14" t="s">
        <v>17</v>
      </c>
      <c r="C195" s="14" t="s">
        <v>18</v>
      </c>
      <c r="D195" s="15"/>
      <c r="E195" s="16"/>
      <c r="F195" s="16"/>
      <c r="G195" s="16"/>
      <c r="H195" s="16"/>
      <c r="I195" s="17"/>
      <c r="J195" s="17"/>
      <c r="K195" s="17"/>
      <c r="L195" s="17"/>
      <c r="M195" s="17"/>
      <c r="N195" s="16"/>
      <c r="O195" s="16"/>
    </row>
    <row r="196" spans="1:15">
      <c r="A196" s="13">
        <v>45530</v>
      </c>
      <c r="B196" s="14" t="s">
        <v>17</v>
      </c>
      <c r="C196" s="14" t="s">
        <v>18</v>
      </c>
      <c r="D196" s="15" t="s">
        <v>68</v>
      </c>
      <c r="E196" s="16"/>
      <c r="F196" s="16"/>
      <c r="G196" s="16"/>
      <c r="H196" s="16"/>
      <c r="I196" s="17"/>
      <c r="J196" s="17"/>
      <c r="K196" s="17">
        <v>26500</v>
      </c>
      <c r="L196" s="17"/>
      <c r="M196" s="17">
        <v>7000</v>
      </c>
      <c r="N196" s="16"/>
      <c r="O196" s="16"/>
    </row>
    <row r="197" spans="1:15">
      <c r="A197" s="13">
        <v>45531</v>
      </c>
      <c r="B197" s="14" t="s">
        <v>17</v>
      </c>
      <c r="C197" s="14" t="s">
        <v>18</v>
      </c>
      <c r="D197" s="15" t="s">
        <v>68</v>
      </c>
      <c r="E197" s="16"/>
      <c r="F197" s="16"/>
      <c r="G197" s="16"/>
      <c r="H197" s="16"/>
      <c r="I197" s="17"/>
      <c r="J197" s="17"/>
      <c r="K197" s="17">
        <v>42500</v>
      </c>
      <c r="L197" s="17"/>
      <c r="M197" s="17">
        <v>7000</v>
      </c>
      <c r="N197" s="16"/>
      <c r="O197" s="16"/>
    </row>
    <row r="198" spans="1:15">
      <c r="A198" s="13">
        <v>45532</v>
      </c>
      <c r="B198" s="14" t="s">
        <v>17</v>
      </c>
      <c r="C198" s="14" t="s">
        <v>18</v>
      </c>
      <c r="D198" s="15" t="s">
        <v>29</v>
      </c>
      <c r="E198" s="16"/>
      <c r="F198" s="16"/>
      <c r="G198" s="16"/>
      <c r="H198" s="16"/>
      <c r="I198" s="17"/>
      <c r="J198" s="17"/>
      <c r="K198" s="17">
        <v>85000</v>
      </c>
      <c r="L198" s="17"/>
      <c r="M198" s="17">
        <v>14000</v>
      </c>
      <c r="N198" s="16"/>
      <c r="O198" s="16"/>
    </row>
    <row r="199" spans="1:15">
      <c r="A199" s="13">
        <v>45533</v>
      </c>
      <c r="B199" s="14" t="s">
        <v>17</v>
      </c>
      <c r="C199" s="14" t="s">
        <v>18</v>
      </c>
      <c r="D199" s="15" t="s">
        <v>29</v>
      </c>
      <c r="E199" s="16"/>
      <c r="F199" s="16"/>
      <c r="G199" s="16"/>
      <c r="H199" s="16"/>
      <c r="I199" s="17"/>
      <c r="J199" s="17"/>
      <c r="K199" s="17">
        <v>85000</v>
      </c>
      <c r="L199" s="17"/>
      <c r="M199" s="17">
        <v>14000</v>
      </c>
      <c r="N199" s="16"/>
      <c r="O199" s="16"/>
    </row>
    <row r="200" spans="1:15">
      <c r="A200" s="13">
        <v>45534</v>
      </c>
      <c r="B200" s="14" t="s">
        <v>17</v>
      </c>
      <c r="C200" s="14" t="s">
        <v>18</v>
      </c>
      <c r="D200" s="15" t="s">
        <v>47</v>
      </c>
      <c r="E200" s="16"/>
      <c r="F200" s="16"/>
      <c r="G200" s="16"/>
      <c r="H200" s="16"/>
      <c r="I200" s="17"/>
      <c r="J200" s="17"/>
      <c r="K200" s="17">
        <v>26500</v>
      </c>
      <c r="L200" s="17"/>
      <c r="M200" s="17">
        <v>14000</v>
      </c>
      <c r="N200" s="16"/>
      <c r="O200" s="16"/>
    </row>
    <row r="201" spans="1:15">
      <c r="A201" s="13">
        <v>45535</v>
      </c>
      <c r="B201" s="14" t="s">
        <v>17</v>
      </c>
      <c r="C201" s="14" t="s">
        <v>18</v>
      </c>
      <c r="D201" s="15" t="s">
        <v>40</v>
      </c>
      <c r="E201" s="16"/>
      <c r="F201" s="16"/>
      <c r="G201" s="16"/>
      <c r="H201" s="16"/>
      <c r="I201" s="17"/>
      <c r="J201" s="17"/>
      <c r="K201" s="17">
        <v>85000</v>
      </c>
      <c r="L201" s="17"/>
      <c r="M201" s="17">
        <v>11000</v>
      </c>
      <c r="N201" s="16"/>
      <c r="O201" s="16"/>
    </row>
    <row r="202" spans="1:15">
      <c r="A202" s="8">
        <v>45544</v>
      </c>
      <c r="B202" s="9"/>
      <c r="C202" s="9"/>
      <c r="D202" s="10"/>
      <c r="E202" s="16"/>
      <c r="F202" s="16"/>
      <c r="G202" s="16"/>
      <c r="H202" s="16"/>
      <c r="I202" s="17">
        <v>1000000</v>
      </c>
      <c r="J202" s="17"/>
      <c r="K202" s="17"/>
      <c r="L202" s="17"/>
      <c r="M202" s="17"/>
      <c r="N202" s="16" t="s">
        <v>101</v>
      </c>
      <c r="O202" s="16" t="s">
        <v>102</v>
      </c>
    </row>
    <row r="203" spans="1:15">
      <c r="A203" s="13">
        <v>45538</v>
      </c>
      <c r="B203" s="14" t="s">
        <v>17</v>
      </c>
      <c r="C203" s="14" t="s">
        <v>18</v>
      </c>
      <c r="D203" s="15" t="s">
        <v>29</v>
      </c>
      <c r="E203" s="16"/>
      <c r="F203" s="16"/>
      <c r="G203" s="16"/>
      <c r="H203" s="16"/>
      <c r="I203" s="17"/>
      <c r="J203" s="17"/>
      <c r="K203" s="17">
        <v>85000</v>
      </c>
      <c r="L203" s="17"/>
      <c r="M203" s="17">
        <v>14000</v>
      </c>
      <c r="N203" s="16"/>
      <c r="O203" s="16"/>
    </row>
    <row r="204" spans="1:15">
      <c r="A204" s="13">
        <v>45539</v>
      </c>
      <c r="B204" s="14" t="s">
        <v>17</v>
      </c>
      <c r="C204" s="14" t="s">
        <v>18</v>
      </c>
      <c r="D204" s="15" t="s">
        <v>47</v>
      </c>
      <c r="E204" s="16"/>
      <c r="F204" s="16"/>
      <c r="G204" s="16"/>
      <c r="H204" s="16"/>
      <c r="I204" s="17"/>
      <c r="J204" s="17"/>
      <c r="K204" s="17">
        <v>69000</v>
      </c>
      <c r="L204" s="17"/>
      <c r="M204" s="17">
        <v>14000</v>
      </c>
      <c r="N204" s="16"/>
      <c r="O204" s="16"/>
    </row>
    <row r="205" spans="1:15">
      <c r="A205" s="13">
        <v>45540</v>
      </c>
      <c r="B205" s="14" t="s">
        <v>17</v>
      </c>
      <c r="C205" s="14" t="s">
        <v>18</v>
      </c>
      <c r="D205" s="15" t="s">
        <v>47</v>
      </c>
      <c r="E205" s="16"/>
      <c r="F205" s="16"/>
      <c r="G205" s="16"/>
      <c r="H205" s="16"/>
      <c r="I205" s="17"/>
      <c r="J205" s="17"/>
      <c r="K205" s="17">
        <v>53000</v>
      </c>
      <c r="L205" s="17"/>
      <c r="M205" s="17">
        <v>14000</v>
      </c>
      <c r="N205" s="16"/>
      <c r="O205" s="16"/>
    </row>
    <row r="206" spans="1:15">
      <c r="A206" s="13">
        <v>45541</v>
      </c>
      <c r="B206" s="14" t="s">
        <v>17</v>
      </c>
      <c r="C206" s="14" t="s">
        <v>18</v>
      </c>
      <c r="D206" s="15" t="s">
        <v>40</v>
      </c>
      <c r="E206" s="16"/>
      <c r="F206" s="16"/>
      <c r="G206" s="16"/>
      <c r="H206" s="16"/>
      <c r="I206" s="17"/>
      <c r="J206" s="17"/>
      <c r="K206" s="17">
        <v>85000</v>
      </c>
      <c r="L206" s="17"/>
      <c r="M206" s="17">
        <v>14000</v>
      </c>
      <c r="N206" s="16"/>
      <c r="O206" s="16"/>
    </row>
    <row r="207" spans="1:15">
      <c r="A207" s="13">
        <v>45542</v>
      </c>
      <c r="B207" s="14" t="s">
        <v>17</v>
      </c>
      <c r="C207" s="14" t="s">
        <v>18</v>
      </c>
      <c r="D207" s="15" t="s">
        <v>103</v>
      </c>
      <c r="E207" s="16"/>
      <c r="F207" s="16"/>
      <c r="G207" s="16"/>
      <c r="H207" s="16"/>
      <c r="I207" s="17"/>
      <c r="J207" s="17"/>
      <c r="K207" s="17">
        <v>53000</v>
      </c>
      <c r="L207" s="17"/>
      <c r="M207" s="17">
        <v>14000</v>
      </c>
      <c r="N207" s="16"/>
      <c r="O207" s="16"/>
    </row>
    <row r="208" spans="1:15">
      <c r="A208" s="13">
        <v>45543</v>
      </c>
      <c r="B208" s="14" t="s">
        <v>17</v>
      </c>
      <c r="C208" s="14" t="s">
        <v>18</v>
      </c>
      <c r="D208" s="15"/>
      <c r="E208" s="16"/>
      <c r="F208" s="16"/>
      <c r="G208" s="16"/>
      <c r="H208" s="16"/>
      <c r="I208" s="17"/>
      <c r="J208" s="17"/>
      <c r="K208" s="17"/>
      <c r="L208" s="17"/>
      <c r="M208" s="17"/>
      <c r="N208" s="16"/>
      <c r="O208" s="16"/>
    </row>
    <row r="209" spans="1:15">
      <c r="A209" s="13">
        <v>45544</v>
      </c>
      <c r="B209" s="14" t="s">
        <v>17</v>
      </c>
      <c r="C209" s="14" t="s">
        <v>18</v>
      </c>
      <c r="D209" s="15" t="s">
        <v>40</v>
      </c>
      <c r="E209" s="16"/>
      <c r="F209" s="16"/>
      <c r="G209" s="16"/>
      <c r="H209" s="16"/>
      <c r="I209" s="17"/>
      <c r="J209" s="17"/>
      <c r="K209" s="17">
        <v>75000</v>
      </c>
      <c r="L209" s="17"/>
      <c r="M209" s="17">
        <v>14000</v>
      </c>
      <c r="N209" s="16"/>
      <c r="O209" s="16"/>
    </row>
    <row r="210" spans="1:15">
      <c r="A210" s="13">
        <v>45545</v>
      </c>
      <c r="B210" s="14" t="s">
        <v>17</v>
      </c>
      <c r="C210" s="14" t="s">
        <v>18</v>
      </c>
      <c r="D210" s="15" t="s">
        <v>47</v>
      </c>
      <c r="E210" s="16"/>
      <c r="F210" s="16"/>
      <c r="G210" s="16"/>
      <c r="H210" s="16"/>
      <c r="I210" s="17"/>
      <c r="J210" s="17"/>
      <c r="K210" s="17">
        <v>74500</v>
      </c>
      <c r="L210" s="17"/>
      <c r="M210" s="17">
        <v>14000</v>
      </c>
      <c r="N210" s="16"/>
      <c r="O210" s="16"/>
    </row>
    <row r="211" spans="1:15">
      <c r="A211" s="13">
        <v>45546</v>
      </c>
      <c r="B211" s="14" t="s">
        <v>17</v>
      </c>
      <c r="C211" s="14" t="s">
        <v>18</v>
      </c>
      <c r="D211" s="15" t="s">
        <v>29</v>
      </c>
      <c r="E211" s="16"/>
      <c r="F211" s="16"/>
      <c r="G211" s="16"/>
      <c r="H211" s="16"/>
      <c r="I211" s="17"/>
      <c r="J211" s="17"/>
      <c r="K211" s="17">
        <v>85000</v>
      </c>
      <c r="L211" s="17"/>
      <c r="M211" s="17">
        <v>14000</v>
      </c>
      <c r="N211" s="16"/>
      <c r="O211" s="16"/>
    </row>
    <row r="212" spans="1:15">
      <c r="A212" s="13">
        <v>45547</v>
      </c>
      <c r="B212" s="14" t="s">
        <v>17</v>
      </c>
      <c r="C212" s="14" t="s">
        <v>18</v>
      </c>
      <c r="D212" s="15" t="s">
        <v>68</v>
      </c>
      <c r="E212" s="16"/>
      <c r="F212" s="16"/>
      <c r="G212" s="16"/>
      <c r="H212" s="16"/>
      <c r="I212" s="17"/>
      <c r="J212" s="17"/>
      <c r="K212" s="17">
        <v>42500</v>
      </c>
      <c r="L212" s="17"/>
      <c r="M212" s="17">
        <v>7000</v>
      </c>
      <c r="N212" s="16"/>
      <c r="O212" s="16"/>
    </row>
    <row r="213" spans="1:15">
      <c r="A213" s="13">
        <v>45548</v>
      </c>
      <c r="B213" s="14" t="s">
        <v>17</v>
      </c>
      <c r="C213" s="14" t="s">
        <v>18</v>
      </c>
      <c r="D213" s="15" t="s">
        <v>40</v>
      </c>
      <c r="E213" s="16"/>
      <c r="F213" s="16"/>
      <c r="G213" s="16"/>
      <c r="H213" s="16"/>
      <c r="I213" s="17"/>
      <c r="J213" s="17"/>
      <c r="K213" s="17">
        <v>85000</v>
      </c>
      <c r="L213" s="17"/>
      <c r="M213" s="17">
        <v>14000</v>
      </c>
      <c r="N213" s="16"/>
      <c r="O213" s="16"/>
    </row>
    <row r="214" spans="1:15">
      <c r="A214" s="8">
        <v>45559</v>
      </c>
      <c r="B214" s="9"/>
      <c r="C214" s="9"/>
      <c r="D214" s="10"/>
      <c r="E214" s="16"/>
      <c r="F214" s="16"/>
      <c r="G214" s="16"/>
      <c r="H214" s="16"/>
      <c r="I214" s="17">
        <v>1000000</v>
      </c>
      <c r="J214" s="17"/>
      <c r="K214" s="17"/>
      <c r="L214" s="17"/>
      <c r="M214" s="17"/>
      <c r="N214" s="16" t="s">
        <v>104</v>
      </c>
      <c r="O214" s="16" t="s">
        <v>105</v>
      </c>
    </row>
    <row r="215" spans="1:15">
      <c r="A215" s="13">
        <v>45549</v>
      </c>
      <c r="B215" s="14" t="s">
        <v>17</v>
      </c>
      <c r="C215" s="14" t="s">
        <v>18</v>
      </c>
      <c r="D215" s="15" t="s">
        <v>106</v>
      </c>
      <c r="E215" s="16"/>
      <c r="F215" s="16"/>
      <c r="G215" s="16"/>
      <c r="H215" s="16"/>
      <c r="I215" s="17"/>
      <c r="J215" s="17"/>
      <c r="K215" s="17">
        <v>26500</v>
      </c>
      <c r="L215" s="17"/>
      <c r="M215" s="17">
        <v>11000</v>
      </c>
      <c r="N215" s="16"/>
      <c r="O215" s="16"/>
    </row>
    <row r="216" spans="1:15">
      <c r="A216" s="13">
        <v>45550</v>
      </c>
      <c r="B216" s="14" t="s">
        <v>17</v>
      </c>
      <c r="C216" s="14" t="s">
        <v>18</v>
      </c>
      <c r="D216" s="15"/>
      <c r="E216" s="16"/>
      <c r="F216" s="16"/>
      <c r="G216" s="16"/>
      <c r="H216" s="16"/>
      <c r="I216" s="17"/>
      <c r="J216" s="17"/>
      <c r="K216" s="17"/>
      <c r="L216" s="17"/>
      <c r="M216" s="17"/>
      <c r="N216" s="16"/>
      <c r="O216" s="16"/>
    </row>
    <row r="217" spans="1:15">
      <c r="A217" s="13">
        <v>45551</v>
      </c>
      <c r="B217" s="14" t="s">
        <v>17</v>
      </c>
      <c r="C217" s="14" t="s">
        <v>18</v>
      </c>
      <c r="D217" s="15"/>
      <c r="E217" s="16"/>
      <c r="F217" s="16"/>
      <c r="G217" s="16"/>
      <c r="H217" s="16"/>
      <c r="I217" s="17"/>
      <c r="J217" s="17"/>
      <c r="K217" s="17"/>
      <c r="L217" s="17"/>
      <c r="M217" s="17"/>
      <c r="N217" s="16"/>
      <c r="O217" s="16"/>
    </row>
    <row r="218" spans="1:15">
      <c r="A218" s="13">
        <v>45552</v>
      </c>
      <c r="B218" s="14" t="s">
        <v>17</v>
      </c>
      <c r="C218" s="14" t="s">
        <v>18</v>
      </c>
      <c r="D218" s="15" t="s">
        <v>47</v>
      </c>
      <c r="E218" s="16"/>
      <c r="F218" s="16"/>
      <c r="G218" s="16"/>
      <c r="H218" s="16"/>
      <c r="I218" s="17"/>
      <c r="J218" s="17"/>
      <c r="K218" s="17">
        <v>42500</v>
      </c>
      <c r="L218" s="17"/>
      <c r="M218" s="17">
        <v>14000</v>
      </c>
      <c r="N218" s="16"/>
      <c r="O218" s="16"/>
    </row>
    <row r="219" spans="1:15">
      <c r="A219" s="13">
        <v>45553</v>
      </c>
      <c r="B219" s="14" t="s">
        <v>17</v>
      </c>
      <c r="C219" s="14" t="s">
        <v>18</v>
      </c>
      <c r="D219" s="15" t="s">
        <v>35</v>
      </c>
      <c r="E219" s="16"/>
      <c r="F219" s="16"/>
      <c r="G219" s="16"/>
      <c r="H219" s="16"/>
      <c r="I219" s="17"/>
      <c r="J219" s="17"/>
      <c r="K219" s="17">
        <v>53000</v>
      </c>
      <c r="L219" s="17"/>
      <c r="M219" s="17">
        <v>7000</v>
      </c>
      <c r="N219" s="16"/>
      <c r="O219" s="16"/>
    </row>
    <row r="220" spans="1:15">
      <c r="A220" s="13">
        <v>45554</v>
      </c>
      <c r="B220" s="14" t="s">
        <v>17</v>
      </c>
      <c r="C220" s="14" t="s">
        <v>18</v>
      </c>
      <c r="D220" s="15" t="s">
        <v>40</v>
      </c>
      <c r="E220" s="16"/>
      <c r="F220" s="16"/>
      <c r="G220" s="16"/>
      <c r="H220" s="16"/>
      <c r="I220" s="17"/>
      <c r="J220" s="17"/>
      <c r="K220" s="17">
        <v>85000</v>
      </c>
      <c r="L220" s="17"/>
      <c r="M220" s="17">
        <v>11000</v>
      </c>
      <c r="N220" s="16"/>
      <c r="O220" s="16"/>
    </row>
    <row r="221" spans="1:15">
      <c r="A221" s="13">
        <v>45555</v>
      </c>
      <c r="B221" s="14" t="s">
        <v>17</v>
      </c>
      <c r="C221" s="14" t="s">
        <v>18</v>
      </c>
      <c r="D221" s="15" t="s">
        <v>29</v>
      </c>
      <c r="E221" s="16"/>
      <c r="F221" s="16"/>
      <c r="G221" s="16"/>
      <c r="H221" s="16"/>
      <c r="I221" s="17"/>
      <c r="J221" s="17"/>
      <c r="K221" s="17">
        <v>69000</v>
      </c>
      <c r="L221" s="17"/>
      <c r="M221" s="17">
        <v>11000</v>
      </c>
      <c r="N221" s="16"/>
      <c r="O221" s="16"/>
    </row>
    <row r="222" spans="1:15">
      <c r="A222" s="13">
        <v>45556</v>
      </c>
      <c r="B222" s="14" t="s">
        <v>17</v>
      </c>
      <c r="C222" s="14" t="s">
        <v>18</v>
      </c>
      <c r="D222" s="15" t="s">
        <v>107</v>
      </c>
      <c r="E222" s="16"/>
      <c r="F222" s="16"/>
      <c r="G222" s="16"/>
      <c r="H222" s="16"/>
      <c r="I222" s="17"/>
      <c r="J222" s="17"/>
      <c r="K222" s="17">
        <v>95500</v>
      </c>
      <c r="L222" s="17"/>
      <c r="M222" s="17">
        <v>14000</v>
      </c>
      <c r="N222" s="16"/>
      <c r="O222" s="16"/>
    </row>
    <row r="223" spans="1:15">
      <c r="A223" s="13">
        <v>45557</v>
      </c>
      <c r="B223" s="14" t="s">
        <v>17</v>
      </c>
      <c r="C223" s="14" t="s">
        <v>18</v>
      </c>
      <c r="D223" s="15"/>
      <c r="E223" s="16"/>
      <c r="F223" s="16"/>
      <c r="G223" s="16"/>
      <c r="H223" s="16"/>
      <c r="I223" s="17"/>
      <c r="J223" s="17"/>
      <c r="K223" s="17"/>
      <c r="L223" s="17"/>
      <c r="M223" s="17"/>
      <c r="N223" s="16"/>
      <c r="O223" s="16"/>
    </row>
    <row r="224" spans="1:15">
      <c r="A224" s="13">
        <v>45558</v>
      </c>
      <c r="B224" s="14" t="s">
        <v>17</v>
      </c>
      <c r="C224" s="14" t="s">
        <v>18</v>
      </c>
      <c r="D224" s="15" t="s">
        <v>53</v>
      </c>
      <c r="E224" s="16"/>
      <c r="F224" s="16"/>
      <c r="G224" s="16"/>
      <c r="H224" s="16"/>
      <c r="I224" s="17"/>
      <c r="J224" s="17"/>
      <c r="K224" s="17">
        <v>69000</v>
      </c>
      <c r="L224" s="17"/>
      <c r="M224" s="17">
        <v>11000</v>
      </c>
      <c r="N224" s="16"/>
      <c r="O224" s="16"/>
    </row>
    <row r="225" spans="1:15">
      <c r="A225" s="13">
        <v>45559</v>
      </c>
      <c r="B225" s="14" t="s">
        <v>17</v>
      </c>
      <c r="C225" s="14" t="s">
        <v>18</v>
      </c>
      <c r="D225" s="15" t="s">
        <v>29</v>
      </c>
      <c r="E225" s="16"/>
      <c r="F225" s="16"/>
      <c r="G225" s="16"/>
      <c r="H225" s="16"/>
      <c r="I225" s="17"/>
      <c r="J225" s="17"/>
      <c r="K225" s="17">
        <v>85000</v>
      </c>
      <c r="L225" s="17"/>
      <c r="M225" s="17">
        <v>14000</v>
      </c>
      <c r="N225" s="16"/>
      <c r="O225" s="16"/>
    </row>
    <row r="226" spans="1:15">
      <c r="A226" s="13">
        <v>45560</v>
      </c>
      <c r="B226" s="14" t="s">
        <v>17</v>
      </c>
      <c r="C226" s="14" t="s">
        <v>18</v>
      </c>
      <c r="D226" s="15" t="s">
        <v>40</v>
      </c>
      <c r="E226" s="16"/>
      <c r="F226" s="16"/>
      <c r="G226" s="16"/>
      <c r="H226" s="16"/>
      <c r="I226" s="17"/>
      <c r="J226" s="17"/>
      <c r="K226" s="17">
        <v>42500</v>
      </c>
      <c r="L226" s="17"/>
      <c r="M226" s="17">
        <v>7000</v>
      </c>
      <c r="N226" s="16"/>
      <c r="O226" s="16"/>
    </row>
    <row r="227" spans="1:15">
      <c r="A227" s="13">
        <v>45561</v>
      </c>
      <c r="B227" s="14" t="s">
        <v>17</v>
      </c>
      <c r="C227" s="14" t="s">
        <v>18</v>
      </c>
      <c r="D227" s="15" t="s">
        <v>108</v>
      </c>
      <c r="E227" s="16"/>
      <c r="F227" s="16"/>
      <c r="G227" s="16"/>
      <c r="H227" s="16"/>
      <c r="I227" s="17"/>
      <c r="J227" s="17"/>
      <c r="K227" s="17">
        <v>88500</v>
      </c>
      <c r="L227" s="17"/>
      <c r="M227" s="17">
        <v>11000</v>
      </c>
      <c r="N227" s="16"/>
      <c r="O227" s="16"/>
    </row>
    <row r="228" spans="1:15">
      <c r="A228" s="13">
        <v>45562</v>
      </c>
      <c r="B228" s="14" t="s">
        <v>17</v>
      </c>
      <c r="C228" s="14" t="s">
        <v>18</v>
      </c>
      <c r="D228" s="15" t="s">
        <v>68</v>
      </c>
      <c r="E228" s="16"/>
      <c r="F228" s="16"/>
      <c r="G228" s="16"/>
      <c r="H228" s="16"/>
      <c r="I228" s="17"/>
      <c r="J228" s="17"/>
      <c r="K228" s="17">
        <v>42500</v>
      </c>
      <c r="L228" s="17"/>
      <c r="M228" s="17">
        <v>7000</v>
      </c>
      <c r="N228" s="16"/>
      <c r="O228" s="16"/>
    </row>
    <row r="229" spans="1:15">
      <c r="A229" s="13">
        <v>45563</v>
      </c>
      <c r="B229" s="14" t="s">
        <v>17</v>
      </c>
      <c r="C229" s="14" t="s">
        <v>18</v>
      </c>
      <c r="D229" s="15" t="s">
        <v>40</v>
      </c>
      <c r="E229" s="16"/>
      <c r="F229" s="16"/>
      <c r="G229" s="16"/>
      <c r="H229" s="16"/>
      <c r="I229" s="17"/>
      <c r="J229" s="17"/>
      <c r="K229" s="17">
        <v>85000</v>
      </c>
      <c r="L229" s="17"/>
      <c r="M229" s="17">
        <v>14000</v>
      </c>
      <c r="N229" s="16"/>
      <c r="O229" s="16"/>
    </row>
    <row r="230" spans="1:15">
      <c r="A230" s="13">
        <v>45564</v>
      </c>
      <c r="B230" s="14" t="s">
        <v>17</v>
      </c>
      <c r="C230" s="14" t="s">
        <v>18</v>
      </c>
      <c r="D230" s="15"/>
      <c r="E230" s="16"/>
      <c r="F230" s="16"/>
      <c r="G230" s="16"/>
      <c r="H230" s="16"/>
      <c r="I230" s="17"/>
      <c r="J230" s="17"/>
      <c r="K230" s="17"/>
      <c r="L230" s="17"/>
      <c r="M230" s="17"/>
      <c r="N230" s="16"/>
      <c r="O230" s="16"/>
    </row>
    <row r="231" spans="1:15">
      <c r="A231" s="13">
        <v>45565</v>
      </c>
      <c r="B231" s="14" t="s">
        <v>17</v>
      </c>
      <c r="C231" s="14" t="s">
        <v>18</v>
      </c>
      <c r="D231" s="15"/>
      <c r="E231" s="16"/>
      <c r="F231" s="16"/>
      <c r="G231" s="16"/>
      <c r="H231" s="16"/>
      <c r="I231" s="17"/>
      <c r="J231" s="17"/>
      <c r="K231" s="17"/>
      <c r="L231" s="17"/>
      <c r="M231" s="17"/>
      <c r="N231" s="16"/>
      <c r="O231" s="16"/>
    </row>
    <row r="232" spans="1:15">
      <c r="A232" s="13">
        <v>45566</v>
      </c>
      <c r="B232" s="14" t="s">
        <v>17</v>
      </c>
      <c r="C232" s="14" t="s">
        <v>18</v>
      </c>
      <c r="D232" s="15" t="s">
        <v>40</v>
      </c>
      <c r="E232" s="16"/>
      <c r="F232" s="16"/>
      <c r="G232" s="16"/>
      <c r="H232" s="16"/>
      <c r="I232" s="17"/>
      <c r="J232" s="17"/>
      <c r="K232" s="17">
        <v>85000</v>
      </c>
      <c r="L232" s="17"/>
      <c r="M232" s="17">
        <v>14000</v>
      </c>
      <c r="N232" s="16"/>
      <c r="O232" s="16"/>
    </row>
    <row r="233" spans="1:15">
      <c r="A233" s="8">
        <v>45573</v>
      </c>
      <c r="B233" s="9"/>
      <c r="C233" s="9"/>
      <c r="D233" s="10"/>
      <c r="E233" s="16"/>
      <c r="F233" s="16"/>
      <c r="G233" s="16"/>
      <c r="H233" s="16"/>
      <c r="I233" s="17">
        <v>1000000</v>
      </c>
      <c r="J233" s="17"/>
      <c r="K233" s="17"/>
      <c r="L233" s="17"/>
      <c r="M233" s="17"/>
      <c r="N233" s="16" t="s">
        <v>109</v>
      </c>
      <c r="O233" s="16" t="s">
        <v>110</v>
      </c>
    </row>
    <row r="234" spans="1:15">
      <c r="A234" s="13">
        <v>45567</v>
      </c>
      <c r="B234" s="14" t="s">
        <v>17</v>
      </c>
      <c r="C234" s="14" t="s">
        <v>18</v>
      </c>
      <c r="D234" s="15" t="s">
        <v>47</v>
      </c>
      <c r="E234" s="16"/>
      <c r="F234" s="16"/>
      <c r="G234" s="16"/>
      <c r="H234" s="16"/>
      <c r="I234" s="17"/>
      <c r="J234" s="17"/>
      <c r="K234" s="17">
        <v>42500</v>
      </c>
      <c r="L234" s="17"/>
      <c r="M234" s="17">
        <v>14000</v>
      </c>
      <c r="N234" s="16"/>
      <c r="O234" s="16"/>
    </row>
    <row r="235" spans="1:15">
      <c r="A235" s="13">
        <v>45568</v>
      </c>
      <c r="B235" s="14" t="s">
        <v>17</v>
      </c>
      <c r="C235" s="14" t="s">
        <v>18</v>
      </c>
      <c r="D235" s="15" t="s">
        <v>29</v>
      </c>
      <c r="E235" s="16"/>
      <c r="F235" s="16"/>
      <c r="G235" s="16"/>
      <c r="H235" s="16"/>
      <c r="I235" s="17"/>
      <c r="J235" s="17"/>
      <c r="K235" s="17">
        <v>76000</v>
      </c>
      <c r="L235" s="17"/>
      <c r="M235" s="17">
        <v>14000</v>
      </c>
      <c r="N235" s="16"/>
      <c r="O235" s="16"/>
    </row>
    <row r="236" spans="1:15">
      <c r="A236" s="13">
        <v>45569</v>
      </c>
      <c r="B236" s="14" t="s">
        <v>17</v>
      </c>
      <c r="C236" s="14" t="s">
        <v>18</v>
      </c>
      <c r="D236" s="15" t="s">
        <v>47</v>
      </c>
      <c r="E236" s="16"/>
      <c r="F236" s="16"/>
      <c r="G236" s="16"/>
      <c r="H236" s="16"/>
      <c r="I236" s="17"/>
      <c r="J236" s="17"/>
      <c r="K236" s="17">
        <v>42500</v>
      </c>
      <c r="L236" s="17"/>
      <c r="M236" s="17">
        <v>11000</v>
      </c>
      <c r="N236" s="16"/>
      <c r="O236" s="16"/>
    </row>
    <row r="237" spans="1:15">
      <c r="A237" s="13">
        <v>45570</v>
      </c>
      <c r="B237" s="14" t="s">
        <v>17</v>
      </c>
      <c r="C237" s="14" t="s">
        <v>18</v>
      </c>
      <c r="D237" s="15" t="s">
        <v>64</v>
      </c>
      <c r="E237" s="16"/>
      <c r="F237" s="16"/>
      <c r="G237" s="16"/>
      <c r="H237" s="16"/>
      <c r="I237" s="17"/>
      <c r="J237" s="17"/>
      <c r="K237" s="17">
        <v>53000</v>
      </c>
      <c r="L237" s="17"/>
      <c r="M237" s="17">
        <v>7000</v>
      </c>
      <c r="N237" s="16"/>
      <c r="O237" s="16"/>
    </row>
    <row r="238" spans="1:15">
      <c r="A238" s="13">
        <v>45571</v>
      </c>
      <c r="B238" s="14" t="s">
        <v>17</v>
      </c>
      <c r="C238" s="14" t="s">
        <v>18</v>
      </c>
      <c r="D238" s="15"/>
      <c r="E238" s="16"/>
      <c r="F238" s="16"/>
      <c r="G238" s="16"/>
      <c r="H238" s="16"/>
      <c r="I238" s="17"/>
      <c r="J238" s="17"/>
      <c r="K238" s="17"/>
      <c r="L238" s="17"/>
      <c r="M238" s="17"/>
      <c r="N238" s="16"/>
      <c r="O238" s="16"/>
    </row>
    <row r="239" spans="1:15">
      <c r="A239" s="13">
        <v>45572</v>
      </c>
      <c r="B239" s="14" t="s">
        <v>17</v>
      </c>
      <c r="C239" s="14" t="s">
        <v>18</v>
      </c>
      <c r="D239" s="15" t="s">
        <v>86</v>
      </c>
      <c r="E239" s="16"/>
      <c r="F239" s="16"/>
      <c r="G239" s="16"/>
      <c r="H239" s="16"/>
      <c r="I239" s="17"/>
      <c r="J239" s="17"/>
      <c r="K239" s="17">
        <v>85000</v>
      </c>
      <c r="L239" s="17"/>
      <c r="M239" s="17">
        <v>14000</v>
      </c>
      <c r="N239" s="16"/>
      <c r="O239" s="16"/>
    </row>
    <row r="240" spans="1:15">
      <c r="A240" s="13">
        <v>45573</v>
      </c>
      <c r="B240" s="14" t="s">
        <v>17</v>
      </c>
      <c r="C240" s="14" t="s">
        <v>18</v>
      </c>
      <c r="D240" s="15" t="s">
        <v>72</v>
      </c>
      <c r="E240" s="16"/>
      <c r="F240" s="16"/>
      <c r="G240" s="16"/>
      <c r="H240" s="16"/>
      <c r="I240" s="17"/>
      <c r="J240" s="17"/>
      <c r="K240" s="17">
        <v>42500</v>
      </c>
      <c r="L240" s="17"/>
      <c r="M240" s="17">
        <v>11000</v>
      </c>
      <c r="N240" s="16"/>
      <c r="O240" s="16"/>
    </row>
    <row r="241" spans="1:15">
      <c r="A241" s="13">
        <v>45574</v>
      </c>
      <c r="B241" s="14" t="s">
        <v>17</v>
      </c>
      <c r="C241" s="14" t="s">
        <v>18</v>
      </c>
      <c r="D241" s="15" t="s">
        <v>111</v>
      </c>
      <c r="E241" s="16"/>
      <c r="F241" s="16"/>
      <c r="G241" s="16"/>
      <c r="H241" s="16"/>
      <c r="I241" s="17"/>
      <c r="J241" s="17"/>
      <c r="K241" s="17">
        <v>42500</v>
      </c>
      <c r="L241" s="17"/>
      <c r="M241" s="17">
        <v>7000</v>
      </c>
      <c r="N241" s="16"/>
      <c r="O241" s="16"/>
    </row>
    <row r="242" spans="1:15">
      <c r="A242" s="13">
        <v>45575</v>
      </c>
      <c r="B242" s="14" t="s">
        <v>17</v>
      </c>
      <c r="C242" s="14" t="s">
        <v>18</v>
      </c>
      <c r="D242" s="15" t="s">
        <v>78</v>
      </c>
      <c r="E242" s="16"/>
      <c r="F242" s="16"/>
      <c r="G242" s="16"/>
      <c r="H242" s="16"/>
      <c r="I242" s="17"/>
      <c r="J242" s="17"/>
      <c r="K242" s="17">
        <v>53000</v>
      </c>
      <c r="L242" s="17"/>
      <c r="M242" s="17">
        <v>14000</v>
      </c>
      <c r="N242" s="16"/>
      <c r="O242" s="16"/>
    </row>
    <row r="243" spans="1:15">
      <c r="A243" s="13">
        <v>45576</v>
      </c>
      <c r="B243" s="14" t="s">
        <v>17</v>
      </c>
      <c r="C243" s="14" t="s">
        <v>18</v>
      </c>
      <c r="D243" s="15" t="s">
        <v>112</v>
      </c>
      <c r="E243" s="16"/>
      <c r="F243" s="16"/>
      <c r="G243" s="16"/>
      <c r="H243" s="16"/>
      <c r="I243" s="17"/>
      <c r="J243" s="17"/>
      <c r="K243" s="17">
        <v>85000</v>
      </c>
      <c r="L243" s="17"/>
      <c r="M243" s="17">
        <v>11000</v>
      </c>
      <c r="N243" s="16"/>
      <c r="O243" s="16"/>
    </row>
    <row r="244" spans="1:15">
      <c r="A244" s="8">
        <v>45583</v>
      </c>
      <c r="B244" s="9"/>
      <c r="C244" s="9"/>
      <c r="D244" s="10"/>
      <c r="E244" s="16"/>
      <c r="F244" s="16"/>
      <c r="G244" s="16"/>
      <c r="H244" s="16"/>
      <c r="I244" s="17">
        <v>1000000</v>
      </c>
      <c r="J244" s="17"/>
      <c r="K244" s="17"/>
      <c r="L244" s="17"/>
      <c r="M244" s="17"/>
      <c r="N244" s="16" t="s">
        <v>113</v>
      </c>
      <c r="O244" s="16" t="s">
        <v>114</v>
      </c>
    </row>
    <row r="245" spans="1:15">
      <c r="A245" s="13">
        <v>45577</v>
      </c>
      <c r="B245" s="14" t="s">
        <v>17</v>
      </c>
      <c r="C245" s="14" t="s">
        <v>18</v>
      </c>
      <c r="D245" s="15" t="s">
        <v>86</v>
      </c>
      <c r="E245" s="16"/>
      <c r="F245" s="16"/>
      <c r="G245" s="16"/>
      <c r="H245" s="16"/>
      <c r="I245" s="17"/>
      <c r="J245" s="17"/>
      <c r="K245" s="17">
        <v>85000</v>
      </c>
      <c r="L245" s="17"/>
      <c r="M245" s="17">
        <v>14000</v>
      </c>
      <c r="N245" s="16"/>
      <c r="O245" s="16"/>
    </row>
    <row r="246" spans="1:15">
      <c r="A246" s="13">
        <v>45578</v>
      </c>
      <c r="B246" s="14" t="s">
        <v>17</v>
      </c>
      <c r="C246" s="14" t="s">
        <v>18</v>
      </c>
      <c r="D246" s="15"/>
      <c r="E246" s="16"/>
      <c r="F246" s="16"/>
      <c r="G246" s="16"/>
      <c r="H246" s="16"/>
      <c r="I246" s="17"/>
      <c r="J246" s="17"/>
      <c r="K246" s="17"/>
      <c r="L246" s="17"/>
      <c r="M246" s="17"/>
      <c r="N246" s="16"/>
      <c r="O246" s="16"/>
    </row>
    <row r="247" spans="1:15">
      <c r="A247" s="13">
        <v>45579</v>
      </c>
      <c r="B247" s="14" t="s">
        <v>17</v>
      </c>
      <c r="C247" s="14" t="s">
        <v>18</v>
      </c>
      <c r="D247" s="15" t="s">
        <v>29</v>
      </c>
      <c r="E247" s="16"/>
      <c r="F247" s="16"/>
      <c r="G247" s="16"/>
      <c r="H247" s="16"/>
      <c r="I247" s="17"/>
      <c r="J247" s="17"/>
      <c r="K247" s="17">
        <v>69000</v>
      </c>
      <c r="L247" s="17"/>
      <c r="M247" s="17">
        <v>14000</v>
      </c>
      <c r="N247" s="16"/>
      <c r="O247" s="16"/>
    </row>
    <row r="248" spans="1:15">
      <c r="A248" s="13">
        <v>45580</v>
      </c>
      <c r="B248" s="14" t="s">
        <v>17</v>
      </c>
      <c r="C248" s="14" t="s">
        <v>18</v>
      </c>
      <c r="D248" s="15" t="s">
        <v>115</v>
      </c>
      <c r="E248" s="16"/>
      <c r="F248" s="16"/>
      <c r="G248" s="16"/>
      <c r="H248" s="16"/>
      <c r="I248" s="17"/>
      <c r="J248" s="17"/>
      <c r="K248" s="17">
        <v>42500</v>
      </c>
      <c r="L248" s="17"/>
      <c r="M248" s="17">
        <v>14000</v>
      </c>
      <c r="N248" s="16"/>
      <c r="O248" s="16"/>
    </row>
    <row r="249" spans="1:15">
      <c r="A249" s="18">
        <v>45581</v>
      </c>
      <c r="B249" s="19" t="s">
        <v>17</v>
      </c>
      <c r="C249" s="19" t="s">
        <v>18</v>
      </c>
      <c r="D249" s="20" t="s">
        <v>116</v>
      </c>
      <c r="E249" s="16"/>
      <c r="F249" s="16"/>
      <c r="G249" s="16"/>
      <c r="H249" s="16"/>
      <c r="I249" s="17"/>
      <c r="J249" s="17"/>
      <c r="K249" s="17">
        <v>66000</v>
      </c>
      <c r="L249" s="17"/>
      <c r="M249" s="17">
        <v>14000</v>
      </c>
      <c r="N249" s="16"/>
      <c r="O249" s="16"/>
    </row>
    <row r="250" spans="1:15">
      <c r="A250" s="13">
        <v>45582</v>
      </c>
      <c r="B250" s="14" t="s">
        <v>17</v>
      </c>
      <c r="C250" s="14" t="s">
        <v>18</v>
      </c>
      <c r="D250" s="15" t="s">
        <v>40</v>
      </c>
      <c r="E250" s="16"/>
      <c r="F250" s="16"/>
      <c r="G250" s="16"/>
      <c r="H250" s="16"/>
      <c r="I250" s="17"/>
      <c r="J250" s="17"/>
      <c r="K250" s="17">
        <v>85000</v>
      </c>
      <c r="L250" s="17"/>
      <c r="M250" s="17">
        <v>14000</v>
      </c>
      <c r="N250" s="16"/>
      <c r="O250" s="16"/>
    </row>
    <row r="251" spans="1:15">
      <c r="A251" s="13">
        <v>45583</v>
      </c>
      <c r="B251" s="14" t="s">
        <v>17</v>
      </c>
      <c r="C251" s="14" t="s">
        <v>18</v>
      </c>
      <c r="D251" s="15" t="s">
        <v>29</v>
      </c>
      <c r="E251" s="16"/>
      <c r="F251" s="16"/>
      <c r="G251" s="16"/>
      <c r="H251" s="16"/>
      <c r="I251" s="17"/>
      <c r="J251" s="17"/>
      <c r="K251" s="17">
        <v>69000</v>
      </c>
      <c r="L251" s="17"/>
      <c r="M251" s="17">
        <v>11000</v>
      </c>
      <c r="N251" s="16"/>
      <c r="O251" s="16"/>
    </row>
    <row r="252" spans="1:15">
      <c r="A252" s="13">
        <v>45584</v>
      </c>
      <c r="B252" s="14" t="s">
        <v>17</v>
      </c>
      <c r="C252" s="14" t="s">
        <v>18</v>
      </c>
      <c r="D252" s="15" t="s">
        <v>86</v>
      </c>
      <c r="E252" s="16"/>
      <c r="F252" s="16"/>
      <c r="G252" s="16"/>
      <c r="H252" s="16"/>
      <c r="I252" s="17"/>
      <c r="J252" s="17"/>
      <c r="K252" s="17">
        <v>53000</v>
      </c>
      <c r="L252" s="17"/>
      <c r="M252" s="17">
        <v>11000</v>
      </c>
      <c r="N252" s="16"/>
      <c r="O252" s="16"/>
    </row>
    <row r="253" spans="1:15">
      <c r="A253" s="13">
        <v>45585</v>
      </c>
      <c r="B253" s="14" t="s">
        <v>17</v>
      </c>
      <c r="C253" s="14" t="s">
        <v>18</v>
      </c>
      <c r="D253" s="15"/>
      <c r="E253" s="16"/>
      <c r="F253" s="16"/>
      <c r="G253" s="16"/>
      <c r="H253" s="16"/>
      <c r="I253" s="17"/>
      <c r="J253" s="17"/>
      <c r="K253" s="17"/>
      <c r="L253" s="17"/>
      <c r="M253" s="17"/>
      <c r="N253" s="16"/>
      <c r="O253" s="16"/>
    </row>
    <row r="254" spans="1:15">
      <c r="A254" s="13">
        <v>45586</v>
      </c>
      <c r="B254" s="14" t="s">
        <v>17</v>
      </c>
      <c r="C254" s="14" t="s">
        <v>18</v>
      </c>
      <c r="D254" s="15" t="s">
        <v>29</v>
      </c>
      <c r="E254" s="16"/>
      <c r="F254" s="16"/>
      <c r="G254" s="16"/>
      <c r="H254" s="16"/>
      <c r="I254" s="17"/>
      <c r="J254" s="17"/>
      <c r="K254" s="17">
        <v>85000</v>
      </c>
      <c r="L254" s="17"/>
      <c r="M254" s="17">
        <v>11000</v>
      </c>
      <c r="N254" s="16"/>
      <c r="O254" s="16"/>
    </row>
    <row r="255" spans="1:15">
      <c r="A255" s="8">
        <v>45593</v>
      </c>
      <c r="B255" s="9"/>
      <c r="C255" s="9"/>
      <c r="D255" s="10"/>
      <c r="E255" s="16"/>
      <c r="F255" s="16"/>
      <c r="G255" s="16"/>
      <c r="H255" s="16"/>
      <c r="I255" s="17">
        <v>1000000</v>
      </c>
      <c r="J255" s="17"/>
      <c r="K255" s="17"/>
      <c r="L255" s="17"/>
      <c r="M255" s="17"/>
      <c r="N255" s="16" t="s">
        <v>117</v>
      </c>
      <c r="O255" s="16" t="s">
        <v>118</v>
      </c>
    </row>
    <row r="256" spans="1:15">
      <c r="A256" s="13">
        <v>45587</v>
      </c>
      <c r="B256" s="14" t="s">
        <v>17</v>
      </c>
      <c r="C256" s="14" t="s">
        <v>18</v>
      </c>
      <c r="D256" s="15" t="s">
        <v>69</v>
      </c>
      <c r="E256" s="16"/>
      <c r="F256" s="16"/>
      <c r="G256" s="16"/>
      <c r="H256" s="16"/>
      <c r="I256" s="17"/>
      <c r="J256" s="17"/>
      <c r="K256" s="17">
        <v>85000</v>
      </c>
      <c r="L256" s="17"/>
      <c r="M256" s="17">
        <v>11000</v>
      </c>
      <c r="N256" s="16"/>
      <c r="O256" s="16"/>
    </row>
    <row r="257" spans="1:15">
      <c r="A257" s="13">
        <v>45588</v>
      </c>
      <c r="B257" s="14" t="s">
        <v>17</v>
      </c>
      <c r="C257" s="14" t="s">
        <v>18</v>
      </c>
      <c r="D257" s="15" t="s">
        <v>40</v>
      </c>
      <c r="E257" s="16"/>
      <c r="F257" s="16"/>
      <c r="G257" s="16"/>
      <c r="H257" s="16"/>
      <c r="I257" s="17"/>
      <c r="J257" s="17"/>
      <c r="K257" s="17">
        <v>82000</v>
      </c>
      <c r="L257" s="17"/>
      <c r="M257" s="17">
        <v>11000</v>
      </c>
      <c r="N257" s="16"/>
      <c r="O257" s="16"/>
    </row>
    <row r="258" spans="1:15">
      <c r="A258" s="13">
        <v>45589</v>
      </c>
      <c r="B258" s="14" t="s">
        <v>17</v>
      </c>
      <c r="C258" s="14" t="s">
        <v>18</v>
      </c>
      <c r="D258" s="15"/>
      <c r="E258" s="16"/>
      <c r="F258" s="16"/>
      <c r="G258" s="16"/>
      <c r="H258" s="16"/>
      <c r="I258" s="17"/>
      <c r="J258" s="17"/>
      <c r="K258" s="17"/>
      <c r="L258" s="17"/>
      <c r="M258" s="17"/>
      <c r="N258" s="16"/>
      <c r="O258" s="16"/>
    </row>
    <row r="259" spans="1:15">
      <c r="A259" s="13">
        <v>45590</v>
      </c>
      <c r="B259" s="14" t="s">
        <v>17</v>
      </c>
      <c r="C259" s="14" t="s">
        <v>18</v>
      </c>
      <c r="D259" s="15" t="s">
        <v>119</v>
      </c>
      <c r="E259" s="16"/>
      <c r="F259" s="16"/>
      <c r="G259" s="16"/>
      <c r="H259" s="16"/>
      <c r="I259" s="17"/>
      <c r="J259" s="17"/>
      <c r="K259" s="17">
        <v>69000</v>
      </c>
      <c r="L259" s="17"/>
      <c r="M259" s="17">
        <v>14000</v>
      </c>
      <c r="N259" s="16"/>
      <c r="O259" s="16"/>
    </row>
    <row r="260" spans="1:15">
      <c r="A260" s="18">
        <v>45591</v>
      </c>
      <c r="B260" s="14" t="s">
        <v>17</v>
      </c>
      <c r="C260" s="14" t="s">
        <v>18</v>
      </c>
      <c r="D260" s="15" t="s">
        <v>112</v>
      </c>
      <c r="E260" s="16"/>
      <c r="F260" s="16"/>
      <c r="G260" s="16"/>
      <c r="H260" s="16"/>
      <c r="I260" s="17"/>
      <c r="J260" s="17"/>
      <c r="K260" s="17">
        <v>85000</v>
      </c>
      <c r="L260" s="17"/>
      <c r="M260" s="17">
        <v>14000</v>
      </c>
      <c r="N260" s="16"/>
      <c r="O260" s="16"/>
    </row>
    <row r="261" spans="1:15">
      <c r="A261" s="13">
        <v>45592</v>
      </c>
      <c r="B261" s="14" t="s">
        <v>17</v>
      </c>
      <c r="C261" s="14" t="s">
        <v>18</v>
      </c>
      <c r="D261" s="15"/>
      <c r="E261" s="16"/>
      <c r="F261" s="16"/>
      <c r="G261" s="16"/>
      <c r="H261" s="16"/>
      <c r="I261" s="17"/>
      <c r="J261" s="17"/>
      <c r="K261" s="17"/>
      <c r="L261" s="17"/>
      <c r="M261" s="17"/>
      <c r="N261" s="16"/>
      <c r="O261" s="16"/>
    </row>
    <row r="262" spans="1:15">
      <c r="A262" s="13">
        <v>45593</v>
      </c>
      <c r="B262" s="14" t="s">
        <v>17</v>
      </c>
      <c r="C262" s="14" t="s">
        <v>18</v>
      </c>
      <c r="D262" s="15" t="s">
        <v>120</v>
      </c>
      <c r="E262" s="16"/>
      <c r="F262" s="16"/>
      <c r="G262" s="16"/>
      <c r="H262" s="16"/>
      <c r="I262" s="17"/>
      <c r="J262" s="17"/>
      <c r="K262" s="17">
        <v>85000</v>
      </c>
      <c r="L262" s="17"/>
      <c r="M262" s="17">
        <v>11000</v>
      </c>
      <c r="N262" s="16"/>
      <c r="O262" s="16"/>
    </row>
    <row r="263" spans="1:15">
      <c r="A263" s="13">
        <v>45594</v>
      </c>
      <c r="B263" s="14" t="s">
        <v>17</v>
      </c>
      <c r="C263" s="14" t="s">
        <v>18</v>
      </c>
      <c r="D263" s="15" t="s">
        <v>86</v>
      </c>
      <c r="E263" s="16"/>
      <c r="F263" s="16"/>
      <c r="G263" s="16"/>
      <c r="H263" s="16"/>
      <c r="I263" s="17"/>
      <c r="J263" s="17"/>
      <c r="K263" s="17">
        <v>69000</v>
      </c>
      <c r="L263" s="17"/>
      <c r="M263" s="17">
        <v>14000</v>
      </c>
      <c r="N263" s="16"/>
      <c r="O263" s="16"/>
    </row>
    <row r="264" spans="1:15">
      <c r="A264" s="13">
        <v>45595</v>
      </c>
      <c r="B264" s="14" t="s">
        <v>17</v>
      </c>
      <c r="C264" s="14" t="s">
        <v>18</v>
      </c>
      <c r="D264" s="15" t="s">
        <v>29</v>
      </c>
      <c r="E264" s="16"/>
      <c r="F264" s="16"/>
      <c r="G264" s="16"/>
      <c r="H264" s="16"/>
      <c r="I264" s="17"/>
      <c r="J264" s="17"/>
      <c r="K264" s="17">
        <v>85000</v>
      </c>
      <c r="L264" s="17"/>
      <c r="M264" s="17">
        <v>14000</v>
      </c>
      <c r="N264" s="16"/>
      <c r="O264" s="16"/>
    </row>
    <row r="265" spans="1:15">
      <c r="A265" s="13">
        <v>45596</v>
      </c>
      <c r="B265" s="14" t="s">
        <v>17</v>
      </c>
      <c r="C265" s="14" t="s">
        <v>18</v>
      </c>
      <c r="D265" s="15" t="s">
        <v>69</v>
      </c>
      <c r="E265" s="16"/>
      <c r="F265" s="16"/>
      <c r="G265" s="16"/>
      <c r="H265" s="16"/>
      <c r="I265" s="17"/>
      <c r="J265" s="17"/>
      <c r="K265" s="17">
        <v>26500</v>
      </c>
      <c r="L265" s="17"/>
      <c r="M265" s="17">
        <v>14000</v>
      </c>
      <c r="N265" s="16"/>
      <c r="O265" s="16"/>
    </row>
    <row r="266" spans="1:15">
      <c r="A266" s="8">
        <v>45603</v>
      </c>
      <c r="B266" s="9"/>
      <c r="C266" s="9"/>
      <c r="D266" s="10"/>
      <c r="E266" s="16"/>
      <c r="F266" s="16"/>
      <c r="G266" s="16"/>
      <c r="H266" s="16"/>
      <c r="I266" s="17">
        <v>1000000</v>
      </c>
      <c r="J266" s="17"/>
      <c r="K266" s="17"/>
      <c r="L266" s="17"/>
      <c r="M266" s="17"/>
      <c r="N266" s="16" t="s">
        <v>121</v>
      </c>
      <c r="O266" s="16" t="s">
        <v>122</v>
      </c>
    </row>
    <row r="267" spans="1:15">
      <c r="A267" s="13">
        <v>45597</v>
      </c>
      <c r="B267" s="14" t="s">
        <v>17</v>
      </c>
      <c r="C267" s="14" t="s">
        <v>18</v>
      </c>
      <c r="D267" s="15" t="s">
        <v>120</v>
      </c>
      <c r="E267" s="16"/>
      <c r="F267" s="16"/>
      <c r="G267" s="16"/>
      <c r="H267" s="16"/>
      <c r="I267" s="17"/>
      <c r="J267" s="17"/>
      <c r="K267" s="17">
        <v>85000</v>
      </c>
      <c r="L267" s="17"/>
      <c r="M267" s="17">
        <v>14000</v>
      </c>
      <c r="N267" s="16"/>
      <c r="O267" s="16"/>
    </row>
    <row r="268" spans="1:15">
      <c r="A268" s="13">
        <v>45598</v>
      </c>
      <c r="B268" s="14" t="s">
        <v>17</v>
      </c>
      <c r="C268" s="14" t="s">
        <v>18</v>
      </c>
      <c r="D268" s="15" t="s">
        <v>68</v>
      </c>
      <c r="E268" s="16"/>
      <c r="F268" s="16"/>
      <c r="G268" s="16"/>
      <c r="H268" s="16"/>
      <c r="I268" s="17"/>
      <c r="J268" s="17"/>
      <c r="K268" s="17">
        <v>42500</v>
      </c>
      <c r="L268" s="17"/>
      <c r="M268" s="17">
        <v>7000</v>
      </c>
      <c r="N268" s="16"/>
      <c r="O268" s="16"/>
    </row>
    <row r="269" spans="1:15">
      <c r="A269" s="13">
        <v>45599</v>
      </c>
      <c r="B269" s="14" t="s">
        <v>17</v>
      </c>
      <c r="C269" s="14" t="s">
        <v>18</v>
      </c>
      <c r="D269" s="15"/>
      <c r="E269" s="16"/>
      <c r="F269" s="16"/>
      <c r="G269" s="16"/>
      <c r="H269" s="16"/>
      <c r="I269" s="17"/>
      <c r="J269" s="17"/>
      <c r="K269" s="17"/>
      <c r="L269" s="17"/>
      <c r="M269" s="17"/>
      <c r="N269" s="16"/>
      <c r="O269" s="16"/>
    </row>
    <row r="270" spans="1:15">
      <c r="A270" s="13">
        <v>45600</v>
      </c>
      <c r="B270" s="14" t="s">
        <v>17</v>
      </c>
      <c r="C270" s="14" t="s">
        <v>18</v>
      </c>
      <c r="D270" s="15" t="s">
        <v>29</v>
      </c>
      <c r="E270" s="16"/>
      <c r="F270" s="16"/>
      <c r="G270" s="16"/>
      <c r="H270" s="16"/>
      <c r="I270" s="17"/>
      <c r="J270" s="17"/>
      <c r="K270" s="17">
        <v>85000</v>
      </c>
      <c r="L270" s="17"/>
      <c r="M270" s="17">
        <v>14000</v>
      </c>
      <c r="N270" s="16"/>
      <c r="O270" s="16"/>
    </row>
    <row r="271" spans="1:15">
      <c r="A271" s="13">
        <v>45601</v>
      </c>
      <c r="B271" s="14" t="s">
        <v>17</v>
      </c>
      <c r="C271" s="14" t="s">
        <v>18</v>
      </c>
      <c r="D271" s="15" t="s">
        <v>123</v>
      </c>
      <c r="E271" s="16"/>
      <c r="F271" s="16"/>
      <c r="G271" s="16"/>
      <c r="H271" s="16"/>
      <c r="I271" s="17"/>
      <c r="J271" s="17"/>
      <c r="K271" s="17">
        <v>74500</v>
      </c>
      <c r="L271" s="17"/>
      <c r="M271" s="17">
        <v>14000</v>
      </c>
      <c r="N271" s="16"/>
      <c r="O271" s="16"/>
    </row>
    <row r="272" spans="1:15">
      <c r="A272" s="13">
        <v>45602</v>
      </c>
      <c r="B272" s="14" t="s">
        <v>17</v>
      </c>
      <c r="C272" s="14" t="s">
        <v>18</v>
      </c>
      <c r="D272" s="15" t="s">
        <v>120</v>
      </c>
      <c r="E272" s="16"/>
      <c r="F272" s="16"/>
      <c r="G272" s="16"/>
      <c r="H272" s="16"/>
      <c r="I272" s="17"/>
      <c r="J272" s="17"/>
      <c r="K272" s="17">
        <v>82000</v>
      </c>
      <c r="L272" s="17"/>
      <c r="M272" s="17">
        <v>14000</v>
      </c>
      <c r="N272" s="16"/>
      <c r="O272" s="16"/>
    </row>
    <row r="273" spans="1:15">
      <c r="A273" s="13">
        <v>45603</v>
      </c>
      <c r="B273" s="14" t="s">
        <v>17</v>
      </c>
      <c r="C273" s="14" t="s">
        <v>18</v>
      </c>
      <c r="D273" s="15" t="s">
        <v>86</v>
      </c>
      <c r="E273" s="16"/>
      <c r="F273" s="16"/>
      <c r="G273" s="16"/>
      <c r="H273" s="16"/>
      <c r="I273" s="17"/>
      <c r="J273" s="17"/>
      <c r="K273" s="17">
        <v>69000</v>
      </c>
      <c r="L273" s="17"/>
      <c r="M273" s="17">
        <v>14000</v>
      </c>
      <c r="N273" s="16"/>
      <c r="O273" s="16"/>
    </row>
    <row r="274" spans="1:15">
      <c r="A274" s="13">
        <v>45604</v>
      </c>
      <c r="B274" s="14" t="s">
        <v>17</v>
      </c>
      <c r="C274" s="14" t="s">
        <v>18</v>
      </c>
      <c r="D274" s="15" t="s">
        <v>29</v>
      </c>
      <c r="E274" s="16"/>
      <c r="F274" s="16"/>
      <c r="G274" s="16"/>
      <c r="H274" s="16"/>
      <c r="I274" s="17"/>
      <c r="J274" s="17"/>
      <c r="K274" s="17">
        <v>85000</v>
      </c>
      <c r="L274" s="17"/>
      <c r="M274" s="17">
        <v>14000</v>
      </c>
      <c r="N274" s="16"/>
      <c r="O274" s="16"/>
    </row>
    <row r="275" spans="1:15">
      <c r="A275" s="13">
        <v>45605</v>
      </c>
      <c r="B275" s="14" t="s">
        <v>17</v>
      </c>
      <c r="C275" s="14" t="s">
        <v>18</v>
      </c>
      <c r="D275" s="15" t="s">
        <v>53</v>
      </c>
      <c r="E275" s="16"/>
      <c r="F275" s="16"/>
      <c r="G275" s="16"/>
      <c r="H275" s="16"/>
      <c r="I275" s="17"/>
      <c r="J275" s="17"/>
      <c r="K275" s="17">
        <v>85000</v>
      </c>
      <c r="L275" s="17"/>
      <c r="M275" s="17">
        <v>14000</v>
      </c>
      <c r="N275" s="16"/>
      <c r="O275" s="16"/>
    </row>
    <row r="276" spans="1:15">
      <c r="A276" s="13">
        <v>45606</v>
      </c>
      <c r="B276" s="14" t="s">
        <v>17</v>
      </c>
      <c r="C276" s="14" t="s">
        <v>18</v>
      </c>
      <c r="D276" s="15"/>
      <c r="E276" s="16"/>
      <c r="F276" s="16"/>
      <c r="G276" s="16"/>
      <c r="H276" s="16"/>
      <c r="I276" s="17"/>
      <c r="J276" s="17"/>
      <c r="K276" s="17"/>
      <c r="L276" s="17"/>
      <c r="M276" s="17"/>
      <c r="N276" s="16"/>
      <c r="O276" s="16"/>
    </row>
    <row r="277" spans="1:15">
      <c r="A277" s="8">
        <v>45610</v>
      </c>
      <c r="B277" s="9"/>
      <c r="C277" s="9"/>
      <c r="D277" s="10"/>
      <c r="E277" s="16"/>
      <c r="F277" s="16"/>
      <c r="G277" s="16"/>
      <c r="H277" s="16"/>
      <c r="I277" s="17">
        <v>1000000</v>
      </c>
      <c r="J277" s="17"/>
      <c r="K277" s="17"/>
      <c r="L277" s="17"/>
      <c r="M277" s="17"/>
      <c r="N277" s="16" t="s">
        <v>124</v>
      </c>
      <c r="O277" s="16" t="s">
        <v>125</v>
      </c>
    </row>
    <row r="278" spans="1:15">
      <c r="A278" s="13">
        <v>45608</v>
      </c>
      <c r="B278" s="14" t="s">
        <v>17</v>
      </c>
      <c r="C278" s="14" t="s">
        <v>18</v>
      </c>
      <c r="D278" s="15" t="s">
        <v>126</v>
      </c>
      <c r="E278" s="16"/>
      <c r="F278" s="16"/>
      <c r="G278" s="16"/>
      <c r="H278" s="16"/>
      <c r="I278" s="17"/>
      <c r="J278" s="17"/>
      <c r="K278" s="17">
        <v>69000</v>
      </c>
      <c r="L278" s="17"/>
      <c r="M278" s="17">
        <v>14000</v>
      </c>
      <c r="N278" s="16"/>
      <c r="O278" s="16"/>
    </row>
    <row r="279" spans="1:15">
      <c r="A279" s="13">
        <v>45609</v>
      </c>
      <c r="B279" s="14" t="s">
        <v>17</v>
      </c>
      <c r="C279" s="14" t="s">
        <v>18</v>
      </c>
      <c r="D279" s="15" t="s">
        <v>127</v>
      </c>
      <c r="E279" s="16"/>
      <c r="F279" s="16"/>
      <c r="G279" s="16"/>
      <c r="H279" s="16"/>
      <c r="I279" s="17"/>
      <c r="J279" s="17"/>
      <c r="K279" s="17">
        <v>42500</v>
      </c>
      <c r="L279" s="17"/>
      <c r="M279" s="17">
        <v>14000</v>
      </c>
      <c r="N279" s="16"/>
      <c r="O279" s="16"/>
    </row>
    <row r="280" spans="1:15">
      <c r="A280" s="13">
        <v>45610</v>
      </c>
      <c r="B280" s="14" t="s">
        <v>17</v>
      </c>
      <c r="C280" s="14" t="s">
        <v>18</v>
      </c>
      <c r="D280" s="15" t="s">
        <v>120</v>
      </c>
      <c r="E280" s="16"/>
      <c r="F280" s="16"/>
      <c r="G280" s="16"/>
      <c r="H280" s="16"/>
      <c r="I280" s="17"/>
      <c r="J280" s="17"/>
      <c r="K280" s="17">
        <v>85000</v>
      </c>
      <c r="L280" s="17"/>
      <c r="M280" s="17">
        <v>14000</v>
      </c>
      <c r="N280" s="16"/>
      <c r="O280" s="16"/>
    </row>
    <row r="281" spans="1:15">
      <c r="A281" s="13">
        <v>45611</v>
      </c>
      <c r="B281" s="14" t="s">
        <v>17</v>
      </c>
      <c r="C281" s="14" t="s">
        <v>18</v>
      </c>
      <c r="D281" s="15" t="s">
        <v>128</v>
      </c>
      <c r="E281" s="16"/>
      <c r="F281" s="16"/>
      <c r="G281" s="16"/>
      <c r="H281" s="16"/>
      <c r="I281" s="17"/>
      <c r="J281" s="17"/>
      <c r="K281" s="17">
        <v>85000</v>
      </c>
      <c r="L281" s="17"/>
      <c r="M281" s="17">
        <v>14000</v>
      </c>
      <c r="N281" s="16"/>
      <c r="O281" s="16"/>
    </row>
    <row r="282" spans="1:15">
      <c r="A282" s="13">
        <v>45612</v>
      </c>
      <c r="B282" s="14" t="s">
        <v>17</v>
      </c>
      <c r="C282" s="14" t="s">
        <v>18</v>
      </c>
      <c r="D282" s="15" t="s">
        <v>120</v>
      </c>
      <c r="E282" s="16"/>
      <c r="F282" s="16"/>
      <c r="G282" s="16"/>
      <c r="H282" s="16"/>
      <c r="I282" s="17"/>
      <c r="J282" s="17"/>
      <c r="K282" s="17">
        <v>66000</v>
      </c>
      <c r="L282" s="17"/>
      <c r="M282" s="17">
        <v>14000</v>
      </c>
      <c r="N282" s="16"/>
      <c r="O282" s="16"/>
    </row>
    <row r="283" spans="1:15">
      <c r="A283" s="13">
        <v>45614</v>
      </c>
      <c r="B283" s="14" t="s">
        <v>17</v>
      </c>
      <c r="C283" s="14" t="s">
        <v>18</v>
      </c>
      <c r="D283" s="15" t="s">
        <v>86</v>
      </c>
      <c r="E283" s="16"/>
      <c r="F283" s="16"/>
      <c r="G283" s="16"/>
      <c r="H283" s="16"/>
      <c r="I283" s="17"/>
      <c r="J283" s="17"/>
      <c r="K283" s="17">
        <v>82000</v>
      </c>
      <c r="L283" s="17"/>
      <c r="M283" s="17">
        <v>14000</v>
      </c>
      <c r="N283" s="16"/>
      <c r="O283" s="16"/>
    </row>
    <row r="284" spans="1:15">
      <c r="A284" s="13">
        <v>45615</v>
      </c>
      <c r="B284" s="14" t="s">
        <v>17</v>
      </c>
      <c r="C284" s="14" t="s">
        <v>18</v>
      </c>
      <c r="D284" s="15" t="s">
        <v>120</v>
      </c>
      <c r="E284" s="16"/>
      <c r="F284" s="16"/>
      <c r="G284" s="16"/>
      <c r="H284" s="16"/>
      <c r="I284" s="17"/>
      <c r="J284" s="17"/>
      <c r="K284" s="17">
        <v>85000</v>
      </c>
      <c r="L284" s="17"/>
      <c r="M284" s="17">
        <v>14000</v>
      </c>
      <c r="N284" s="16"/>
      <c r="O284" s="16"/>
    </row>
    <row r="285" spans="1:15">
      <c r="A285" s="13">
        <v>45616</v>
      </c>
      <c r="B285" s="14" t="s">
        <v>17</v>
      </c>
      <c r="C285" s="14" t="s">
        <v>18</v>
      </c>
      <c r="D285" s="15" t="s">
        <v>129</v>
      </c>
      <c r="E285" s="16"/>
      <c r="F285" s="16"/>
      <c r="G285" s="16"/>
      <c r="H285" s="16"/>
      <c r="I285" s="17"/>
      <c r="J285" s="17"/>
      <c r="K285" s="17">
        <v>42500</v>
      </c>
      <c r="L285" s="17"/>
      <c r="M285" s="17">
        <v>14000</v>
      </c>
      <c r="N285" s="16"/>
      <c r="O285" s="16"/>
    </row>
    <row r="286" spans="1:15">
      <c r="A286" s="13">
        <v>45617</v>
      </c>
      <c r="B286" s="14" t="s">
        <v>17</v>
      </c>
      <c r="C286" s="14" t="s">
        <v>18</v>
      </c>
      <c r="D286" s="15" t="s">
        <v>130</v>
      </c>
      <c r="E286" s="16"/>
      <c r="F286" s="16"/>
      <c r="G286" s="16"/>
      <c r="H286" s="16"/>
      <c r="I286" s="17"/>
      <c r="J286" s="17"/>
      <c r="K286" s="17">
        <v>69000</v>
      </c>
      <c r="L286" s="17"/>
      <c r="M286" s="17">
        <v>14000</v>
      </c>
      <c r="N286" s="16"/>
      <c r="O286" s="16"/>
    </row>
    <row r="287" spans="1:15">
      <c r="A287" s="8">
        <v>45621</v>
      </c>
      <c r="B287" s="9"/>
      <c r="C287" s="9"/>
      <c r="D287" s="10"/>
      <c r="E287" s="16"/>
      <c r="F287" s="16"/>
      <c r="G287" s="16"/>
      <c r="H287" s="16"/>
      <c r="I287" s="17">
        <v>1000000</v>
      </c>
      <c r="J287" s="17"/>
      <c r="K287" s="17"/>
      <c r="L287" s="17"/>
      <c r="M287" s="17"/>
      <c r="N287" s="16" t="s">
        <v>131</v>
      </c>
      <c r="O287" s="16" t="s">
        <v>132</v>
      </c>
    </row>
    <row r="288" spans="1:15">
      <c r="A288" s="13">
        <v>45618</v>
      </c>
      <c r="B288" s="14" t="s">
        <v>17</v>
      </c>
      <c r="C288" s="14" t="s">
        <v>18</v>
      </c>
      <c r="D288" s="15" t="s">
        <v>68</v>
      </c>
      <c r="E288" s="16"/>
      <c r="F288" s="16"/>
      <c r="G288" s="16"/>
      <c r="H288" s="16"/>
      <c r="I288" s="17"/>
      <c r="J288" s="17"/>
      <c r="K288" s="17">
        <v>42500</v>
      </c>
      <c r="L288" s="17"/>
      <c r="M288" s="17">
        <v>7000</v>
      </c>
      <c r="N288" s="16"/>
      <c r="O288" s="16"/>
    </row>
    <row r="289" spans="1:15">
      <c r="A289" s="13">
        <v>45619</v>
      </c>
      <c r="B289" s="14" t="s">
        <v>17</v>
      </c>
      <c r="C289" s="14" t="s">
        <v>18</v>
      </c>
      <c r="D289" s="15" t="s">
        <v>126</v>
      </c>
      <c r="E289" s="16"/>
      <c r="F289" s="16"/>
      <c r="G289" s="16"/>
      <c r="H289" s="16"/>
      <c r="I289" s="17"/>
      <c r="J289" s="17"/>
      <c r="K289" s="17">
        <v>85000</v>
      </c>
      <c r="L289" s="17"/>
      <c r="M289" s="17">
        <v>14000</v>
      </c>
      <c r="N289" s="16"/>
      <c r="O289" s="16"/>
    </row>
    <row r="290" spans="1:15">
      <c r="A290" s="24">
        <v>45620</v>
      </c>
      <c r="B290" s="25" t="s">
        <v>133</v>
      </c>
      <c r="C290" s="25"/>
      <c r="D290" s="26"/>
      <c r="E290" s="16"/>
      <c r="F290" s="16"/>
      <c r="G290" s="16"/>
      <c r="H290" s="16"/>
      <c r="I290" s="17"/>
      <c r="J290" s="17"/>
      <c r="K290" s="17"/>
      <c r="L290" s="17"/>
      <c r="M290" s="17"/>
      <c r="N290" s="16"/>
      <c r="O290" s="16"/>
    </row>
    <row r="291" spans="1:15">
      <c r="A291" s="13">
        <v>45621</v>
      </c>
      <c r="B291" s="14" t="s">
        <v>17</v>
      </c>
      <c r="C291" s="14" t="s">
        <v>18</v>
      </c>
      <c r="D291" s="15" t="s">
        <v>86</v>
      </c>
      <c r="E291" s="16"/>
      <c r="F291" s="16"/>
      <c r="G291" s="16"/>
      <c r="H291" s="16"/>
      <c r="I291" s="17"/>
      <c r="J291" s="17"/>
      <c r="K291" s="17">
        <v>85000</v>
      </c>
      <c r="L291" s="17"/>
      <c r="M291" s="17">
        <v>14000</v>
      </c>
      <c r="N291" s="16"/>
      <c r="O291" s="16"/>
    </row>
    <row r="292" spans="1:15">
      <c r="A292" s="13">
        <v>45622</v>
      </c>
      <c r="B292" s="14" t="s">
        <v>17</v>
      </c>
      <c r="C292" s="14" t="s">
        <v>18</v>
      </c>
      <c r="D292" s="15" t="s">
        <v>134</v>
      </c>
      <c r="E292" s="16"/>
      <c r="F292" s="16"/>
      <c r="G292" s="16"/>
      <c r="H292" s="16"/>
      <c r="I292" s="17"/>
      <c r="J292" s="17"/>
      <c r="K292" s="17">
        <v>16000</v>
      </c>
      <c r="L292" s="17"/>
      <c r="M292" s="17">
        <v>7000</v>
      </c>
      <c r="N292" s="16"/>
      <c r="O292" s="16"/>
    </row>
    <row r="293" spans="1:15">
      <c r="A293" s="24">
        <v>45623</v>
      </c>
      <c r="B293" s="25" t="s">
        <v>135</v>
      </c>
      <c r="C293" s="25"/>
      <c r="D293" s="26"/>
      <c r="E293" s="16"/>
      <c r="F293" s="16"/>
      <c r="G293" s="16"/>
      <c r="H293" s="16"/>
      <c r="I293" s="17"/>
      <c r="J293" s="17"/>
      <c r="K293" s="17"/>
      <c r="L293" s="17"/>
      <c r="M293" s="17"/>
      <c r="N293" s="16"/>
      <c r="O293" s="16"/>
    </row>
    <row r="294" spans="1:15">
      <c r="A294" s="13">
        <v>45624</v>
      </c>
      <c r="B294" s="14" t="s">
        <v>17</v>
      </c>
      <c r="C294" s="14" t="s">
        <v>18</v>
      </c>
      <c r="D294" s="15" t="s">
        <v>126</v>
      </c>
      <c r="E294" s="16"/>
      <c r="F294" s="16"/>
      <c r="G294" s="16"/>
      <c r="H294" s="16"/>
      <c r="I294" s="17"/>
      <c r="J294" s="17"/>
      <c r="K294" s="17">
        <v>85000</v>
      </c>
      <c r="L294" s="17"/>
      <c r="M294" s="17">
        <v>14000</v>
      </c>
      <c r="N294" s="16"/>
      <c r="O294" s="16"/>
    </row>
    <row r="295" spans="1:15">
      <c r="A295" s="13">
        <v>45625</v>
      </c>
      <c r="B295" s="14" t="s">
        <v>17</v>
      </c>
      <c r="C295" s="14" t="s">
        <v>18</v>
      </c>
      <c r="D295" s="15" t="s">
        <v>126</v>
      </c>
      <c r="E295" s="16"/>
      <c r="F295" s="16"/>
      <c r="G295" s="16"/>
      <c r="H295" s="16"/>
      <c r="I295" s="17"/>
      <c r="J295" s="17"/>
      <c r="K295" s="17">
        <v>82000</v>
      </c>
      <c r="L295" s="17"/>
      <c r="M295" s="17">
        <v>11000</v>
      </c>
      <c r="N295" s="16"/>
      <c r="O295" s="16"/>
    </row>
    <row r="296" spans="1:15">
      <c r="A296" s="8">
        <v>45628</v>
      </c>
      <c r="B296" s="9"/>
      <c r="C296" s="9"/>
      <c r="D296" s="10"/>
      <c r="E296" s="16"/>
      <c r="F296" s="16"/>
      <c r="G296" s="16"/>
      <c r="H296" s="16"/>
      <c r="I296" s="17">
        <v>1000000</v>
      </c>
      <c r="J296" s="17"/>
      <c r="K296" s="17"/>
      <c r="L296" s="17"/>
      <c r="M296" s="17"/>
      <c r="N296" s="16" t="s">
        <v>136</v>
      </c>
      <c r="O296" s="16" t="s">
        <v>137</v>
      </c>
    </row>
    <row r="297" spans="1:15">
      <c r="A297" s="13">
        <v>45626</v>
      </c>
      <c r="B297" s="14" t="s">
        <v>17</v>
      </c>
      <c r="C297" s="14" t="s">
        <v>18</v>
      </c>
      <c r="D297" s="15" t="s">
        <v>138</v>
      </c>
      <c r="E297" s="16"/>
      <c r="F297" s="16"/>
      <c r="G297" s="16"/>
      <c r="H297" s="16"/>
      <c r="I297" s="17"/>
      <c r="J297" s="17"/>
      <c r="K297" s="17">
        <v>26500</v>
      </c>
      <c r="L297" s="17"/>
      <c r="M297" s="17">
        <v>7000</v>
      </c>
      <c r="N297" s="16"/>
      <c r="O297" s="16"/>
    </row>
    <row r="298" spans="1:15">
      <c r="A298" s="13">
        <v>45627</v>
      </c>
      <c r="B298" s="27" t="s">
        <v>133</v>
      </c>
      <c r="C298" s="14"/>
      <c r="D298" s="15"/>
      <c r="E298" s="16"/>
      <c r="F298" s="16"/>
      <c r="G298" s="16"/>
      <c r="H298" s="16"/>
      <c r="I298" s="17"/>
      <c r="J298" s="17"/>
      <c r="K298" s="17"/>
      <c r="L298" s="17"/>
      <c r="M298" s="17"/>
      <c r="N298" s="16"/>
      <c r="O298" s="16"/>
    </row>
    <row r="299" spans="1:15">
      <c r="A299" s="13">
        <v>45628</v>
      </c>
      <c r="B299" s="14" t="s">
        <v>17</v>
      </c>
      <c r="C299" s="14" t="s">
        <v>18</v>
      </c>
      <c r="D299" s="15" t="s">
        <v>86</v>
      </c>
      <c r="E299" s="16"/>
      <c r="F299" s="16"/>
      <c r="G299" s="16"/>
      <c r="H299" s="16"/>
      <c r="I299" s="17"/>
      <c r="J299" s="17"/>
      <c r="K299" s="17">
        <v>69000</v>
      </c>
      <c r="L299" s="17"/>
      <c r="M299" s="17">
        <v>14000</v>
      </c>
      <c r="N299" s="16"/>
      <c r="O299" s="16"/>
    </row>
    <row r="300" spans="1:15">
      <c r="A300" s="13">
        <v>45629</v>
      </c>
      <c r="B300" s="14" t="s">
        <v>17</v>
      </c>
      <c r="C300" s="14" t="s">
        <v>18</v>
      </c>
      <c r="D300" s="15" t="s">
        <v>139</v>
      </c>
      <c r="E300" s="16"/>
      <c r="F300" s="16"/>
      <c r="G300" s="16"/>
      <c r="H300" s="16"/>
      <c r="I300" s="17"/>
      <c r="J300" s="17"/>
      <c r="K300" s="17">
        <v>85000</v>
      </c>
      <c r="L300" s="17"/>
      <c r="M300" s="17">
        <v>11000</v>
      </c>
      <c r="N300" s="16"/>
      <c r="O300" s="16"/>
    </row>
    <row r="301" spans="1:15">
      <c r="A301" s="13">
        <v>45630</v>
      </c>
      <c r="B301" s="14" t="s">
        <v>17</v>
      </c>
      <c r="C301" s="14" t="s">
        <v>18</v>
      </c>
      <c r="D301" s="15" t="s">
        <v>120</v>
      </c>
      <c r="E301" s="16"/>
      <c r="F301" s="16"/>
      <c r="G301" s="16"/>
      <c r="H301" s="16"/>
      <c r="I301" s="17"/>
      <c r="J301" s="17"/>
      <c r="K301" s="17">
        <v>85000</v>
      </c>
      <c r="L301" s="17"/>
      <c r="M301" s="17">
        <v>14000</v>
      </c>
      <c r="N301" s="16"/>
      <c r="O301" s="16"/>
    </row>
    <row r="302" spans="1:15">
      <c r="A302" s="13">
        <v>45631</v>
      </c>
      <c r="B302" s="14" t="s">
        <v>17</v>
      </c>
      <c r="C302" s="14" t="s">
        <v>18</v>
      </c>
      <c r="D302" s="15" t="s">
        <v>140</v>
      </c>
      <c r="E302" s="16"/>
      <c r="F302" s="16"/>
      <c r="G302" s="16"/>
      <c r="H302" s="16"/>
      <c r="I302" s="17"/>
      <c r="J302" s="17"/>
      <c r="K302" s="17">
        <v>85000</v>
      </c>
      <c r="L302" s="17"/>
      <c r="M302" s="17">
        <v>14000</v>
      </c>
      <c r="N302" s="16"/>
      <c r="O302" s="16"/>
    </row>
    <row r="303" spans="1:15">
      <c r="A303" s="13">
        <v>45632</v>
      </c>
      <c r="B303" s="14" t="s">
        <v>17</v>
      </c>
      <c r="C303" s="14" t="s">
        <v>18</v>
      </c>
      <c r="D303" s="15" t="s">
        <v>141</v>
      </c>
      <c r="E303" s="16"/>
      <c r="F303" s="16"/>
      <c r="G303" s="16"/>
      <c r="H303" s="16"/>
      <c r="I303" s="17"/>
      <c r="J303" s="17"/>
      <c r="K303" s="17">
        <v>62000</v>
      </c>
      <c r="L303" s="17"/>
      <c r="M303" s="17">
        <v>11000</v>
      </c>
      <c r="N303" s="16"/>
      <c r="O303" s="16"/>
    </row>
    <row r="304" spans="1:15">
      <c r="A304" s="8">
        <v>45637</v>
      </c>
      <c r="B304" s="9"/>
      <c r="C304" s="9"/>
      <c r="D304" s="10"/>
      <c r="E304" s="16"/>
      <c r="F304" s="16"/>
      <c r="G304" s="16"/>
      <c r="H304" s="16"/>
      <c r="I304" s="17">
        <v>1000000</v>
      </c>
      <c r="J304" s="17"/>
      <c r="K304" s="17"/>
      <c r="L304" s="17"/>
      <c r="M304" s="17"/>
      <c r="N304" s="16" t="s">
        <v>137</v>
      </c>
      <c r="O304" s="16" t="s">
        <v>142</v>
      </c>
    </row>
    <row r="305" spans="1:15">
      <c r="A305" s="13">
        <v>45633</v>
      </c>
      <c r="B305" s="14" t="s">
        <v>17</v>
      </c>
      <c r="C305" s="14" t="s">
        <v>18</v>
      </c>
      <c r="D305" s="15" t="s">
        <v>143</v>
      </c>
      <c r="E305" s="16"/>
      <c r="F305" s="16"/>
      <c r="G305" s="16"/>
      <c r="H305" s="16"/>
      <c r="I305" s="17"/>
      <c r="J305" s="17"/>
      <c r="K305" s="17">
        <v>42500</v>
      </c>
      <c r="L305" s="17"/>
      <c r="M305" s="17">
        <v>7000</v>
      </c>
      <c r="N305" s="16"/>
      <c r="O305" s="16"/>
    </row>
    <row r="306" spans="1:15">
      <c r="A306" s="13">
        <v>45634</v>
      </c>
      <c r="B306" s="27" t="s">
        <v>133</v>
      </c>
      <c r="C306" s="14"/>
      <c r="D306" s="15"/>
      <c r="E306" s="16"/>
      <c r="F306" s="16"/>
      <c r="G306" s="16"/>
      <c r="H306" s="16"/>
      <c r="I306" s="17"/>
      <c r="J306" s="17"/>
      <c r="K306" s="17"/>
      <c r="L306" s="17"/>
      <c r="M306" s="17"/>
      <c r="N306" s="16"/>
      <c r="O306" s="16"/>
    </row>
    <row r="307" spans="1:15">
      <c r="A307" s="13">
        <v>45635</v>
      </c>
      <c r="B307" s="14" t="s">
        <v>17</v>
      </c>
      <c r="C307" s="14" t="s">
        <v>18</v>
      </c>
      <c r="D307" s="15" t="s">
        <v>144</v>
      </c>
      <c r="E307" s="16"/>
      <c r="F307" s="16"/>
      <c r="G307" s="16"/>
      <c r="H307" s="16"/>
      <c r="I307" s="17"/>
      <c r="J307" s="17"/>
      <c r="K307" s="17">
        <v>74500</v>
      </c>
      <c r="L307" s="17"/>
      <c r="M307" s="17">
        <v>7000</v>
      </c>
      <c r="N307" s="16"/>
      <c r="O307" s="16"/>
    </row>
    <row r="308" spans="1:15">
      <c r="A308" s="13">
        <v>45636</v>
      </c>
      <c r="B308" s="14" t="s">
        <v>17</v>
      </c>
      <c r="C308" s="14" t="s">
        <v>18</v>
      </c>
      <c r="D308" s="15" t="s">
        <v>143</v>
      </c>
      <c r="E308" s="16"/>
      <c r="F308" s="16"/>
      <c r="G308" s="16"/>
      <c r="H308" s="16"/>
      <c r="I308" s="17"/>
      <c r="J308" s="17"/>
      <c r="K308" s="17">
        <v>62000</v>
      </c>
      <c r="L308" s="17"/>
      <c r="M308" s="17">
        <v>7000</v>
      </c>
      <c r="N308" s="16"/>
      <c r="O308" s="16"/>
    </row>
    <row r="309" spans="1:15">
      <c r="A309" s="13">
        <v>45637</v>
      </c>
      <c r="B309" s="14" t="s">
        <v>17</v>
      </c>
      <c r="C309" s="14" t="s">
        <v>18</v>
      </c>
      <c r="D309" s="15" t="s">
        <v>143</v>
      </c>
      <c r="E309" s="16"/>
      <c r="F309" s="16"/>
      <c r="G309" s="16"/>
      <c r="H309" s="16"/>
      <c r="I309" s="17"/>
      <c r="J309" s="17"/>
      <c r="K309" s="17">
        <v>42500</v>
      </c>
      <c r="L309" s="17"/>
      <c r="M309" s="17">
        <v>7000</v>
      </c>
      <c r="N309" s="16"/>
      <c r="O309" s="16"/>
    </row>
    <row r="310" spans="1:15" ht="12.75">
      <c r="A310" s="13">
        <v>45638</v>
      </c>
      <c r="B310" s="14" t="s">
        <v>17</v>
      </c>
      <c r="C310" s="14" t="s">
        <v>18</v>
      </c>
      <c r="D310" s="15" t="s">
        <v>145</v>
      </c>
      <c r="E310" s="16"/>
      <c r="F310" s="16"/>
      <c r="G310" s="16"/>
      <c r="H310" s="16"/>
      <c r="I310" s="17"/>
      <c r="J310" s="17"/>
      <c r="K310" s="17">
        <v>85000</v>
      </c>
      <c r="L310" s="17"/>
      <c r="M310" s="17">
        <v>14000</v>
      </c>
      <c r="N310" s="16"/>
      <c r="O310" s="16"/>
    </row>
    <row r="311" spans="1:15">
      <c r="A311" s="13">
        <v>45639</v>
      </c>
      <c r="B311" s="14" t="s">
        <v>17</v>
      </c>
      <c r="C311" s="14" t="s">
        <v>18</v>
      </c>
      <c r="D311" s="15" t="s">
        <v>126</v>
      </c>
      <c r="E311" s="16"/>
      <c r="F311" s="16"/>
      <c r="G311" s="16"/>
      <c r="H311" s="16"/>
      <c r="I311" s="17"/>
      <c r="J311" s="17"/>
      <c r="K311" s="17">
        <v>85000</v>
      </c>
      <c r="L311" s="17"/>
      <c r="M311" s="17">
        <v>14000</v>
      </c>
      <c r="N311" s="16"/>
      <c r="O311" s="16"/>
    </row>
    <row r="312" spans="1:15">
      <c r="A312" s="13">
        <v>45640</v>
      </c>
      <c r="B312" s="14" t="s">
        <v>17</v>
      </c>
      <c r="C312" s="14" t="s">
        <v>18</v>
      </c>
      <c r="D312" s="15" t="s">
        <v>126</v>
      </c>
      <c r="E312" s="16"/>
      <c r="F312" s="16"/>
      <c r="G312" s="16"/>
      <c r="H312" s="16"/>
      <c r="I312" s="17"/>
      <c r="J312" s="17"/>
      <c r="K312" s="17">
        <v>85000</v>
      </c>
      <c r="L312" s="17"/>
      <c r="M312" s="17">
        <v>14000</v>
      </c>
      <c r="N312" s="16"/>
      <c r="O312" s="16"/>
    </row>
    <row r="313" spans="1:15">
      <c r="A313" s="13">
        <v>45641</v>
      </c>
      <c r="B313" s="14" t="s">
        <v>17</v>
      </c>
      <c r="C313" s="14" t="s">
        <v>18</v>
      </c>
      <c r="D313" s="15" t="s">
        <v>146</v>
      </c>
      <c r="E313" s="16"/>
      <c r="F313" s="16"/>
      <c r="G313" s="16"/>
      <c r="H313" s="16"/>
      <c r="I313" s="17"/>
      <c r="J313" s="17"/>
      <c r="K313" s="17">
        <v>16000</v>
      </c>
      <c r="L313" s="17"/>
      <c r="M313" s="17">
        <v>2000</v>
      </c>
      <c r="N313" s="16"/>
      <c r="O313" s="16"/>
    </row>
    <row r="314" spans="1:15">
      <c r="A314" s="8">
        <v>45645</v>
      </c>
      <c r="B314" s="9"/>
      <c r="C314" s="9"/>
      <c r="D314" s="10"/>
      <c r="E314" s="16"/>
      <c r="F314" s="16"/>
      <c r="G314" s="16"/>
      <c r="H314" s="16"/>
      <c r="I314" s="17">
        <v>1000000</v>
      </c>
      <c r="J314" s="17"/>
      <c r="K314" s="17"/>
      <c r="L314" s="17"/>
      <c r="M314" s="17"/>
      <c r="N314" s="16" t="s">
        <v>147</v>
      </c>
      <c r="O314" s="16" t="s">
        <v>148</v>
      </c>
    </row>
    <row r="315" spans="1:15">
      <c r="A315" s="13">
        <v>45642</v>
      </c>
      <c r="B315" s="14" t="s">
        <v>17</v>
      </c>
      <c r="C315" s="14" t="s">
        <v>18</v>
      </c>
      <c r="D315" s="15" t="s">
        <v>86</v>
      </c>
      <c r="E315" s="16"/>
      <c r="F315" s="16"/>
      <c r="G315" s="16"/>
      <c r="H315" s="16"/>
      <c r="I315" s="17"/>
      <c r="J315" s="17"/>
      <c r="K315" s="17">
        <v>85000</v>
      </c>
      <c r="L315" s="17"/>
      <c r="M315" s="17">
        <v>11000</v>
      </c>
      <c r="N315" s="16"/>
      <c r="O315" s="16"/>
    </row>
    <row r="316" spans="1:15">
      <c r="A316" s="13">
        <v>45643</v>
      </c>
      <c r="B316" s="14" t="s">
        <v>17</v>
      </c>
      <c r="C316" s="14" t="s">
        <v>18</v>
      </c>
      <c r="D316" s="15" t="s">
        <v>60</v>
      </c>
      <c r="E316" s="16"/>
      <c r="F316" s="16"/>
      <c r="G316" s="16"/>
      <c r="H316" s="16"/>
      <c r="I316" s="17"/>
      <c r="J316" s="17"/>
      <c r="K316" s="17">
        <v>74500</v>
      </c>
      <c r="L316" s="17"/>
      <c r="M316" s="17">
        <v>14000</v>
      </c>
      <c r="N316" s="16"/>
      <c r="O316" s="16"/>
    </row>
    <row r="317" spans="1:15">
      <c r="A317" s="13">
        <v>45644</v>
      </c>
      <c r="B317" s="14" t="s">
        <v>17</v>
      </c>
      <c r="C317" s="14" t="s">
        <v>18</v>
      </c>
      <c r="D317" s="15" t="s">
        <v>140</v>
      </c>
      <c r="E317" s="16"/>
      <c r="F317" s="16"/>
      <c r="G317" s="16"/>
      <c r="H317" s="16"/>
      <c r="I317" s="17"/>
      <c r="J317" s="17"/>
      <c r="K317" s="17">
        <v>69000</v>
      </c>
      <c r="L317" s="17"/>
      <c r="M317" s="17">
        <v>14000</v>
      </c>
      <c r="N317" s="16"/>
      <c r="O317" s="16"/>
    </row>
    <row r="318" spans="1:15">
      <c r="A318" s="13">
        <v>45645</v>
      </c>
      <c r="B318" s="28" t="s">
        <v>149</v>
      </c>
      <c r="C318" s="14"/>
      <c r="D318" s="15"/>
      <c r="E318" s="16"/>
      <c r="F318" s="16"/>
      <c r="G318" s="16"/>
      <c r="H318" s="16"/>
      <c r="I318" s="17"/>
      <c r="J318" s="17"/>
      <c r="K318" s="17"/>
      <c r="L318" s="17"/>
      <c r="M318" s="17"/>
      <c r="N318" s="16"/>
      <c r="O318" s="16"/>
    </row>
    <row r="319" spans="1:15">
      <c r="A319" s="13">
        <v>45646</v>
      </c>
      <c r="B319" s="14" t="s">
        <v>17</v>
      </c>
      <c r="C319" s="14" t="s">
        <v>18</v>
      </c>
      <c r="D319" s="15" t="s">
        <v>150</v>
      </c>
      <c r="E319" s="16"/>
      <c r="F319" s="16"/>
      <c r="G319" s="16"/>
      <c r="H319" s="16"/>
      <c r="I319" s="17"/>
      <c r="J319" s="17"/>
      <c r="K319" s="17">
        <v>85000</v>
      </c>
      <c r="L319" s="17"/>
      <c r="M319" s="17">
        <v>14000</v>
      </c>
      <c r="N319" s="16"/>
      <c r="O319" s="16"/>
    </row>
    <row r="320" spans="1:15">
      <c r="A320" s="13">
        <v>45647</v>
      </c>
      <c r="B320" s="14" t="s">
        <v>17</v>
      </c>
      <c r="C320" s="14" t="s">
        <v>18</v>
      </c>
      <c r="D320" s="15" t="s">
        <v>151</v>
      </c>
      <c r="E320" s="16"/>
      <c r="F320" s="16"/>
      <c r="G320" s="16"/>
      <c r="H320" s="16"/>
      <c r="I320" s="17"/>
      <c r="J320" s="17"/>
      <c r="K320" s="17">
        <v>85000</v>
      </c>
      <c r="L320" s="17"/>
      <c r="M320" s="17">
        <v>14000</v>
      </c>
      <c r="N320" s="16"/>
      <c r="O320" s="16"/>
    </row>
    <row r="321" spans="1:15">
      <c r="A321" s="13">
        <v>45648</v>
      </c>
      <c r="B321" s="14" t="s">
        <v>17</v>
      </c>
      <c r="C321" s="14" t="s">
        <v>18</v>
      </c>
      <c r="D321" s="15" t="s">
        <v>146</v>
      </c>
      <c r="E321" s="16"/>
      <c r="F321" s="16"/>
      <c r="G321" s="16"/>
      <c r="H321" s="16"/>
      <c r="I321" s="17"/>
      <c r="J321" s="17"/>
      <c r="K321" s="17"/>
      <c r="L321" s="17"/>
      <c r="M321" s="17">
        <v>7000</v>
      </c>
      <c r="N321" s="16"/>
      <c r="O321" s="16"/>
    </row>
    <row r="322" spans="1:15">
      <c r="A322" s="13">
        <v>45649</v>
      </c>
      <c r="B322" s="14" t="s">
        <v>17</v>
      </c>
      <c r="C322" s="14" t="s">
        <v>18</v>
      </c>
      <c r="D322" s="15" t="s">
        <v>126</v>
      </c>
      <c r="E322" s="16"/>
      <c r="F322" s="16"/>
      <c r="G322" s="16"/>
      <c r="H322" s="16"/>
      <c r="I322" s="17"/>
      <c r="J322" s="17"/>
      <c r="K322" s="17">
        <v>85000</v>
      </c>
      <c r="L322" s="17"/>
      <c r="M322" s="17">
        <v>14000</v>
      </c>
      <c r="N322" s="16"/>
      <c r="O322" s="16"/>
    </row>
    <row r="323" spans="1:15">
      <c r="A323" s="8">
        <v>45652</v>
      </c>
      <c r="B323" s="9"/>
      <c r="C323" s="9"/>
      <c r="D323" s="10"/>
      <c r="E323" s="16"/>
      <c r="F323" s="16"/>
      <c r="G323" s="16"/>
      <c r="H323" s="16"/>
      <c r="I323" s="17">
        <v>1000000</v>
      </c>
      <c r="J323" s="17"/>
      <c r="K323" s="17"/>
      <c r="L323" s="17"/>
      <c r="M323" s="17"/>
      <c r="N323" s="16" t="s">
        <v>152</v>
      </c>
      <c r="O323" s="16" t="s">
        <v>153</v>
      </c>
    </row>
    <row r="324" spans="1:15">
      <c r="A324" s="13">
        <v>45650</v>
      </c>
      <c r="B324" s="14" t="s">
        <v>17</v>
      </c>
      <c r="C324" s="14" t="s">
        <v>18</v>
      </c>
      <c r="D324" s="15" t="s">
        <v>86</v>
      </c>
      <c r="E324" s="16"/>
      <c r="F324" s="16"/>
      <c r="G324" s="16"/>
      <c r="H324" s="16"/>
      <c r="I324" s="17"/>
      <c r="J324" s="17"/>
      <c r="K324" s="17">
        <v>85000</v>
      </c>
      <c r="L324" s="17"/>
      <c r="M324" s="17">
        <v>11000</v>
      </c>
      <c r="N324" s="16"/>
      <c r="O324" s="16"/>
    </row>
    <row r="325" spans="1:15">
      <c r="A325" s="13">
        <v>45651</v>
      </c>
      <c r="B325" s="27" t="s">
        <v>154</v>
      </c>
      <c r="C325" s="16"/>
      <c r="D325" s="15"/>
      <c r="E325" s="16"/>
      <c r="F325" s="16"/>
      <c r="G325" s="16"/>
      <c r="H325" s="16"/>
      <c r="I325" s="17"/>
      <c r="J325" s="17"/>
      <c r="K325" s="17"/>
      <c r="L325" s="17"/>
      <c r="M325" s="17"/>
      <c r="N325" s="16"/>
      <c r="O325" s="16"/>
    </row>
    <row r="326" spans="1:15">
      <c r="A326" s="13">
        <v>45652</v>
      </c>
      <c r="B326" s="14" t="s">
        <v>17</v>
      </c>
      <c r="C326" s="14" t="s">
        <v>18</v>
      </c>
      <c r="D326" s="15" t="s">
        <v>60</v>
      </c>
      <c r="E326" s="16"/>
      <c r="F326" s="16"/>
      <c r="G326" s="16"/>
      <c r="H326" s="16"/>
      <c r="I326" s="17"/>
      <c r="J326" s="17"/>
      <c r="K326" s="17">
        <v>64500</v>
      </c>
      <c r="L326" s="17"/>
      <c r="M326" s="17">
        <v>14000</v>
      </c>
      <c r="N326" s="16"/>
      <c r="O326" s="16"/>
    </row>
    <row r="327" spans="1:15">
      <c r="A327" s="13">
        <v>45653</v>
      </c>
      <c r="B327" s="14" t="s">
        <v>17</v>
      </c>
      <c r="C327" s="14" t="s">
        <v>18</v>
      </c>
      <c r="D327" s="15" t="s">
        <v>155</v>
      </c>
      <c r="E327" s="16"/>
      <c r="F327" s="16"/>
      <c r="G327" s="16"/>
      <c r="H327" s="16"/>
      <c r="I327" s="17"/>
      <c r="J327" s="17"/>
      <c r="K327" s="17">
        <v>69000</v>
      </c>
      <c r="L327" s="17"/>
      <c r="M327" s="17">
        <v>14000</v>
      </c>
      <c r="N327" s="16"/>
      <c r="O327" s="16"/>
    </row>
    <row r="328" spans="1:15">
      <c r="A328" s="13">
        <v>45654</v>
      </c>
      <c r="B328" s="14" t="s">
        <v>17</v>
      </c>
      <c r="C328" s="14" t="s">
        <v>18</v>
      </c>
      <c r="D328" s="15" t="s">
        <v>156</v>
      </c>
      <c r="E328" s="16"/>
      <c r="F328" s="16"/>
      <c r="G328" s="16"/>
      <c r="H328" s="16"/>
      <c r="I328" s="17"/>
      <c r="J328" s="17"/>
      <c r="K328" s="17">
        <v>85000</v>
      </c>
      <c r="L328" s="17"/>
      <c r="M328" s="17">
        <v>14000</v>
      </c>
      <c r="N328" s="16"/>
      <c r="O328" s="16"/>
    </row>
    <row r="329" spans="1:15">
      <c r="A329" s="13">
        <v>45655</v>
      </c>
      <c r="B329" s="27" t="s">
        <v>133</v>
      </c>
      <c r="C329" s="16"/>
      <c r="D329" s="15"/>
      <c r="E329" s="16"/>
      <c r="F329" s="16"/>
      <c r="G329" s="16"/>
      <c r="H329" s="16"/>
      <c r="I329" s="17"/>
      <c r="J329" s="17"/>
      <c r="K329" s="17"/>
      <c r="L329" s="17"/>
      <c r="M329" s="17"/>
      <c r="N329" s="16"/>
      <c r="O329" s="16"/>
    </row>
    <row r="330" spans="1:15">
      <c r="A330" s="13">
        <v>45656</v>
      </c>
      <c r="B330" s="14" t="s">
        <v>17</v>
      </c>
      <c r="C330" s="14" t="s">
        <v>18</v>
      </c>
      <c r="D330" s="15" t="s">
        <v>86</v>
      </c>
      <c r="E330" s="16"/>
      <c r="F330" s="16"/>
      <c r="G330" s="16"/>
      <c r="H330" s="16"/>
      <c r="I330" s="17"/>
      <c r="J330" s="17"/>
      <c r="K330" s="17">
        <v>85000</v>
      </c>
      <c r="L330" s="17"/>
      <c r="M330" s="17">
        <v>14000</v>
      </c>
      <c r="N330" s="16"/>
      <c r="O330" s="16"/>
    </row>
    <row r="331" spans="1:15">
      <c r="A331" s="13">
        <v>45657</v>
      </c>
      <c r="B331" s="14" t="s">
        <v>17</v>
      </c>
      <c r="C331" s="14" t="s">
        <v>18</v>
      </c>
      <c r="D331" s="15" t="s">
        <v>126</v>
      </c>
      <c r="E331" s="16"/>
      <c r="F331" s="16"/>
      <c r="G331" s="16"/>
      <c r="H331" s="16"/>
      <c r="I331" s="17"/>
      <c r="J331" s="17"/>
      <c r="K331" s="17">
        <v>76000</v>
      </c>
      <c r="L331" s="17"/>
      <c r="M331" s="17">
        <v>11000</v>
      </c>
      <c r="N331" s="16"/>
      <c r="O331" s="16"/>
    </row>
    <row r="332" spans="1:15">
      <c r="A332" s="8">
        <v>45664</v>
      </c>
      <c r="B332" s="9"/>
      <c r="C332" s="9"/>
      <c r="D332" s="10"/>
      <c r="E332" s="16"/>
      <c r="F332" s="16"/>
      <c r="G332" s="16"/>
      <c r="H332" s="16"/>
      <c r="I332" s="17">
        <v>1000000</v>
      </c>
      <c r="J332" s="17"/>
      <c r="K332" s="17"/>
      <c r="L332" s="17"/>
      <c r="M332" s="17"/>
      <c r="N332" s="16" t="s">
        <v>157</v>
      </c>
      <c r="O332" s="16" t="s">
        <v>158</v>
      </c>
    </row>
    <row r="333" spans="1:15">
      <c r="A333" s="13">
        <v>45659</v>
      </c>
      <c r="B333" s="14" t="s">
        <v>17</v>
      </c>
      <c r="C333" s="14" t="s">
        <v>18</v>
      </c>
      <c r="D333" s="15" t="s">
        <v>156</v>
      </c>
      <c r="E333" s="16"/>
      <c r="F333" s="16"/>
      <c r="G333" s="16"/>
      <c r="H333" s="16"/>
      <c r="I333" s="17"/>
      <c r="J333" s="17"/>
      <c r="K333" s="17">
        <v>69000</v>
      </c>
      <c r="L333" s="17"/>
      <c r="M333" s="17">
        <v>14000</v>
      </c>
      <c r="N333" s="16"/>
      <c r="O333" s="16"/>
    </row>
    <row r="334" spans="1:15">
      <c r="A334" s="13">
        <v>45660</v>
      </c>
      <c r="B334" s="14" t="s">
        <v>17</v>
      </c>
      <c r="C334" s="14" t="s">
        <v>18</v>
      </c>
      <c r="D334" s="15" t="s">
        <v>60</v>
      </c>
      <c r="E334" s="16"/>
      <c r="F334" s="16"/>
      <c r="G334" s="16"/>
      <c r="H334" s="16"/>
      <c r="I334" s="17"/>
      <c r="J334" s="17"/>
      <c r="K334" s="17">
        <v>71500</v>
      </c>
      <c r="L334" s="17"/>
      <c r="M334" s="17">
        <v>14000</v>
      </c>
      <c r="N334" s="16"/>
      <c r="O334" s="16"/>
    </row>
    <row r="335" spans="1:15">
      <c r="A335" s="13">
        <v>45661</v>
      </c>
      <c r="B335" s="14" t="s">
        <v>17</v>
      </c>
      <c r="C335" s="14" t="s">
        <v>18</v>
      </c>
      <c r="D335" s="15" t="s">
        <v>68</v>
      </c>
      <c r="E335" s="16"/>
      <c r="F335" s="16"/>
      <c r="G335" s="16"/>
      <c r="H335" s="16"/>
      <c r="I335" s="17"/>
      <c r="J335" s="17"/>
      <c r="K335" s="17">
        <v>42500</v>
      </c>
      <c r="L335" s="17"/>
      <c r="M335" s="17">
        <v>7000</v>
      </c>
      <c r="N335" s="16"/>
      <c r="O335" s="16"/>
    </row>
    <row r="336" spans="1:15">
      <c r="A336" s="13">
        <v>45662</v>
      </c>
      <c r="B336" s="27" t="s">
        <v>133</v>
      </c>
      <c r="C336" s="14"/>
      <c r="D336" s="15"/>
      <c r="E336" s="16"/>
      <c r="F336" s="16"/>
      <c r="G336" s="16"/>
      <c r="H336" s="16"/>
      <c r="I336" s="17"/>
      <c r="J336" s="17"/>
      <c r="K336" s="17"/>
      <c r="L336" s="17"/>
      <c r="M336" s="17"/>
      <c r="N336" s="16"/>
      <c r="O336" s="16"/>
    </row>
    <row r="337" spans="1:15">
      <c r="A337" s="13">
        <v>45663</v>
      </c>
      <c r="B337" s="14" t="s">
        <v>17</v>
      </c>
      <c r="C337" s="14" t="s">
        <v>18</v>
      </c>
      <c r="D337" s="15" t="s">
        <v>126</v>
      </c>
      <c r="E337" s="16"/>
      <c r="F337" s="16"/>
      <c r="G337" s="16"/>
      <c r="H337" s="16"/>
      <c r="I337" s="17"/>
      <c r="J337" s="17"/>
      <c r="K337" s="17">
        <v>69000</v>
      </c>
      <c r="L337" s="17"/>
      <c r="M337" s="17">
        <v>14000</v>
      </c>
      <c r="N337" s="16"/>
      <c r="O337" s="16"/>
    </row>
    <row r="338" spans="1:15">
      <c r="A338" s="13">
        <v>45664</v>
      </c>
      <c r="B338" s="27" t="s">
        <v>159</v>
      </c>
      <c r="C338" s="16"/>
      <c r="D338" s="15"/>
      <c r="E338" s="16"/>
      <c r="F338" s="16"/>
      <c r="G338" s="16"/>
      <c r="H338" s="16"/>
      <c r="I338" s="17"/>
      <c r="J338" s="17"/>
      <c r="K338" s="17"/>
      <c r="L338" s="17"/>
      <c r="M338" s="17"/>
      <c r="N338" s="16"/>
      <c r="O338" s="16"/>
    </row>
    <row r="339" spans="1:15">
      <c r="A339" s="13">
        <v>45665</v>
      </c>
      <c r="B339" s="14" t="s">
        <v>17</v>
      </c>
      <c r="C339" s="14" t="s">
        <v>18</v>
      </c>
      <c r="D339" s="15" t="s">
        <v>156</v>
      </c>
      <c r="E339" s="16"/>
      <c r="F339" s="16"/>
      <c r="G339" s="16"/>
      <c r="H339" s="16"/>
      <c r="I339" s="17"/>
      <c r="J339" s="17"/>
      <c r="K339" s="17">
        <v>85000</v>
      </c>
      <c r="L339" s="17"/>
      <c r="M339" s="17">
        <v>14000</v>
      </c>
      <c r="N339" s="16"/>
      <c r="O339" s="16"/>
    </row>
    <row r="340" spans="1:15">
      <c r="A340" s="13">
        <v>45666</v>
      </c>
      <c r="B340" s="14" t="s">
        <v>17</v>
      </c>
      <c r="C340" s="14" t="s">
        <v>18</v>
      </c>
      <c r="D340" s="15" t="s">
        <v>86</v>
      </c>
      <c r="E340" s="16"/>
      <c r="F340" s="16"/>
      <c r="G340" s="16"/>
      <c r="H340" s="16"/>
      <c r="I340" s="17"/>
      <c r="J340" s="17"/>
      <c r="K340" s="17">
        <v>85000</v>
      </c>
      <c r="L340" s="17"/>
      <c r="M340" s="17">
        <v>14000</v>
      </c>
      <c r="N340" s="16"/>
      <c r="O340" s="16"/>
    </row>
    <row r="341" spans="1:15">
      <c r="A341" s="8">
        <v>45670</v>
      </c>
      <c r="B341" s="9"/>
      <c r="C341" s="9"/>
      <c r="D341" s="10"/>
      <c r="E341" s="16"/>
      <c r="F341" s="16"/>
      <c r="G341" s="16"/>
      <c r="H341" s="16"/>
      <c r="I341" s="17">
        <v>1000000</v>
      </c>
      <c r="J341" s="17"/>
      <c r="K341" s="17"/>
      <c r="L341" s="17"/>
      <c r="M341" s="17"/>
      <c r="N341" s="16" t="s">
        <v>160</v>
      </c>
      <c r="O341" s="16" t="s">
        <v>161</v>
      </c>
    </row>
    <row r="342" spans="1:15">
      <c r="A342" s="13">
        <v>45667</v>
      </c>
      <c r="B342" s="14" t="s">
        <v>17</v>
      </c>
      <c r="C342" s="14" t="s">
        <v>18</v>
      </c>
      <c r="D342" s="15" t="s">
        <v>126</v>
      </c>
      <c r="E342" s="16"/>
      <c r="F342" s="16"/>
      <c r="G342" s="16"/>
      <c r="H342" s="16"/>
      <c r="I342" s="17"/>
      <c r="J342" s="17"/>
      <c r="K342" s="17">
        <v>85000</v>
      </c>
      <c r="L342" s="17"/>
      <c r="M342" s="17">
        <v>14000</v>
      </c>
      <c r="N342" s="16"/>
      <c r="O342" s="16"/>
    </row>
    <row r="343" spans="1:15">
      <c r="A343" s="13">
        <v>45668</v>
      </c>
      <c r="B343" s="14" t="s">
        <v>17</v>
      </c>
      <c r="C343" s="14" t="s">
        <v>18</v>
      </c>
      <c r="D343" s="15" t="s">
        <v>126</v>
      </c>
      <c r="E343" s="16"/>
      <c r="F343" s="16"/>
      <c r="G343" s="16"/>
      <c r="H343" s="16"/>
      <c r="I343" s="17"/>
      <c r="J343" s="17"/>
      <c r="K343" s="17">
        <v>85000</v>
      </c>
      <c r="L343" s="17"/>
      <c r="M343" s="17">
        <v>14000</v>
      </c>
      <c r="N343" s="16"/>
      <c r="O343" s="16"/>
    </row>
    <row r="344" spans="1:15">
      <c r="A344" s="13">
        <v>45669</v>
      </c>
      <c r="B344" s="14" t="s">
        <v>17</v>
      </c>
      <c r="C344" s="14" t="s">
        <v>18</v>
      </c>
      <c r="D344" s="15" t="s">
        <v>162</v>
      </c>
      <c r="E344" s="16"/>
      <c r="F344" s="16"/>
      <c r="G344" s="16"/>
      <c r="H344" s="16"/>
      <c r="I344" s="17"/>
      <c r="J344" s="17"/>
      <c r="K344" s="17">
        <v>16000</v>
      </c>
      <c r="L344" s="17"/>
      <c r="M344" s="17">
        <v>7000</v>
      </c>
      <c r="N344" s="16"/>
      <c r="O344" s="16"/>
    </row>
    <row r="345" spans="1:15">
      <c r="A345" s="13">
        <v>45670</v>
      </c>
      <c r="B345" s="14" t="s">
        <v>17</v>
      </c>
      <c r="C345" s="14" t="s">
        <v>18</v>
      </c>
      <c r="D345" s="15" t="s">
        <v>68</v>
      </c>
      <c r="E345" s="16"/>
      <c r="F345" s="16"/>
      <c r="G345" s="16"/>
      <c r="H345" s="16"/>
      <c r="I345" s="17"/>
      <c r="J345" s="17"/>
      <c r="K345" s="17">
        <v>85000</v>
      </c>
      <c r="L345" s="17"/>
      <c r="M345" s="17">
        <v>14000</v>
      </c>
      <c r="N345" s="16"/>
      <c r="O345" s="16"/>
    </row>
    <row r="346" spans="1:15">
      <c r="A346" s="13">
        <v>45671</v>
      </c>
      <c r="B346" s="14" t="s">
        <v>17</v>
      </c>
      <c r="C346" s="14" t="s">
        <v>18</v>
      </c>
      <c r="D346" s="15" t="s">
        <v>126</v>
      </c>
      <c r="E346" s="16"/>
      <c r="F346" s="16"/>
      <c r="G346" s="16"/>
      <c r="H346" s="16"/>
      <c r="I346" s="17"/>
      <c r="J346" s="17"/>
      <c r="K346" s="17">
        <v>85000</v>
      </c>
      <c r="L346" s="17"/>
      <c r="M346" s="17">
        <v>14000</v>
      </c>
      <c r="N346" s="16"/>
      <c r="O346" s="16"/>
    </row>
    <row r="347" spans="1:15">
      <c r="A347" s="13">
        <v>45672</v>
      </c>
      <c r="B347" s="14" t="s">
        <v>17</v>
      </c>
      <c r="C347" s="14" t="s">
        <v>18</v>
      </c>
      <c r="D347" s="15" t="s">
        <v>163</v>
      </c>
      <c r="E347" s="16"/>
      <c r="F347" s="16"/>
      <c r="G347" s="16"/>
      <c r="H347" s="16"/>
      <c r="I347" s="17"/>
      <c r="J347" s="17"/>
      <c r="K347" s="17">
        <v>69000</v>
      </c>
      <c r="L347" s="17"/>
      <c r="M347" s="17">
        <v>14000</v>
      </c>
      <c r="N347" s="16"/>
      <c r="O347" s="16"/>
    </row>
    <row r="348" spans="1:15">
      <c r="A348" s="13">
        <v>45673</v>
      </c>
      <c r="B348" s="14" t="s">
        <v>17</v>
      </c>
      <c r="C348" s="14" t="s">
        <v>18</v>
      </c>
      <c r="D348" s="15" t="s">
        <v>164</v>
      </c>
      <c r="E348" s="16"/>
      <c r="F348" s="16"/>
      <c r="G348" s="16"/>
      <c r="H348" s="16"/>
      <c r="I348" s="17"/>
      <c r="J348" s="17"/>
      <c r="K348" s="17">
        <v>85000</v>
      </c>
      <c r="L348" s="17"/>
      <c r="M348" s="17">
        <v>14000</v>
      </c>
      <c r="N348" s="16"/>
      <c r="O348" s="16"/>
    </row>
    <row r="349" spans="1:15">
      <c r="A349" s="13">
        <v>45674</v>
      </c>
      <c r="B349" s="14" t="s">
        <v>17</v>
      </c>
      <c r="C349" s="14" t="s">
        <v>18</v>
      </c>
      <c r="D349" s="15" t="s">
        <v>45</v>
      </c>
      <c r="E349" s="16"/>
      <c r="F349" s="16"/>
      <c r="G349" s="16"/>
      <c r="H349" s="16"/>
      <c r="I349" s="17"/>
      <c r="J349" s="17"/>
      <c r="K349" s="17">
        <v>42500</v>
      </c>
      <c r="L349" s="17"/>
      <c r="M349" s="17">
        <v>7000</v>
      </c>
      <c r="N349" s="16"/>
      <c r="O349" s="16"/>
    </row>
    <row r="350" spans="1:15">
      <c r="A350" s="13">
        <v>45675</v>
      </c>
      <c r="B350" s="14" t="s">
        <v>17</v>
      </c>
      <c r="C350" s="14" t="s">
        <v>18</v>
      </c>
      <c r="D350" s="15" t="s">
        <v>165</v>
      </c>
      <c r="E350" s="16"/>
      <c r="F350" s="16"/>
      <c r="G350" s="16"/>
      <c r="H350" s="16"/>
      <c r="I350" s="17"/>
      <c r="J350" s="17"/>
      <c r="K350" s="17">
        <v>85000</v>
      </c>
      <c r="L350" s="17"/>
      <c r="M350" s="17">
        <v>14000</v>
      </c>
      <c r="N350" s="16"/>
      <c r="O350" s="16"/>
    </row>
    <row r="351" spans="1:15">
      <c r="A351" s="13">
        <v>45676</v>
      </c>
      <c r="B351" s="14" t="s">
        <v>17</v>
      </c>
      <c r="C351" s="14" t="s">
        <v>18</v>
      </c>
      <c r="D351" s="15" t="s">
        <v>162</v>
      </c>
      <c r="E351" s="16"/>
      <c r="F351" s="16"/>
      <c r="G351" s="16"/>
      <c r="H351" s="16"/>
      <c r="I351" s="17"/>
      <c r="J351" s="17"/>
      <c r="K351" s="17"/>
      <c r="L351" s="17"/>
      <c r="M351" s="17">
        <v>7000</v>
      </c>
      <c r="N351" s="16"/>
      <c r="O351" s="16"/>
    </row>
    <row r="352" spans="1:15">
      <c r="A352" s="8">
        <v>45679</v>
      </c>
      <c r="B352" s="9"/>
      <c r="C352" s="9"/>
      <c r="D352" s="10"/>
      <c r="E352" s="16"/>
      <c r="F352" s="16"/>
      <c r="G352" s="16"/>
      <c r="H352" s="16"/>
      <c r="I352" s="17">
        <v>1000000</v>
      </c>
      <c r="J352" s="17"/>
      <c r="K352" s="17"/>
      <c r="L352" s="17"/>
      <c r="M352" s="17"/>
      <c r="N352" s="16" t="s">
        <v>166</v>
      </c>
      <c r="O352" s="16" t="s">
        <v>167</v>
      </c>
    </row>
    <row r="353" spans="1:15">
      <c r="A353" s="13">
        <v>45677</v>
      </c>
      <c r="B353" s="14" t="s">
        <v>17</v>
      </c>
      <c r="C353" s="14" t="s">
        <v>18</v>
      </c>
      <c r="D353" s="15" t="s">
        <v>164</v>
      </c>
      <c r="E353" s="16"/>
      <c r="F353" s="16"/>
      <c r="G353" s="16"/>
      <c r="H353" s="16"/>
      <c r="I353" s="17"/>
      <c r="J353" s="17"/>
      <c r="K353" s="17">
        <v>85000</v>
      </c>
      <c r="L353" s="17"/>
      <c r="M353" s="17">
        <v>14000</v>
      </c>
      <c r="N353" s="16"/>
      <c r="O353" s="16"/>
    </row>
    <row r="354" spans="1:15">
      <c r="A354" s="13">
        <v>45678</v>
      </c>
      <c r="B354" s="14" t="s">
        <v>17</v>
      </c>
      <c r="C354" s="14" t="s">
        <v>18</v>
      </c>
      <c r="D354" s="15" t="s">
        <v>45</v>
      </c>
      <c r="E354" s="16"/>
      <c r="F354" s="16"/>
      <c r="G354" s="16"/>
      <c r="H354" s="16"/>
      <c r="I354" s="17"/>
      <c r="J354" s="17"/>
      <c r="K354" s="17">
        <v>39500</v>
      </c>
      <c r="L354" s="17"/>
      <c r="M354" s="17">
        <v>4000</v>
      </c>
      <c r="N354" s="16"/>
      <c r="O354" s="16"/>
    </row>
    <row r="355" spans="1:15">
      <c r="A355" s="13">
        <v>45679</v>
      </c>
      <c r="B355" s="14" t="s">
        <v>17</v>
      </c>
      <c r="C355" s="14" t="s">
        <v>18</v>
      </c>
      <c r="D355" s="15" t="s">
        <v>165</v>
      </c>
      <c r="E355" s="16"/>
      <c r="F355" s="16"/>
      <c r="G355" s="16"/>
      <c r="H355" s="16"/>
      <c r="I355" s="17"/>
      <c r="J355" s="17"/>
      <c r="K355" s="17">
        <v>85000</v>
      </c>
      <c r="L355" s="17"/>
      <c r="M355" s="17">
        <v>14000</v>
      </c>
      <c r="N355" s="16"/>
      <c r="O355" s="16"/>
    </row>
    <row r="356" spans="1:15">
      <c r="A356" s="13">
        <v>45680</v>
      </c>
      <c r="B356" s="14" t="s">
        <v>17</v>
      </c>
      <c r="C356" s="14" t="s">
        <v>18</v>
      </c>
      <c r="D356" s="15" t="s">
        <v>168</v>
      </c>
      <c r="E356" s="16"/>
      <c r="F356" s="16"/>
      <c r="G356" s="16"/>
      <c r="H356" s="16"/>
      <c r="I356" s="17"/>
      <c r="J356" s="17"/>
      <c r="K356" s="17">
        <v>69000</v>
      </c>
      <c r="L356" s="17"/>
      <c r="M356" s="17">
        <v>14000</v>
      </c>
      <c r="N356" s="16"/>
      <c r="O356" s="16"/>
    </row>
    <row r="357" spans="1:15">
      <c r="A357" s="13">
        <v>45681</v>
      </c>
      <c r="B357" s="14" t="s">
        <v>17</v>
      </c>
      <c r="C357" s="14" t="s">
        <v>18</v>
      </c>
      <c r="D357" s="15" t="s">
        <v>126</v>
      </c>
      <c r="E357" s="16"/>
      <c r="F357" s="16"/>
      <c r="G357" s="16"/>
      <c r="H357" s="16"/>
      <c r="I357" s="17"/>
      <c r="J357" s="17"/>
      <c r="K357" s="17">
        <v>85000</v>
      </c>
      <c r="L357" s="17"/>
      <c r="M357" s="17">
        <v>14000</v>
      </c>
      <c r="N357" s="16"/>
      <c r="O357" s="16"/>
    </row>
    <row r="358" spans="1:15">
      <c r="A358" s="13">
        <v>45682</v>
      </c>
      <c r="B358" s="14" t="s">
        <v>17</v>
      </c>
      <c r="C358" s="14" t="s">
        <v>18</v>
      </c>
      <c r="D358" s="15" t="s">
        <v>164</v>
      </c>
      <c r="E358" s="16"/>
      <c r="F358" s="16"/>
      <c r="G358" s="16"/>
      <c r="H358" s="16"/>
      <c r="I358" s="17"/>
      <c r="J358" s="17"/>
      <c r="K358" s="17">
        <v>85000</v>
      </c>
      <c r="L358" s="17"/>
      <c r="M358" s="17">
        <v>14000</v>
      </c>
      <c r="N358" s="16"/>
      <c r="O358" s="16"/>
    </row>
    <row r="359" spans="1:15">
      <c r="A359" s="13">
        <v>45683</v>
      </c>
      <c r="B359" s="14" t="s">
        <v>17</v>
      </c>
      <c r="C359" s="14" t="s">
        <v>18</v>
      </c>
      <c r="D359" s="15" t="s">
        <v>164</v>
      </c>
      <c r="E359" s="16"/>
      <c r="F359" s="16"/>
      <c r="G359" s="16"/>
      <c r="H359" s="16"/>
      <c r="I359" s="17"/>
      <c r="J359" s="17"/>
      <c r="K359" s="17">
        <v>10500</v>
      </c>
      <c r="L359" s="17"/>
      <c r="M359" s="17">
        <v>4000</v>
      </c>
      <c r="N359" s="16"/>
      <c r="O359" s="16"/>
    </row>
    <row r="360" spans="1:15">
      <c r="A360" s="13">
        <v>45684</v>
      </c>
      <c r="B360" s="27" t="s">
        <v>169</v>
      </c>
      <c r="C360" s="14"/>
      <c r="D360" s="15"/>
      <c r="E360" s="16"/>
      <c r="F360" s="16"/>
      <c r="G360" s="16"/>
      <c r="H360" s="16"/>
      <c r="I360" s="17"/>
      <c r="J360" s="17"/>
      <c r="K360" s="17"/>
      <c r="L360" s="17"/>
      <c r="M360" s="17" t="s">
        <v>170</v>
      </c>
      <c r="N360" s="16"/>
      <c r="O360" s="16"/>
    </row>
    <row r="361" spans="1:15">
      <c r="A361" s="13">
        <v>45685</v>
      </c>
      <c r="B361" s="14" t="s">
        <v>17</v>
      </c>
      <c r="C361" s="14" t="s">
        <v>18</v>
      </c>
      <c r="D361" s="15" t="s">
        <v>171</v>
      </c>
      <c r="E361" s="16"/>
      <c r="F361" s="16"/>
      <c r="G361" s="16"/>
      <c r="H361" s="16"/>
      <c r="I361" s="17"/>
      <c r="J361" s="17"/>
      <c r="K361" s="17">
        <v>69000</v>
      </c>
      <c r="L361" s="17"/>
      <c r="M361" s="17">
        <v>14000</v>
      </c>
      <c r="N361" s="16"/>
      <c r="O361" s="16"/>
    </row>
    <row r="362" spans="1:15">
      <c r="A362" s="8">
        <v>45691</v>
      </c>
      <c r="B362" s="9"/>
      <c r="C362" s="9"/>
      <c r="D362" s="10"/>
      <c r="E362" s="16"/>
      <c r="F362" s="16"/>
      <c r="G362" s="16"/>
      <c r="H362" s="16"/>
      <c r="I362" s="17">
        <v>1000000</v>
      </c>
      <c r="J362" s="17"/>
      <c r="K362" s="17"/>
      <c r="L362" s="17"/>
      <c r="M362" s="17"/>
      <c r="N362" s="16" t="s">
        <v>172</v>
      </c>
      <c r="O362" s="16" t="s">
        <v>173</v>
      </c>
    </row>
    <row r="363" spans="1:15">
      <c r="A363" s="13">
        <v>45687</v>
      </c>
      <c r="B363" s="14" t="s">
        <v>17</v>
      </c>
      <c r="C363" s="14" t="s">
        <v>18</v>
      </c>
      <c r="D363" s="15" t="s">
        <v>164</v>
      </c>
      <c r="E363" s="16"/>
      <c r="F363" s="16"/>
      <c r="G363" s="16"/>
      <c r="H363" s="16"/>
      <c r="I363" s="17"/>
      <c r="J363" s="17"/>
      <c r="K363" s="17">
        <v>69000</v>
      </c>
      <c r="L363" s="17"/>
      <c r="M363" s="17">
        <v>14000</v>
      </c>
      <c r="N363" s="16"/>
      <c r="O363" s="16"/>
    </row>
    <row r="364" spans="1:15">
      <c r="A364" s="13">
        <v>45688</v>
      </c>
      <c r="B364" s="14" t="s">
        <v>17</v>
      </c>
      <c r="C364" s="14" t="s">
        <v>18</v>
      </c>
      <c r="D364" s="15" t="s">
        <v>174</v>
      </c>
      <c r="E364" s="16"/>
      <c r="F364" s="16"/>
      <c r="G364" s="16"/>
      <c r="H364" s="16"/>
      <c r="I364" s="17"/>
      <c r="J364" s="17"/>
      <c r="K364" s="17">
        <v>85000</v>
      </c>
      <c r="L364" s="17"/>
      <c r="M364" s="17">
        <v>11000</v>
      </c>
      <c r="N364" s="16"/>
      <c r="O364" s="16"/>
    </row>
    <row r="365" spans="1:15">
      <c r="A365" s="13">
        <v>45689</v>
      </c>
      <c r="B365" s="14" t="s">
        <v>17</v>
      </c>
      <c r="C365" s="14" t="s">
        <v>18</v>
      </c>
      <c r="D365" s="15" t="s">
        <v>164</v>
      </c>
      <c r="E365" s="16"/>
      <c r="F365" s="16"/>
      <c r="G365" s="16"/>
      <c r="H365" s="16"/>
      <c r="I365" s="17"/>
      <c r="J365" s="17"/>
      <c r="K365" s="17">
        <v>85000</v>
      </c>
      <c r="L365" s="17"/>
      <c r="M365" s="17">
        <v>14000</v>
      </c>
      <c r="N365" s="16"/>
      <c r="O365" s="16"/>
    </row>
    <row r="366" spans="1:15">
      <c r="A366" s="13">
        <v>45690</v>
      </c>
      <c r="B366" s="14" t="s">
        <v>17</v>
      </c>
      <c r="C366" s="14" t="s">
        <v>18</v>
      </c>
      <c r="D366" s="15" t="s">
        <v>162</v>
      </c>
      <c r="E366" s="16"/>
      <c r="F366" s="16"/>
      <c r="G366" s="16"/>
      <c r="H366" s="16"/>
      <c r="I366" s="17"/>
      <c r="J366" s="17"/>
      <c r="K366" s="17">
        <v>10000</v>
      </c>
      <c r="L366" s="17"/>
      <c r="M366" s="17">
        <v>14000</v>
      </c>
      <c r="N366" s="16"/>
      <c r="O366" s="16"/>
    </row>
    <row r="367" spans="1:15">
      <c r="A367" s="13">
        <v>45691</v>
      </c>
      <c r="B367" s="14" t="s">
        <v>17</v>
      </c>
      <c r="C367" s="14" t="s">
        <v>18</v>
      </c>
      <c r="D367" s="15" t="s">
        <v>126</v>
      </c>
      <c r="E367" s="16"/>
      <c r="F367" s="16"/>
      <c r="G367" s="16"/>
      <c r="H367" s="16"/>
      <c r="I367" s="17"/>
      <c r="J367" s="17"/>
      <c r="K367" s="17">
        <v>85000</v>
      </c>
      <c r="L367" s="17"/>
      <c r="M367" s="17">
        <v>14000</v>
      </c>
      <c r="N367" s="16"/>
      <c r="O367" s="16"/>
    </row>
    <row r="368" spans="1:15">
      <c r="A368" s="13">
        <v>45692</v>
      </c>
      <c r="B368" s="14" t="s">
        <v>17</v>
      </c>
      <c r="C368" s="14" t="s">
        <v>18</v>
      </c>
      <c r="D368" s="15" t="s">
        <v>126</v>
      </c>
      <c r="E368" s="16"/>
      <c r="F368" s="16"/>
      <c r="G368" s="16"/>
      <c r="H368" s="16"/>
      <c r="I368" s="17"/>
      <c r="J368" s="17"/>
      <c r="K368" s="17">
        <v>82000</v>
      </c>
      <c r="L368" s="17"/>
      <c r="M368" s="17">
        <v>14000</v>
      </c>
      <c r="N368" s="16"/>
      <c r="O368" s="16"/>
    </row>
    <row r="369" spans="1:15">
      <c r="A369" s="13">
        <v>45693</v>
      </c>
      <c r="B369" s="14" t="s">
        <v>17</v>
      </c>
      <c r="C369" s="14" t="s">
        <v>18</v>
      </c>
      <c r="D369" s="15" t="s">
        <v>164</v>
      </c>
      <c r="E369" s="16"/>
      <c r="F369" s="16"/>
      <c r="G369" s="16"/>
      <c r="H369" s="16"/>
      <c r="I369" s="17"/>
      <c r="J369" s="17"/>
      <c r="K369" s="17">
        <v>85000</v>
      </c>
      <c r="L369" s="17"/>
      <c r="M369" s="17">
        <v>14000</v>
      </c>
      <c r="N369" s="16"/>
      <c r="O369" s="16"/>
    </row>
    <row r="370" spans="1:15">
      <c r="A370" s="13">
        <v>45694</v>
      </c>
      <c r="B370" s="14" t="s">
        <v>17</v>
      </c>
      <c r="C370" s="14" t="s">
        <v>18</v>
      </c>
      <c r="D370" s="15" t="s">
        <v>126</v>
      </c>
      <c r="E370" s="16"/>
      <c r="F370" s="16"/>
      <c r="G370" s="16"/>
      <c r="H370" s="16"/>
      <c r="I370" s="17"/>
      <c r="J370" s="17"/>
      <c r="K370" s="17">
        <v>69000</v>
      </c>
      <c r="L370" s="17"/>
      <c r="M370" s="17">
        <v>14000</v>
      </c>
      <c r="N370" s="16"/>
      <c r="O370" s="16"/>
    </row>
    <row r="371" spans="1:15">
      <c r="A371" s="13">
        <v>45695</v>
      </c>
      <c r="B371" s="14" t="s">
        <v>17</v>
      </c>
      <c r="C371" s="14" t="s">
        <v>18</v>
      </c>
      <c r="D371" s="15" t="s">
        <v>175</v>
      </c>
      <c r="E371" s="16"/>
      <c r="F371" s="16"/>
      <c r="G371" s="16"/>
      <c r="H371" s="16"/>
      <c r="I371" s="17"/>
      <c r="J371" s="17"/>
      <c r="K371" s="17">
        <v>85000</v>
      </c>
      <c r="L371" s="17"/>
      <c r="M371" s="17">
        <v>14000</v>
      </c>
      <c r="N371" s="16"/>
      <c r="O371" s="16"/>
    </row>
    <row r="372" spans="1:15">
      <c r="A372" s="8">
        <v>45700</v>
      </c>
      <c r="B372" s="9"/>
      <c r="C372" s="9"/>
      <c r="D372" s="10"/>
      <c r="E372" s="16"/>
      <c r="F372" s="16"/>
      <c r="G372" s="16"/>
      <c r="H372" s="16"/>
      <c r="I372" s="17">
        <v>1000000</v>
      </c>
      <c r="J372" s="17"/>
      <c r="K372" s="17"/>
      <c r="L372" s="17"/>
      <c r="M372" s="17"/>
      <c r="N372" s="16" t="s">
        <v>176</v>
      </c>
      <c r="O372" s="16" t="s">
        <v>177</v>
      </c>
    </row>
    <row r="373" spans="1:15">
      <c r="A373" s="13">
        <v>45696</v>
      </c>
      <c r="B373" s="14" t="s">
        <v>17</v>
      </c>
      <c r="C373" s="14" t="s">
        <v>18</v>
      </c>
      <c r="D373" s="15" t="s">
        <v>178</v>
      </c>
      <c r="E373" s="16"/>
      <c r="F373" s="16"/>
      <c r="G373" s="16"/>
      <c r="H373" s="16"/>
      <c r="I373" s="17"/>
      <c r="J373" s="17"/>
      <c r="K373" s="17">
        <v>85000</v>
      </c>
      <c r="L373" s="17"/>
      <c r="M373" s="17">
        <v>14000</v>
      </c>
      <c r="N373" s="16"/>
      <c r="O373" s="16"/>
    </row>
    <row r="374" spans="1:15">
      <c r="A374" s="13">
        <v>45697</v>
      </c>
      <c r="B374" s="14" t="s">
        <v>17</v>
      </c>
      <c r="C374" s="14" t="s">
        <v>18</v>
      </c>
      <c r="D374" s="15" t="s">
        <v>162</v>
      </c>
      <c r="E374" s="16"/>
      <c r="F374" s="16"/>
      <c r="G374" s="16"/>
      <c r="H374" s="16"/>
      <c r="I374" s="17"/>
      <c r="J374" s="17"/>
      <c r="K374" s="17" t="s">
        <v>179</v>
      </c>
      <c r="L374" s="17"/>
      <c r="M374" s="17">
        <v>12000</v>
      </c>
      <c r="N374" s="16"/>
      <c r="O374" s="16"/>
    </row>
    <row r="375" spans="1:15">
      <c r="A375" s="13">
        <v>45698</v>
      </c>
      <c r="B375" s="14" t="s">
        <v>17</v>
      </c>
      <c r="C375" s="14" t="s">
        <v>18</v>
      </c>
      <c r="D375" s="15" t="s">
        <v>164</v>
      </c>
      <c r="E375" s="16"/>
      <c r="F375" s="16"/>
      <c r="G375" s="16"/>
      <c r="H375" s="16"/>
      <c r="I375" s="17"/>
      <c r="J375" s="17"/>
      <c r="K375" s="17">
        <v>85000</v>
      </c>
      <c r="L375" s="17"/>
      <c r="M375" s="17">
        <v>14000</v>
      </c>
      <c r="N375" s="16"/>
      <c r="O375" s="16"/>
    </row>
    <row r="376" spans="1:15">
      <c r="A376" s="13">
        <v>45699</v>
      </c>
      <c r="B376" s="14" t="s">
        <v>17</v>
      </c>
      <c r="C376" s="14" t="s">
        <v>18</v>
      </c>
      <c r="D376" s="15" t="s">
        <v>126</v>
      </c>
      <c r="E376" s="16"/>
      <c r="F376" s="16"/>
      <c r="G376" s="16"/>
      <c r="H376" s="16"/>
      <c r="I376" s="17"/>
      <c r="J376" s="17"/>
      <c r="K376" s="17">
        <v>85000</v>
      </c>
      <c r="L376" s="17"/>
      <c r="M376" s="17">
        <v>14000</v>
      </c>
      <c r="N376" s="16"/>
      <c r="O376" s="16"/>
    </row>
    <row r="377" spans="1:15">
      <c r="A377" s="13">
        <v>45700</v>
      </c>
      <c r="B377" s="14" t="s">
        <v>17</v>
      </c>
      <c r="C377" s="14" t="s">
        <v>18</v>
      </c>
      <c r="D377" s="15" t="s">
        <v>126</v>
      </c>
      <c r="E377" s="16"/>
      <c r="F377" s="16"/>
      <c r="G377" s="16"/>
      <c r="H377" s="16"/>
      <c r="I377" s="17"/>
      <c r="J377" s="17"/>
      <c r="K377" s="17">
        <v>85000</v>
      </c>
      <c r="L377" s="17"/>
      <c r="M377" s="17">
        <v>14000</v>
      </c>
      <c r="N377" s="16"/>
      <c r="O377" s="16"/>
    </row>
    <row r="378" spans="1:15">
      <c r="A378" s="13">
        <v>45701</v>
      </c>
      <c r="B378" s="14" t="s">
        <v>17</v>
      </c>
      <c r="C378" s="14" t="s">
        <v>18</v>
      </c>
      <c r="D378" s="15" t="s">
        <v>40</v>
      </c>
      <c r="E378" s="16"/>
      <c r="F378" s="16"/>
      <c r="G378" s="16"/>
      <c r="H378" s="16"/>
      <c r="I378" s="17"/>
      <c r="J378" s="17"/>
      <c r="K378" s="17">
        <v>60000</v>
      </c>
      <c r="L378" s="17"/>
      <c r="M378" s="17">
        <v>14000</v>
      </c>
      <c r="N378" s="16"/>
      <c r="O378" s="16"/>
    </row>
    <row r="379" spans="1:15">
      <c r="A379" s="13">
        <v>45702</v>
      </c>
      <c r="B379" s="14" t="s">
        <v>17</v>
      </c>
      <c r="C379" s="14" t="s">
        <v>18</v>
      </c>
      <c r="D379" s="15" t="s">
        <v>164</v>
      </c>
      <c r="E379" s="16"/>
      <c r="F379" s="16"/>
      <c r="G379" s="16"/>
      <c r="H379" s="16"/>
      <c r="I379" s="17"/>
      <c r="J379" s="17"/>
      <c r="K379" s="17">
        <v>79500</v>
      </c>
      <c r="L379" s="17"/>
      <c r="M379" s="17">
        <v>14000</v>
      </c>
      <c r="N379" s="16"/>
      <c r="O379" s="16"/>
    </row>
    <row r="380" spans="1:15">
      <c r="A380" s="8">
        <v>45707</v>
      </c>
      <c r="B380" s="9"/>
      <c r="C380" s="9"/>
      <c r="D380" s="10"/>
      <c r="E380" s="16"/>
      <c r="F380" s="16"/>
      <c r="G380" s="16"/>
      <c r="H380" s="16"/>
      <c r="I380" s="17">
        <v>1000000</v>
      </c>
      <c r="J380" s="17"/>
      <c r="K380" s="17"/>
      <c r="L380" s="17"/>
      <c r="M380" s="17"/>
      <c r="N380" s="16" t="s">
        <v>180</v>
      </c>
      <c r="O380" s="16" t="s">
        <v>181</v>
      </c>
    </row>
    <row r="381" spans="1:15">
      <c r="A381" s="13">
        <v>45703</v>
      </c>
      <c r="B381" s="14" t="s">
        <v>17</v>
      </c>
      <c r="C381" s="14" t="s">
        <v>18</v>
      </c>
      <c r="D381" s="15" t="s">
        <v>126</v>
      </c>
      <c r="E381" s="16"/>
      <c r="F381" s="16"/>
      <c r="G381" s="16"/>
      <c r="H381" s="16"/>
      <c r="I381" s="17"/>
      <c r="J381" s="17"/>
      <c r="K381" s="17">
        <v>85000</v>
      </c>
      <c r="L381" s="17"/>
      <c r="M381" s="17">
        <v>11000</v>
      </c>
      <c r="N381" s="16"/>
      <c r="O381" s="16"/>
    </row>
    <row r="382" spans="1:15">
      <c r="A382" s="13">
        <v>45704</v>
      </c>
      <c r="B382" s="14" t="s">
        <v>17</v>
      </c>
      <c r="C382" s="14" t="s">
        <v>18</v>
      </c>
      <c r="D382" s="15" t="s">
        <v>182</v>
      </c>
      <c r="E382" s="16"/>
      <c r="F382" s="16"/>
      <c r="G382" s="16"/>
      <c r="H382" s="16"/>
      <c r="I382" s="17"/>
      <c r="J382" s="17"/>
      <c r="K382" s="17">
        <v>29000</v>
      </c>
      <c r="L382" s="17"/>
      <c r="M382" s="17">
        <v>7000</v>
      </c>
      <c r="N382" s="16"/>
      <c r="O382" s="16"/>
    </row>
    <row r="383" spans="1:15">
      <c r="A383" s="13">
        <v>45705</v>
      </c>
      <c r="B383" s="14" t="s">
        <v>17</v>
      </c>
      <c r="C383" s="14" t="s">
        <v>18</v>
      </c>
      <c r="D383" s="15" t="s">
        <v>156</v>
      </c>
      <c r="E383" s="16"/>
      <c r="F383" s="16"/>
      <c r="G383" s="16"/>
      <c r="H383" s="16"/>
      <c r="I383" s="17"/>
      <c r="J383" s="17"/>
      <c r="K383" s="17">
        <v>69000</v>
      </c>
      <c r="L383" s="17"/>
      <c r="M383" s="17">
        <v>14000</v>
      </c>
      <c r="N383" s="16"/>
      <c r="O383" s="16"/>
    </row>
    <row r="384" spans="1:15">
      <c r="A384" s="13">
        <v>45706</v>
      </c>
      <c r="B384" s="14" t="s">
        <v>17</v>
      </c>
      <c r="C384" s="14" t="s">
        <v>18</v>
      </c>
      <c r="D384" s="15" t="s">
        <v>126</v>
      </c>
      <c r="E384" s="16"/>
      <c r="F384" s="16"/>
      <c r="G384" s="16"/>
      <c r="H384" s="16"/>
      <c r="I384" s="17"/>
      <c r="J384" s="17"/>
      <c r="K384" s="17">
        <v>85000</v>
      </c>
      <c r="L384" s="17"/>
      <c r="M384" s="17">
        <v>14000</v>
      </c>
      <c r="N384" s="16"/>
      <c r="O384" s="16"/>
    </row>
    <row r="385" spans="1:15">
      <c r="A385" s="13">
        <v>45707</v>
      </c>
      <c r="B385" s="14" t="s">
        <v>17</v>
      </c>
      <c r="C385" s="14" t="s">
        <v>18</v>
      </c>
      <c r="D385" s="15" t="s">
        <v>183</v>
      </c>
      <c r="E385" s="16"/>
      <c r="F385" s="16"/>
      <c r="G385" s="16"/>
      <c r="H385" s="16"/>
      <c r="I385" s="17"/>
      <c r="J385" s="17"/>
      <c r="K385" s="17">
        <v>85000</v>
      </c>
      <c r="L385" s="17"/>
      <c r="M385" s="17">
        <v>14000</v>
      </c>
      <c r="N385" s="16"/>
      <c r="O385" s="16"/>
    </row>
    <row r="386" spans="1:15">
      <c r="A386" s="13">
        <v>45708</v>
      </c>
      <c r="B386" s="14" t="s">
        <v>17</v>
      </c>
      <c r="C386" s="14" t="s">
        <v>18</v>
      </c>
      <c r="D386" s="15" t="s">
        <v>126</v>
      </c>
      <c r="E386" s="16"/>
      <c r="F386" s="16"/>
      <c r="G386" s="16"/>
      <c r="H386" s="16"/>
      <c r="I386" s="17"/>
      <c r="J386" s="17"/>
      <c r="K386" s="17">
        <v>85000</v>
      </c>
      <c r="L386" s="17"/>
      <c r="M386" s="17">
        <v>14000</v>
      </c>
      <c r="N386" s="16"/>
      <c r="O386" s="16"/>
    </row>
    <row r="387" spans="1:15">
      <c r="A387" s="8">
        <v>45714</v>
      </c>
      <c r="B387" s="9"/>
      <c r="C387" s="9"/>
      <c r="D387" s="10"/>
      <c r="E387" s="16"/>
      <c r="F387" s="16"/>
      <c r="G387" s="16"/>
      <c r="H387" s="16"/>
      <c r="I387" s="17">
        <v>1000000</v>
      </c>
      <c r="J387" s="17"/>
      <c r="K387" s="17"/>
      <c r="L387" s="17"/>
      <c r="M387" s="17"/>
      <c r="N387" s="16" t="s">
        <v>184</v>
      </c>
      <c r="O387" s="16" t="s">
        <v>185</v>
      </c>
    </row>
    <row r="388" spans="1:15">
      <c r="A388" s="13">
        <v>45709</v>
      </c>
      <c r="B388" s="14" t="s">
        <v>17</v>
      </c>
      <c r="C388" s="14" t="s">
        <v>18</v>
      </c>
      <c r="D388" s="15" t="s">
        <v>86</v>
      </c>
      <c r="E388" s="16"/>
      <c r="F388" s="16"/>
      <c r="G388" s="16"/>
      <c r="H388" s="16"/>
      <c r="I388" s="17"/>
      <c r="J388" s="17"/>
      <c r="K388" s="17">
        <v>79500</v>
      </c>
      <c r="L388" s="17"/>
      <c r="M388" s="17">
        <v>14000</v>
      </c>
      <c r="N388" s="16"/>
      <c r="O388" s="16"/>
    </row>
    <row r="389" spans="1:15">
      <c r="A389" s="13">
        <v>45710</v>
      </c>
      <c r="B389" s="14" t="s">
        <v>17</v>
      </c>
      <c r="C389" s="14" t="s">
        <v>18</v>
      </c>
      <c r="D389" s="15" t="s">
        <v>126</v>
      </c>
      <c r="E389" s="16"/>
      <c r="F389" s="16"/>
      <c r="G389" s="16"/>
      <c r="H389" s="16"/>
      <c r="I389" s="17"/>
      <c r="J389" s="17"/>
      <c r="K389" s="17">
        <v>85000</v>
      </c>
      <c r="L389" s="17"/>
      <c r="M389" s="17">
        <v>14000</v>
      </c>
      <c r="N389" s="16"/>
      <c r="O389" s="16"/>
    </row>
    <row r="390" spans="1:15">
      <c r="A390" s="13">
        <v>45711</v>
      </c>
      <c r="B390" s="14" t="s">
        <v>17</v>
      </c>
      <c r="C390" s="14" t="s">
        <v>18</v>
      </c>
      <c r="D390" s="15" t="s">
        <v>186</v>
      </c>
      <c r="E390" s="16"/>
      <c r="F390" s="16"/>
      <c r="G390" s="16"/>
      <c r="H390" s="16"/>
      <c r="I390" s="17"/>
      <c r="J390" s="17"/>
      <c r="K390" s="17">
        <v>7000</v>
      </c>
      <c r="L390" s="17"/>
      <c r="M390" s="17">
        <v>14000</v>
      </c>
      <c r="N390" s="16"/>
      <c r="O390" s="16"/>
    </row>
    <row r="391" spans="1:15">
      <c r="A391" s="13">
        <v>45712</v>
      </c>
      <c r="B391" s="27" t="s">
        <v>159</v>
      </c>
      <c r="C391" s="14" t="s">
        <v>18</v>
      </c>
      <c r="D391" s="15"/>
      <c r="E391" s="16"/>
      <c r="F391" s="16"/>
      <c r="G391" s="16"/>
      <c r="H391" s="16"/>
      <c r="I391" s="17"/>
      <c r="J391" s="17"/>
      <c r="K391" s="17"/>
      <c r="L391" s="17"/>
      <c r="M391" s="17"/>
      <c r="N391" s="16"/>
      <c r="O391" s="16"/>
    </row>
    <row r="392" spans="1:15">
      <c r="A392" s="13">
        <v>45713</v>
      </c>
      <c r="B392" s="14" t="s">
        <v>17</v>
      </c>
      <c r="C392" s="14" t="s">
        <v>18</v>
      </c>
      <c r="D392" s="15" t="s">
        <v>126</v>
      </c>
      <c r="E392" s="16"/>
      <c r="F392" s="16"/>
      <c r="G392" s="16"/>
      <c r="H392" s="16"/>
      <c r="I392" s="17"/>
      <c r="J392" s="17"/>
      <c r="K392" s="17">
        <v>69000</v>
      </c>
      <c r="L392" s="17"/>
      <c r="M392" s="17">
        <v>14000</v>
      </c>
      <c r="N392" s="16"/>
      <c r="O392" s="16"/>
    </row>
    <row r="393" spans="1:15">
      <c r="A393" s="13">
        <v>45714</v>
      </c>
      <c r="B393" s="14" t="s">
        <v>17</v>
      </c>
      <c r="C393" s="14" t="s">
        <v>18</v>
      </c>
      <c r="D393" s="15" t="s">
        <v>53</v>
      </c>
      <c r="E393" s="16"/>
      <c r="F393" s="16"/>
      <c r="G393" s="16"/>
      <c r="H393" s="16"/>
      <c r="I393" s="17"/>
      <c r="J393" s="17"/>
      <c r="K393" s="17">
        <v>85000</v>
      </c>
      <c r="L393" s="17"/>
      <c r="M393" s="17">
        <v>14000</v>
      </c>
      <c r="N393" s="16"/>
      <c r="O393" s="16"/>
    </row>
    <row r="394" spans="1:15">
      <c r="A394" s="13">
        <v>45715</v>
      </c>
      <c r="B394" s="14" t="s">
        <v>17</v>
      </c>
      <c r="C394" s="14" t="s">
        <v>18</v>
      </c>
      <c r="D394" s="15" t="s">
        <v>187</v>
      </c>
      <c r="E394" s="16"/>
      <c r="F394" s="16"/>
      <c r="G394" s="16"/>
      <c r="H394" s="16"/>
      <c r="I394" s="17"/>
      <c r="J394" s="17"/>
      <c r="K394" s="17">
        <v>85000</v>
      </c>
      <c r="L394" s="17"/>
      <c r="M394" s="17">
        <v>11000</v>
      </c>
      <c r="N394" s="16"/>
      <c r="O394" s="16"/>
    </row>
    <row r="395" spans="1:15">
      <c r="A395" s="13">
        <v>45716</v>
      </c>
      <c r="B395" s="14" t="s">
        <v>17</v>
      </c>
      <c r="C395" s="14" t="s">
        <v>18</v>
      </c>
      <c r="D395" s="15" t="s">
        <v>86</v>
      </c>
      <c r="E395" s="16"/>
      <c r="F395" s="16"/>
      <c r="G395" s="16"/>
      <c r="H395" s="16"/>
      <c r="I395" s="17"/>
      <c r="J395" s="17"/>
      <c r="K395" s="17">
        <v>85000</v>
      </c>
      <c r="L395" s="17"/>
      <c r="M395" s="17">
        <v>14000</v>
      </c>
      <c r="N395" s="16"/>
      <c r="O395" s="16"/>
    </row>
    <row r="396" spans="1:15">
      <c r="A396" s="13">
        <v>45717</v>
      </c>
      <c r="B396" s="14" t="s">
        <v>17</v>
      </c>
      <c r="C396" s="14" t="s">
        <v>18</v>
      </c>
      <c r="D396" s="15" t="s">
        <v>68</v>
      </c>
      <c r="E396" s="16"/>
      <c r="F396" s="16"/>
      <c r="G396" s="16"/>
      <c r="H396" s="16"/>
      <c r="I396" s="17"/>
      <c r="J396" s="17"/>
      <c r="K396" s="17">
        <v>58500</v>
      </c>
      <c r="L396" s="17"/>
      <c r="M396" s="17">
        <v>7000</v>
      </c>
      <c r="N396" s="16"/>
      <c r="O396" s="16"/>
    </row>
    <row r="397" spans="1:15">
      <c r="A397" s="13">
        <v>45718</v>
      </c>
      <c r="B397" s="14" t="s">
        <v>17</v>
      </c>
      <c r="C397" s="14" t="s">
        <v>18</v>
      </c>
      <c r="D397" s="15" t="s">
        <v>162</v>
      </c>
      <c r="E397" s="16"/>
      <c r="F397" s="16"/>
      <c r="G397" s="16"/>
      <c r="H397" s="16"/>
      <c r="I397" s="17"/>
      <c r="J397" s="17"/>
      <c r="K397" s="17">
        <v>16000</v>
      </c>
      <c r="L397" s="17"/>
      <c r="M397" s="17">
        <v>14000</v>
      </c>
      <c r="N397" s="16"/>
      <c r="O397" s="16"/>
    </row>
    <row r="398" spans="1:15">
      <c r="A398" s="8">
        <v>45721</v>
      </c>
      <c r="B398" s="9"/>
      <c r="C398" s="9"/>
      <c r="D398" s="10"/>
      <c r="E398" s="16"/>
      <c r="F398" s="16"/>
      <c r="G398" s="16"/>
      <c r="H398" s="16"/>
      <c r="I398" s="17">
        <v>1000000</v>
      </c>
      <c r="J398" s="17"/>
      <c r="K398" s="17"/>
      <c r="L398" s="17"/>
      <c r="M398" s="17"/>
      <c r="N398" s="16" t="s">
        <v>188</v>
      </c>
      <c r="O398" s="16" t="s">
        <v>189</v>
      </c>
    </row>
    <row r="399" spans="1:15">
      <c r="A399" s="13">
        <v>45719</v>
      </c>
      <c r="B399" s="14" t="s">
        <v>17</v>
      </c>
      <c r="C399" s="14" t="s">
        <v>18</v>
      </c>
      <c r="D399" s="15" t="s">
        <v>126</v>
      </c>
      <c r="E399" s="16"/>
      <c r="F399" s="16"/>
      <c r="G399" s="16"/>
      <c r="H399" s="16"/>
      <c r="I399" s="17"/>
      <c r="J399" s="17"/>
      <c r="K399" s="17">
        <v>85000</v>
      </c>
      <c r="L399" s="17"/>
      <c r="M399" s="17">
        <v>14000</v>
      </c>
      <c r="N399" s="16"/>
      <c r="O399" s="16"/>
    </row>
    <row r="400" spans="1:15">
      <c r="A400" s="13">
        <v>45720</v>
      </c>
      <c r="B400" s="14" t="s">
        <v>17</v>
      </c>
      <c r="C400" s="14" t="s">
        <v>18</v>
      </c>
      <c r="D400" s="15" t="s">
        <v>126</v>
      </c>
      <c r="E400" s="16"/>
      <c r="F400" s="16"/>
      <c r="G400" s="16"/>
      <c r="H400" s="16"/>
      <c r="I400" s="17"/>
      <c r="J400" s="17"/>
      <c r="K400" s="17">
        <v>85000</v>
      </c>
      <c r="L400" s="17"/>
      <c r="M400" s="17">
        <v>14000</v>
      </c>
      <c r="N400" s="16"/>
      <c r="O400" s="16"/>
    </row>
    <row r="401" spans="1:15">
      <c r="A401" s="13">
        <v>45721</v>
      </c>
      <c r="B401" s="27" t="s">
        <v>159</v>
      </c>
      <c r="C401" s="14" t="s">
        <v>18</v>
      </c>
      <c r="D401" s="15" t="s">
        <v>186</v>
      </c>
      <c r="E401" s="16"/>
      <c r="F401" s="16"/>
      <c r="G401" s="16"/>
      <c r="H401" s="16"/>
      <c r="I401" s="17"/>
      <c r="J401" s="17"/>
      <c r="K401" s="17">
        <v>7000</v>
      </c>
      <c r="L401" s="17"/>
      <c r="M401" s="17">
        <v>14000</v>
      </c>
      <c r="N401" s="16"/>
      <c r="O401" s="16"/>
    </row>
    <row r="402" spans="1:15">
      <c r="A402" s="13">
        <v>45722</v>
      </c>
      <c r="B402" s="14" t="s">
        <v>17</v>
      </c>
      <c r="C402" s="14" t="s">
        <v>18</v>
      </c>
      <c r="D402" s="15" t="s">
        <v>126</v>
      </c>
      <c r="E402" s="16"/>
      <c r="F402" s="16"/>
      <c r="G402" s="16"/>
      <c r="H402" s="16"/>
      <c r="I402" s="17"/>
      <c r="J402" s="17"/>
      <c r="K402" s="17">
        <v>69000</v>
      </c>
      <c r="L402" s="17"/>
      <c r="M402" s="17">
        <v>14000</v>
      </c>
      <c r="N402" s="16"/>
      <c r="O402" s="16"/>
    </row>
    <row r="403" spans="1:15">
      <c r="A403" s="13">
        <v>45723</v>
      </c>
      <c r="B403" s="14" t="s">
        <v>17</v>
      </c>
      <c r="C403" s="14" t="s">
        <v>18</v>
      </c>
      <c r="D403" s="15" t="s">
        <v>68</v>
      </c>
      <c r="E403" s="16"/>
      <c r="F403" s="16"/>
      <c r="G403" s="16"/>
      <c r="H403" s="16"/>
      <c r="I403" s="17"/>
      <c r="J403" s="17"/>
      <c r="K403" s="17">
        <v>42500</v>
      </c>
      <c r="L403" s="17"/>
      <c r="M403" s="17">
        <v>7000</v>
      </c>
      <c r="N403" s="16"/>
      <c r="O403" s="16"/>
    </row>
    <row r="404" spans="1:15">
      <c r="A404" s="13">
        <v>45724</v>
      </c>
      <c r="B404" s="14" t="s">
        <v>17</v>
      </c>
      <c r="C404" s="14" t="s">
        <v>18</v>
      </c>
      <c r="D404" s="15" t="s">
        <v>53</v>
      </c>
      <c r="E404" s="16"/>
      <c r="F404" s="16"/>
      <c r="G404" s="16"/>
      <c r="H404" s="16"/>
      <c r="I404" s="17"/>
      <c r="J404" s="17"/>
      <c r="K404" s="17">
        <v>85000</v>
      </c>
      <c r="L404" s="17"/>
      <c r="M404" s="17">
        <v>14000</v>
      </c>
      <c r="N404" s="16"/>
      <c r="O404" s="16"/>
    </row>
    <row r="405" spans="1:15">
      <c r="A405" s="13">
        <v>45725</v>
      </c>
      <c r="B405" s="14" t="s">
        <v>17</v>
      </c>
      <c r="C405" s="14" t="s">
        <v>18</v>
      </c>
      <c r="D405" s="15" t="s">
        <v>162</v>
      </c>
      <c r="E405" s="16"/>
      <c r="F405" s="16"/>
      <c r="G405" s="16"/>
      <c r="H405" s="16"/>
      <c r="I405" s="17"/>
      <c r="J405" s="17"/>
      <c r="K405" s="17"/>
      <c r="L405" s="17"/>
      <c r="M405" s="17">
        <v>7000</v>
      </c>
      <c r="N405" s="16"/>
      <c r="O405" s="16"/>
    </row>
    <row r="406" spans="1:15">
      <c r="A406" s="13">
        <v>45726</v>
      </c>
      <c r="B406" s="14" t="s">
        <v>17</v>
      </c>
      <c r="C406" s="14" t="s">
        <v>18</v>
      </c>
      <c r="D406" s="15" t="s">
        <v>86</v>
      </c>
      <c r="E406" s="16"/>
      <c r="F406" s="16"/>
      <c r="G406" s="16"/>
      <c r="H406" s="16"/>
      <c r="I406" s="17"/>
      <c r="J406" s="17"/>
      <c r="K406" s="17">
        <v>69000</v>
      </c>
      <c r="L406" s="17"/>
      <c r="M406" s="17">
        <v>14000</v>
      </c>
      <c r="N406" s="16"/>
      <c r="O406" s="16"/>
    </row>
    <row r="407" spans="1:15">
      <c r="A407" s="8">
        <v>45730</v>
      </c>
      <c r="B407" s="9"/>
      <c r="C407" s="9"/>
      <c r="D407" s="10"/>
      <c r="E407" s="16"/>
      <c r="F407" s="16"/>
      <c r="G407" s="16"/>
      <c r="H407" s="16"/>
      <c r="I407" s="17">
        <v>1000000</v>
      </c>
      <c r="J407" s="17"/>
      <c r="K407" s="17"/>
      <c r="L407" s="17"/>
      <c r="M407" s="17"/>
      <c r="N407" s="16" t="s">
        <v>190</v>
      </c>
      <c r="O407" s="16" t="s">
        <v>191</v>
      </c>
    </row>
    <row r="408" spans="1:15">
      <c r="A408" s="13">
        <v>45727</v>
      </c>
      <c r="B408" s="14" t="s">
        <v>17</v>
      </c>
      <c r="C408" s="14" t="s">
        <v>18</v>
      </c>
      <c r="D408" s="15" t="s">
        <v>192</v>
      </c>
      <c r="E408" s="16"/>
      <c r="F408" s="16"/>
      <c r="G408" s="16"/>
      <c r="H408" s="16"/>
      <c r="I408" s="17"/>
      <c r="J408" s="17"/>
      <c r="K408" s="17">
        <v>85000</v>
      </c>
      <c r="L408" s="17"/>
      <c r="M408" s="17">
        <v>14000</v>
      </c>
      <c r="N408" s="16"/>
      <c r="O408" s="16"/>
    </row>
    <row r="409" spans="1:15">
      <c r="A409" s="13">
        <v>45728</v>
      </c>
      <c r="B409" s="14" t="s">
        <v>17</v>
      </c>
      <c r="C409" s="14" t="s">
        <v>18</v>
      </c>
      <c r="D409" s="15" t="s">
        <v>126</v>
      </c>
      <c r="E409" s="16"/>
      <c r="F409" s="16"/>
      <c r="G409" s="16"/>
      <c r="H409" s="16"/>
      <c r="I409" s="17"/>
      <c r="J409" s="17"/>
      <c r="K409" s="17">
        <v>82000</v>
      </c>
      <c r="L409" s="17"/>
      <c r="M409" s="17">
        <v>14000</v>
      </c>
      <c r="N409" s="16"/>
      <c r="O409" s="16"/>
    </row>
    <row r="410" spans="1:15">
      <c r="A410" s="13">
        <v>45729</v>
      </c>
      <c r="B410" s="14" t="s">
        <v>17</v>
      </c>
      <c r="C410" s="14" t="s">
        <v>18</v>
      </c>
      <c r="D410" s="15" t="s">
        <v>86</v>
      </c>
      <c r="E410" s="16"/>
      <c r="F410" s="16"/>
      <c r="G410" s="16"/>
      <c r="H410" s="16"/>
      <c r="I410" s="17"/>
      <c r="J410" s="17"/>
      <c r="K410" s="17">
        <v>85000</v>
      </c>
      <c r="L410" s="17"/>
      <c r="M410" s="17">
        <v>14000</v>
      </c>
      <c r="N410" s="16"/>
      <c r="O410" s="16"/>
    </row>
    <row r="411" spans="1:15">
      <c r="A411" s="13">
        <v>45730</v>
      </c>
      <c r="B411" s="14" t="s">
        <v>17</v>
      </c>
      <c r="C411" s="14" t="s">
        <v>18</v>
      </c>
      <c r="D411" s="15" t="s">
        <v>126</v>
      </c>
      <c r="E411" s="16"/>
      <c r="F411" s="16"/>
      <c r="G411" s="16"/>
      <c r="H411" s="16"/>
      <c r="I411" s="17"/>
      <c r="J411" s="17"/>
      <c r="K411" s="17">
        <v>53000</v>
      </c>
      <c r="L411" s="17"/>
      <c r="M411" s="17">
        <v>14000</v>
      </c>
      <c r="N411" s="16"/>
      <c r="O411" s="16"/>
    </row>
    <row r="412" spans="1:15">
      <c r="A412" s="13">
        <v>45731</v>
      </c>
      <c r="B412" s="14" t="s">
        <v>17</v>
      </c>
      <c r="C412" s="14" t="s">
        <v>18</v>
      </c>
      <c r="D412" s="15" t="s">
        <v>193</v>
      </c>
      <c r="E412" s="16"/>
      <c r="F412" s="16"/>
      <c r="G412" s="16"/>
      <c r="H412" s="16"/>
      <c r="I412" s="17"/>
      <c r="J412" s="17"/>
      <c r="K412" s="17">
        <v>85000</v>
      </c>
      <c r="L412" s="17"/>
      <c r="M412" s="17">
        <v>14000</v>
      </c>
      <c r="N412" s="16"/>
      <c r="O412" s="16"/>
    </row>
    <row r="413" spans="1:15">
      <c r="A413" s="13">
        <v>45732</v>
      </c>
      <c r="B413" s="14" t="s">
        <v>17</v>
      </c>
      <c r="C413" s="14" t="s">
        <v>18</v>
      </c>
      <c r="D413" s="15" t="s">
        <v>162</v>
      </c>
      <c r="E413" s="16"/>
      <c r="F413" s="16"/>
      <c r="G413" s="16"/>
      <c r="H413" s="16"/>
      <c r="I413" s="17"/>
      <c r="J413" s="17"/>
      <c r="K413" s="17"/>
      <c r="L413" s="17"/>
      <c r="M413" s="17">
        <v>7000</v>
      </c>
      <c r="N413" s="16"/>
      <c r="O413" s="16"/>
    </row>
    <row r="414" spans="1:15">
      <c r="A414" s="13">
        <v>45733</v>
      </c>
      <c r="B414" s="14" t="s">
        <v>17</v>
      </c>
      <c r="C414" s="14" t="s">
        <v>18</v>
      </c>
      <c r="D414" s="15" t="s">
        <v>162</v>
      </c>
      <c r="E414" s="16"/>
      <c r="F414" s="16"/>
      <c r="G414" s="16"/>
      <c r="H414" s="16"/>
      <c r="I414" s="17"/>
      <c r="J414" s="17"/>
      <c r="K414" s="17">
        <v>85000</v>
      </c>
      <c r="L414" s="17"/>
      <c r="M414" s="17">
        <v>14000</v>
      </c>
      <c r="N414" s="16"/>
      <c r="O414" s="16"/>
    </row>
    <row r="415" spans="1:15">
      <c r="A415" s="13">
        <v>45734</v>
      </c>
      <c r="B415" s="14" t="s">
        <v>17</v>
      </c>
      <c r="C415" s="14" t="s">
        <v>18</v>
      </c>
      <c r="D415" s="15" t="s">
        <v>86</v>
      </c>
      <c r="E415" s="16"/>
      <c r="F415" s="16"/>
      <c r="G415" s="16"/>
      <c r="H415" s="16"/>
      <c r="I415" s="17"/>
      <c r="J415" s="17"/>
      <c r="K415" s="17">
        <v>69000</v>
      </c>
      <c r="L415" s="17"/>
      <c r="M415" s="17">
        <v>14000</v>
      </c>
      <c r="N415" s="16"/>
      <c r="O415" s="16"/>
    </row>
    <row r="416" spans="1:15">
      <c r="A416" s="13">
        <v>45735</v>
      </c>
      <c r="B416" s="14" t="s">
        <v>17</v>
      </c>
      <c r="C416" s="14" t="s">
        <v>18</v>
      </c>
      <c r="D416" s="15" t="s">
        <v>126</v>
      </c>
      <c r="E416" s="16"/>
      <c r="F416" s="16"/>
      <c r="G416" s="16"/>
      <c r="H416" s="16"/>
      <c r="I416" s="17"/>
      <c r="J416" s="17"/>
      <c r="K416" s="17">
        <v>85000</v>
      </c>
      <c r="L416" s="17"/>
      <c r="M416" s="17">
        <v>14000</v>
      </c>
      <c r="N416" s="16"/>
      <c r="O416" s="16"/>
    </row>
    <row r="417" spans="1:15">
      <c r="A417" s="8">
        <v>45737</v>
      </c>
      <c r="B417" s="9"/>
      <c r="C417" s="9"/>
      <c r="D417" s="10"/>
      <c r="E417" s="16"/>
      <c r="F417" s="16"/>
      <c r="G417" s="16"/>
      <c r="H417" s="16"/>
      <c r="I417" s="17">
        <v>1000000</v>
      </c>
      <c r="J417" s="17"/>
      <c r="K417" s="17"/>
      <c r="L417" s="17"/>
      <c r="M417" s="17"/>
      <c r="N417" s="16" t="s">
        <v>194</v>
      </c>
      <c r="O417" s="16" t="s">
        <v>195</v>
      </c>
    </row>
    <row r="418" spans="1:15">
      <c r="A418" s="13">
        <v>45736</v>
      </c>
      <c r="B418" s="14" t="s">
        <v>17</v>
      </c>
      <c r="C418" s="14" t="s">
        <v>18</v>
      </c>
      <c r="D418" s="15" t="s">
        <v>126</v>
      </c>
      <c r="E418" s="16"/>
      <c r="F418" s="16"/>
      <c r="G418" s="16"/>
      <c r="H418" s="16"/>
      <c r="I418" s="17"/>
      <c r="J418" s="17"/>
      <c r="K418" s="17">
        <v>85000</v>
      </c>
      <c r="L418" s="17"/>
      <c r="M418" s="17">
        <v>14000</v>
      </c>
      <c r="N418" s="16"/>
      <c r="O418" s="16"/>
    </row>
    <row r="419" spans="1:15">
      <c r="A419" s="13">
        <v>45737</v>
      </c>
      <c r="B419" s="14" t="s">
        <v>17</v>
      </c>
      <c r="C419" s="14" t="s">
        <v>18</v>
      </c>
      <c r="D419" s="15" t="s">
        <v>196</v>
      </c>
      <c r="E419" s="16"/>
      <c r="F419" s="16"/>
      <c r="G419" s="16"/>
      <c r="H419" s="16"/>
      <c r="I419" s="17"/>
      <c r="J419" s="17"/>
      <c r="K419" s="17">
        <v>85000</v>
      </c>
      <c r="L419" s="17"/>
      <c r="M419" s="17">
        <v>14000</v>
      </c>
      <c r="N419" s="16"/>
      <c r="O419" s="16"/>
    </row>
    <row r="420" spans="1:15">
      <c r="A420" s="13">
        <v>45738</v>
      </c>
      <c r="B420" s="14" t="s">
        <v>17</v>
      </c>
      <c r="C420" s="14" t="s">
        <v>18</v>
      </c>
      <c r="D420" s="15" t="s">
        <v>126</v>
      </c>
      <c r="E420" s="16"/>
      <c r="F420" s="16"/>
      <c r="G420" s="16"/>
      <c r="H420" s="16"/>
      <c r="I420" s="17"/>
      <c r="J420" s="17"/>
      <c r="K420" s="17">
        <v>69000</v>
      </c>
      <c r="L420" s="17"/>
      <c r="M420" s="17">
        <v>14000</v>
      </c>
      <c r="N420" s="16"/>
      <c r="O420" s="16"/>
    </row>
    <row r="421" spans="1:15">
      <c r="A421" s="13">
        <v>45739</v>
      </c>
      <c r="B421" s="14" t="s">
        <v>17</v>
      </c>
      <c r="C421" s="14" t="s">
        <v>18</v>
      </c>
      <c r="D421" s="15" t="s">
        <v>162</v>
      </c>
      <c r="E421" s="16"/>
      <c r="F421" s="16"/>
      <c r="G421" s="16"/>
      <c r="H421" s="16"/>
      <c r="I421" s="17"/>
      <c r="J421" s="17"/>
      <c r="K421" s="17"/>
      <c r="L421" s="17"/>
      <c r="M421" s="17">
        <v>12000</v>
      </c>
      <c r="N421" s="16"/>
      <c r="O421" s="16"/>
    </row>
    <row r="422" spans="1:15">
      <c r="A422" s="13">
        <v>45740</v>
      </c>
      <c r="B422" s="14" t="s">
        <v>17</v>
      </c>
      <c r="C422" s="14" t="s">
        <v>18</v>
      </c>
      <c r="D422" s="15" t="s">
        <v>197</v>
      </c>
      <c r="E422" s="16"/>
      <c r="F422" s="16"/>
      <c r="G422" s="16"/>
      <c r="H422" s="16"/>
      <c r="I422" s="17"/>
      <c r="J422" s="17"/>
      <c r="K422" s="17">
        <v>42500</v>
      </c>
      <c r="L422" s="17"/>
      <c r="M422" s="17">
        <v>7000</v>
      </c>
      <c r="N422" s="16"/>
      <c r="O422" s="16"/>
    </row>
    <row r="423" spans="1:15">
      <c r="A423" s="13">
        <v>45741</v>
      </c>
      <c r="B423" s="14" t="s">
        <v>17</v>
      </c>
      <c r="C423" s="14" t="s">
        <v>18</v>
      </c>
      <c r="D423" s="15" t="s">
        <v>68</v>
      </c>
      <c r="E423" s="16"/>
      <c r="F423" s="16"/>
      <c r="G423" s="16"/>
      <c r="H423" s="16"/>
      <c r="I423" s="17"/>
      <c r="J423" s="17"/>
      <c r="K423" s="17">
        <v>42500</v>
      </c>
      <c r="L423" s="17"/>
      <c r="M423" s="17">
        <v>7000</v>
      </c>
      <c r="N423" s="16"/>
      <c r="O423" s="16"/>
    </row>
    <row r="424" spans="1:15">
      <c r="A424" s="13">
        <v>45742</v>
      </c>
      <c r="B424" s="14" t="s">
        <v>17</v>
      </c>
      <c r="C424" s="14" t="s">
        <v>18</v>
      </c>
      <c r="D424" s="15" t="s">
        <v>140</v>
      </c>
      <c r="E424" s="16"/>
      <c r="F424" s="16"/>
      <c r="G424" s="16"/>
      <c r="H424" s="16"/>
      <c r="I424" s="17"/>
      <c r="J424" s="17"/>
      <c r="K424" s="17">
        <v>69000</v>
      </c>
      <c r="L424" s="17"/>
      <c r="M424" s="17">
        <v>14000</v>
      </c>
      <c r="N424" s="16"/>
      <c r="O424" s="16"/>
    </row>
    <row r="425" spans="1:15">
      <c r="A425" s="13">
        <v>45743</v>
      </c>
      <c r="B425" s="14" t="s">
        <v>17</v>
      </c>
      <c r="C425" s="14" t="s">
        <v>18</v>
      </c>
      <c r="D425" s="15" t="s">
        <v>86</v>
      </c>
      <c r="E425" s="16"/>
      <c r="F425" s="16"/>
      <c r="G425" s="16"/>
      <c r="H425" s="16"/>
      <c r="I425" s="17"/>
      <c r="J425" s="17"/>
      <c r="K425" s="17">
        <v>69000</v>
      </c>
      <c r="L425" s="17"/>
      <c r="M425" s="17">
        <v>14000</v>
      </c>
      <c r="N425" s="16"/>
      <c r="O425" s="16"/>
    </row>
    <row r="426" spans="1:15">
      <c r="A426" s="13">
        <v>45744</v>
      </c>
      <c r="B426" s="14" t="s">
        <v>17</v>
      </c>
      <c r="C426" s="14" t="s">
        <v>18</v>
      </c>
      <c r="D426" s="15" t="s">
        <v>126</v>
      </c>
      <c r="E426" s="16"/>
      <c r="F426" s="16"/>
      <c r="G426" s="16"/>
      <c r="H426" s="16"/>
      <c r="I426" s="17"/>
      <c r="J426" s="17"/>
      <c r="K426" s="17">
        <v>85000</v>
      </c>
      <c r="L426" s="17"/>
      <c r="M426" s="17">
        <v>14000</v>
      </c>
      <c r="N426" s="16"/>
      <c r="O426" s="16"/>
    </row>
    <row r="427" spans="1:15">
      <c r="A427" s="8">
        <v>45758</v>
      </c>
      <c r="B427" s="9"/>
      <c r="C427" s="9"/>
      <c r="D427" s="10"/>
      <c r="E427" s="16"/>
      <c r="F427" s="16"/>
      <c r="G427" s="16"/>
      <c r="H427" s="16"/>
      <c r="I427" s="17">
        <v>1000000</v>
      </c>
      <c r="J427" s="17"/>
      <c r="K427" s="17"/>
      <c r="L427" s="17"/>
      <c r="M427" s="17"/>
      <c r="N427" s="16" t="s">
        <v>198</v>
      </c>
      <c r="O427" s="16" t="s">
        <v>199</v>
      </c>
    </row>
    <row r="428" spans="1:15">
      <c r="A428" s="13" t="s">
        <v>200</v>
      </c>
      <c r="B428" s="14" t="s">
        <v>17</v>
      </c>
      <c r="C428" s="14" t="s">
        <v>18</v>
      </c>
      <c r="D428" s="15" t="s">
        <v>201</v>
      </c>
      <c r="E428" s="16"/>
      <c r="F428" s="16"/>
      <c r="G428" s="16"/>
      <c r="H428" s="16"/>
      <c r="I428" s="17"/>
      <c r="J428" s="17"/>
      <c r="K428" s="17">
        <v>44500</v>
      </c>
      <c r="L428" s="17"/>
      <c r="M428" s="17">
        <v>4000</v>
      </c>
      <c r="N428" s="16"/>
      <c r="O428" s="16"/>
    </row>
    <row r="429" spans="1:15">
      <c r="A429" s="13" t="s">
        <v>202</v>
      </c>
      <c r="B429" s="14" t="s">
        <v>17</v>
      </c>
      <c r="C429" s="14" t="s">
        <v>18</v>
      </c>
      <c r="D429" s="15"/>
      <c r="E429" s="16"/>
      <c r="F429" s="16"/>
      <c r="G429" s="16"/>
      <c r="H429" s="16"/>
      <c r="I429" s="17"/>
      <c r="J429" s="17"/>
      <c r="K429" s="17"/>
      <c r="L429" s="17"/>
      <c r="M429" s="17"/>
      <c r="N429" s="16"/>
      <c r="O429" s="16"/>
    </row>
    <row r="430" spans="1:15">
      <c r="A430" s="13" t="s">
        <v>203</v>
      </c>
      <c r="B430" s="14" t="s">
        <v>17</v>
      </c>
      <c r="C430" s="14" t="s">
        <v>18</v>
      </c>
      <c r="D430" s="15" t="s">
        <v>126</v>
      </c>
      <c r="E430" s="16"/>
      <c r="F430" s="16"/>
      <c r="G430" s="16"/>
      <c r="H430" s="16"/>
      <c r="I430" s="17"/>
      <c r="J430" s="17"/>
      <c r="K430" s="17">
        <v>85000</v>
      </c>
      <c r="L430" s="17"/>
      <c r="M430" s="17">
        <v>14000</v>
      </c>
      <c r="N430" s="16"/>
      <c r="O430" s="16"/>
    </row>
    <row r="431" spans="1:15">
      <c r="A431" s="13" t="s">
        <v>204</v>
      </c>
      <c r="B431" s="14" t="s">
        <v>17</v>
      </c>
      <c r="C431" s="14" t="s">
        <v>18</v>
      </c>
      <c r="D431" s="15" t="s">
        <v>205</v>
      </c>
      <c r="E431" s="16"/>
      <c r="F431" s="16"/>
      <c r="G431" s="16"/>
      <c r="H431" s="16"/>
      <c r="I431" s="17"/>
      <c r="J431" s="17"/>
      <c r="K431" s="17">
        <v>26500</v>
      </c>
      <c r="L431" s="17"/>
      <c r="M431" s="17">
        <v>14000</v>
      </c>
      <c r="N431" s="16"/>
      <c r="O431" s="16"/>
    </row>
    <row r="432" spans="1:15">
      <c r="A432" s="13" t="s">
        <v>206</v>
      </c>
      <c r="B432" s="14" t="s">
        <v>17</v>
      </c>
      <c r="C432" s="14" t="s">
        <v>18</v>
      </c>
      <c r="D432" s="15" t="s">
        <v>126</v>
      </c>
      <c r="E432" s="16"/>
      <c r="F432" s="16"/>
      <c r="G432" s="16"/>
      <c r="H432" s="16"/>
      <c r="I432" s="17"/>
      <c r="J432" s="17"/>
      <c r="K432" s="17">
        <v>85000</v>
      </c>
      <c r="L432" s="17"/>
      <c r="M432" s="17">
        <v>14000</v>
      </c>
      <c r="N432" s="16"/>
      <c r="O432" s="16"/>
    </row>
    <row r="433" spans="1:15">
      <c r="A433" s="13" t="s">
        <v>207</v>
      </c>
      <c r="B433" s="14" t="s">
        <v>17</v>
      </c>
      <c r="C433" s="14" t="s">
        <v>18</v>
      </c>
      <c r="D433" s="15" t="s">
        <v>86</v>
      </c>
      <c r="E433" s="16"/>
      <c r="F433" s="16"/>
      <c r="G433" s="16"/>
      <c r="H433" s="16"/>
      <c r="I433" s="17"/>
      <c r="J433" s="17"/>
      <c r="K433" s="17">
        <v>85000</v>
      </c>
      <c r="L433" s="17"/>
      <c r="M433" s="17">
        <v>11000</v>
      </c>
      <c r="N433" s="16"/>
      <c r="O433" s="16"/>
    </row>
    <row r="434" spans="1:15">
      <c r="A434" s="13" t="s">
        <v>208</v>
      </c>
      <c r="B434" s="14" t="s">
        <v>17</v>
      </c>
      <c r="C434" s="14" t="s">
        <v>18</v>
      </c>
      <c r="D434" s="15" t="s">
        <v>140</v>
      </c>
      <c r="E434" s="16"/>
      <c r="F434" s="16"/>
      <c r="G434" s="16"/>
      <c r="H434" s="16"/>
      <c r="I434" s="17"/>
      <c r="J434" s="17"/>
      <c r="K434" s="17">
        <v>93500</v>
      </c>
      <c r="L434" s="17"/>
      <c r="M434" s="17">
        <v>11000</v>
      </c>
      <c r="N434" s="16"/>
      <c r="O434" s="16"/>
    </row>
    <row r="435" spans="1:15">
      <c r="A435" s="13" t="s">
        <v>209</v>
      </c>
      <c r="B435" s="14" t="s">
        <v>17</v>
      </c>
      <c r="C435" s="14" t="s">
        <v>18</v>
      </c>
      <c r="D435" s="15" t="s">
        <v>68</v>
      </c>
      <c r="E435" s="16"/>
      <c r="F435" s="16"/>
      <c r="G435" s="16"/>
      <c r="H435" s="16"/>
      <c r="I435" s="17"/>
      <c r="J435" s="17"/>
      <c r="K435" s="17">
        <v>42500</v>
      </c>
      <c r="L435" s="17"/>
      <c r="M435" s="17">
        <v>7000</v>
      </c>
      <c r="N435" s="16"/>
      <c r="O435" s="16"/>
    </row>
    <row r="436" spans="1:15">
      <c r="A436" s="13" t="s">
        <v>210</v>
      </c>
      <c r="B436" s="14" t="s">
        <v>17</v>
      </c>
      <c r="C436" s="14" t="s">
        <v>18</v>
      </c>
      <c r="D436" s="15" t="s">
        <v>182</v>
      </c>
      <c r="E436" s="16"/>
      <c r="F436" s="16"/>
      <c r="G436" s="16"/>
      <c r="H436" s="16"/>
      <c r="I436" s="17"/>
      <c r="J436" s="17"/>
      <c r="K436" s="17"/>
      <c r="L436" s="17"/>
      <c r="M436" s="17">
        <v>7000</v>
      </c>
      <c r="N436" s="16"/>
      <c r="O436" s="16"/>
    </row>
    <row r="437" spans="1:15">
      <c r="A437" s="13" t="s">
        <v>211</v>
      </c>
      <c r="B437" s="14" t="s">
        <v>17</v>
      </c>
      <c r="C437" s="14" t="s">
        <v>18</v>
      </c>
      <c r="D437" s="15" t="s">
        <v>140</v>
      </c>
      <c r="E437" s="16"/>
      <c r="F437" s="16"/>
      <c r="G437" s="16"/>
      <c r="H437" s="16"/>
      <c r="I437" s="17"/>
      <c r="J437" s="17"/>
      <c r="K437" s="17">
        <v>93500</v>
      </c>
      <c r="L437" s="17"/>
      <c r="M437" s="17">
        <v>14000</v>
      </c>
      <c r="N437" s="16"/>
      <c r="O437" s="16"/>
    </row>
    <row r="438" spans="1:15">
      <c r="A438" s="8">
        <v>45763</v>
      </c>
      <c r="B438" s="9"/>
      <c r="C438" s="9"/>
      <c r="D438" s="10"/>
      <c r="E438" s="16"/>
      <c r="F438" s="16"/>
      <c r="G438" s="16"/>
      <c r="H438" s="16"/>
      <c r="I438" s="17">
        <v>1000000</v>
      </c>
      <c r="J438" s="17"/>
      <c r="K438" s="17"/>
      <c r="L438" s="17"/>
      <c r="M438" s="17"/>
      <c r="N438" s="16" t="s">
        <v>212</v>
      </c>
      <c r="O438" s="16" t="s">
        <v>213</v>
      </c>
    </row>
    <row r="439" spans="1:15">
      <c r="A439" s="13">
        <v>45762</v>
      </c>
      <c r="B439" s="14" t="s">
        <v>17</v>
      </c>
      <c r="C439" s="14" t="s">
        <v>18</v>
      </c>
      <c r="D439" s="15" t="s">
        <v>68</v>
      </c>
      <c r="E439" s="16"/>
      <c r="F439" s="16"/>
      <c r="G439" s="16"/>
      <c r="H439" s="16"/>
      <c r="I439" s="17"/>
      <c r="J439" s="17"/>
      <c r="K439" s="17">
        <v>42500</v>
      </c>
      <c r="L439" s="17"/>
      <c r="M439" s="17">
        <v>4000</v>
      </c>
      <c r="N439" s="16"/>
      <c r="O439" s="16"/>
    </row>
    <row r="440" spans="1:15">
      <c r="A440" s="13">
        <v>45763</v>
      </c>
      <c r="B440" s="14" t="s">
        <v>17</v>
      </c>
      <c r="C440" s="14" t="s">
        <v>18</v>
      </c>
      <c r="D440" s="15" t="s">
        <v>214</v>
      </c>
      <c r="E440" s="16"/>
      <c r="F440" s="16"/>
      <c r="G440" s="16"/>
      <c r="H440" s="16"/>
      <c r="I440" s="17"/>
      <c r="J440" s="17"/>
      <c r="K440" s="17">
        <v>69000</v>
      </c>
      <c r="L440" s="17"/>
      <c r="M440" s="17">
        <v>11000</v>
      </c>
      <c r="N440" s="16"/>
      <c r="O440" s="16"/>
    </row>
    <row r="441" spans="1:15">
      <c r="A441" s="13">
        <v>45764</v>
      </c>
      <c r="B441" s="14" t="s">
        <v>17</v>
      </c>
      <c r="C441" s="14" t="s">
        <v>18</v>
      </c>
      <c r="D441" s="15" t="s">
        <v>68</v>
      </c>
      <c r="E441" s="16"/>
      <c r="F441" s="16"/>
      <c r="G441" s="16"/>
      <c r="H441" s="16"/>
      <c r="I441" s="17"/>
      <c r="J441" s="17"/>
      <c r="K441" s="17">
        <v>42500</v>
      </c>
      <c r="L441" s="17"/>
      <c r="M441" s="17">
        <v>7000</v>
      </c>
      <c r="N441" s="16"/>
      <c r="O441" s="16"/>
    </row>
    <row r="442" spans="1:15">
      <c r="A442" s="13">
        <v>45765</v>
      </c>
      <c r="B442" s="14" t="s">
        <v>17</v>
      </c>
      <c r="C442" s="14" t="s">
        <v>18</v>
      </c>
      <c r="D442" s="15" t="s">
        <v>146</v>
      </c>
      <c r="E442" s="16"/>
      <c r="F442" s="16"/>
      <c r="G442" s="16"/>
      <c r="H442" s="16"/>
      <c r="I442" s="17"/>
      <c r="J442" s="17"/>
      <c r="K442" s="17">
        <v>7000</v>
      </c>
      <c r="L442" s="17"/>
      <c r="M442" s="17">
        <v>4000</v>
      </c>
      <c r="N442" s="16"/>
      <c r="O442" s="16"/>
    </row>
    <row r="443" spans="1:15">
      <c r="A443" s="13">
        <v>45766</v>
      </c>
      <c r="B443" s="14" t="s">
        <v>17</v>
      </c>
      <c r="C443" s="14" t="s">
        <v>18</v>
      </c>
      <c r="D443" s="15" t="s">
        <v>215</v>
      </c>
      <c r="E443" s="16"/>
      <c r="F443" s="16"/>
      <c r="G443" s="16"/>
      <c r="H443" s="16"/>
      <c r="I443" s="17"/>
      <c r="J443" s="17"/>
      <c r="K443" s="17">
        <v>42500</v>
      </c>
      <c r="L443" s="17"/>
      <c r="M443" s="17">
        <v>7000</v>
      </c>
      <c r="N443" s="16"/>
      <c r="O443" s="16"/>
    </row>
    <row r="444" spans="1:15">
      <c r="A444" s="13">
        <v>45767</v>
      </c>
      <c r="B444" s="14" t="s">
        <v>17</v>
      </c>
      <c r="C444" s="14" t="s">
        <v>18</v>
      </c>
      <c r="D444" s="15" t="s">
        <v>133</v>
      </c>
      <c r="E444" s="16"/>
      <c r="F444" s="16"/>
      <c r="G444" s="16"/>
      <c r="H444" s="16"/>
      <c r="I444" s="17"/>
      <c r="J444" s="17"/>
      <c r="K444" s="17"/>
      <c r="L444" s="17"/>
      <c r="M444" s="17"/>
      <c r="N444" s="16"/>
      <c r="O444" s="16"/>
    </row>
    <row r="445" spans="1:15">
      <c r="A445" s="13">
        <v>45768</v>
      </c>
      <c r="B445" s="14" t="s">
        <v>17</v>
      </c>
      <c r="C445" s="14" t="s">
        <v>18</v>
      </c>
      <c r="D445" s="15" t="s">
        <v>216</v>
      </c>
      <c r="E445" s="16"/>
      <c r="F445" s="16"/>
      <c r="G445" s="16"/>
      <c r="H445" s="16"/>
      <c r="I445" s="17"/>
      <c r="J445" s="17"/>
      <c r="K445" s="17">
        <v>85000</v>
      </c>
      <c r="L445" s="17"/>
      <c r="M445" s="17">
        <v>14000</v>
      </c>
      <c r="N445" s="16"/>
      <c r="O445" s="16"/>
    </row>
    <row r="446" spans="1:15">
      <c r="A446" s="8">
        <v>45770</v>
      </c>
      <c r="B446" s="9"/>
      <c r="C446" s="9"/>
      <c r="D446" s="10"/>
      <c r="E446" s="16"/>
      <c r="F446" s="16"/>
      <c r="G446" s="16"/>
      <c r="H446" s="16"/>
      <c r="I446" s="17">
        <v>1000000</v>
      </c>
      <c r="J446" s="17"/>
      <c r="K446" s="17">
        <v>288500</v>
      </c>
      <c r="L446" s="17"/>
      <c r="M446" s="17">
        <v>47000</v>
      </c>
      <c r="N446" s="16" t="s">
        <v>217</v>
      </c>
      <c r="O446" s="16" t="s">
        <v>218</v>
      </c>
    </row>
    <row r="447" spans="1:15">
      <c r="A447" s="13">
        <v>45769</v>
      </c>
      <c r="B447" s="14" t="s">
        <v>17</v>
      </c>
      <c r="C447" s="14" t="s">
        <v>18</v>
      </c>
      <c r="D447" s="15" t="s">
        <v>68</v>
      </c>
      <c r="E447" s="16"/>
      <c r="F447" s="16"/>
      <c r="G447" s="16"/>
      <c r="H447" s="16"/>
      <c r="I447" s="17"/>
      <c r="J447" s="17"/>
      <c r="K447" s="17">
        <v>85000</v>
      </c>
      <c r="L447" s="17"/>
      <c r="M447" s="17">
        <v>14000</v>
      </c>
      <c r="N447" s="16"/>
      <c r="O447" s="16"/>
    </row>
    <row r="448" spans="1:15">
      <c r="A448" s="13">
        <v>45770</v>
      </c>
      <c r="B448" s="14" t="s">
        <v>17</v>
      </c>
      <c r="C448" s="14" t="s">
        <v>18</v>
      </c>
      <c r="D448" s="15" t="s">
        <v>219</v>
      </c>
      <c r="E448" s="16"/>
      <c r="F448" s="16"/>
      <c r="G448" s="16"/>
      <c r="H448" s="16"/>
      <c r="I448" s="17"/>
      <c r="J448" s="17"/>
      <c r="K448" s="17">
        <v>26500</v>
      </c>
      <c r="L448" s="17"/>
      <c r="M448" s="17">
        <v>14000</v>
      </c>
      <c r="N448" s="16"/>
      <c r="O448" s="16"/>
    </row>
    <row r="449" spans="1:15">
      <c r="A449" s="13">
        <v>45771</v>
      </c>
      <c r="B449" s="14" t="s">
        <v>17</v>
      </c>
      <c r="C449" s="14" t="s">
        <v>18</v>
      </c>
      <c r="D449" s="15" t="s">
        <v>140</v>
      </c>
      <c r="E449" s="16"/>
      <c r="F449" s="16"/>
      <c r="G449" s="16"/>
      <c r="H449" s="16"/>
      <c r="I449" s="17"/>
      <c r="J449" s="17"/>
      <c r="K449" s="17">
        <v>85000</v>
      </c>
      <c r="L449" s="17"/>
      <c r="M449" s="17">
        <v>14000</v>
      </c>
      <c r="N449" s="16"/>
      <c r="O449" s="16"/>
    </row>
    <row r="450" spans="1:15">
      <c r="A450" s="13">
        <v>45772</v>
      </c>
      <c r="B450" s="14" t="s">
        <v>17</v>
      </c>
      <c r="C450" s="14" t="s">
        <v>18</v>
      </c>
      <c r="D450" s="15" t="s">
        <v>220</v>
      </c>
      <c r="E450" s="16"/>
      <c r="F450" s="16"/>
      <c r="G450" s="16"/>
      <c r="H450" s="16"/>
      <c r="I450" s="17"/>
      <c r="J450" s="17"/>
      <c r="K450" s="17">
        <v>85000</v>
      </c>
      <c r="L450" s="17"/>
      <c r="M450" s="17">
        <v>14000</v>
      </c>
      <c r="N450" s="16"/>
      <c r="O450" s="16"/>
    </row>
    <row r="451" spans="1:15">
      <c r="A451" s="13">
        <v>45773</v>
      </c>
      <c r="B451" s="14" t="s">
        <v>17</v>
      </c>
      <c r="C451" s="14" t="s">
        <v>18</v>
      </c>
      <c r="D451" s="15" t="s">
        <v>201</v>
      </c>
      <c r="E451" s="16"/>
      <c r="F451" s="16"/>
      <c r="G451" s="16"/>
      <c r="H451" s="16"/>
      <c r="I451" s="17"/>
      <c r="J451" s="17"/>
      <c r="K451" s="17">
        <v>42500</v>
      </c>
      <c r="L451" s="17"/>
      <c r="M451" s="17">
        <v>7000</v>
      </c>
      <c r="N451" s="16"/>
      <c r="O451" s="16"/>
    </row>
    <row r="452" spans="1:15">
      <c r="A452" s="13">
        <v>45774</v>
      </c>
      <c r="B452" s="14" t="s">
        <v>17</v>
      </c>
      <c r="C452" s="14" t="s">
        <v>18</v>
      </c>
      <c r="D452" s="15" t="s">
        <v>146</v>
      </c>
      <c r="E452" s="16"/>
      <c r="F452" s="16"/>
      <c r="G452" s="16"/>
      <c r="H452" s="16"/>
      <c r="I452" s="17"/>
      <c r="J452" s="17"/>
      <c r="K452" s="17"/>
      <c r="L452" s="17"/>
      <c r="M452" s="17">
        <v>7000</v>
      </c>
      <c r="N452" s="16"/>
      <c r="O452" s="16"/>
    </row>
    <row r="453" spans="1:15">
      <c r="A453" s="8">
        <v>45779</v>
      </c>
      <c r="B453" s="9"/>
      <c r="C453" s="9"/>
      <c r="D453" s="10"/>
      <c r="E453" s="16"/>
      <c r="F453" s="16"/>
      <c r="G453" s="16"/>
      <c r="H453" s="16"/>
      <c r="I453" s="17">
        <v>1000000</v>
      </c>
      <c r="J453" s="17"/>
      <c r="K453" s="17">
        <v>324000</v>
      </c>
      <c r="L453" s="17"/>
      <c r="M453" s="17">
        <v>70000</v>
      </c>
      <c r="N453" s="16" t="s">
        <v>221</v>
      </c>
      <c r="O453" s="16" t="s">
        <v>222</v>
      </c>
    </row>
    <row r="454" spans="1:15">
      <c r="A454" s="13">
        <v>45775</v>
      </c>
      <c r="B454" s="14" t="s">
        <v>17</v>
      </c>
      <c r="C454" s="14" t="s">
        <v>18</v>
      </c>
      <c r="D454" s="15" t="s">
        <v>223</v>
      </c>
      <c r="E454" s="16"/>
      <c r="F454" s="16"/>
      <c r="G454" s="16"/>
      <c r="H454" s="16"/>
      <c r="I454" s="17"/>
      <c r="J454" s="17"/>
      <c r="K454" s="17">
        <v>73000</v>
      </c>
      <c r="L454" s="17"/>
      <c r="M454" s="17">
        <v>14000</v>
      </c>
      <c r="N454" s="16"/>
      <c r="O454" s="16"/>
    </row>
    <row r="455" spans="1:15">
      <c r="A455" s="13">
        <v>45776</v>
      </c>
      <c r="B455" s="14" t="s">
        <v>17</v>
      </c>
      <c r="C455" s="14" t="s">
        <v>18</v>
      </c>
      <c r="D455" s="15" t="s">
        <v>68</v>
      </c>
      <c r="E455" s="16"/>
      <c r="F455" s="16"/>
      <c r="G455" s="16"/>
      <c r="H455" s="16"/>
      <c r="I455" s="17"/>
      <c r="J455" s="17"/>
      <c r="K455" s="17">
        <v>85000</v>
      </c>
      <c r="L455" s="17"/>
      <c r="M455" s="17">
        <v>14000</v>
      </c>
      <c r="N455" s="16"/>
      <c r="O455" s="16"/>
    </row>
    <row r="456" spans="1:15">
      <c r="A456" s="13">
        <v>45777</v>
      </c>
      <c r="B456" s="14" t="s">
        <v>17</v>
      </c>
      <c r="C456" s="14" t="s">
        <v>18</v>
      </c>
      <c r="D456" s="15" t="s">
        <v>224</v>
      </c>
      <c r="E456" s="16"/>
      <c r="F456" s="16"/>
      <c r="G456" s="16"/>
      <c r="H456" s="16"/>
      <c r="I456" s="17"/>
      <c r="J456" s="17"/>
      <c r="K456" s="17">
        <v>48500</v>
      </c>
      <c r="L456" s="17"/>
      <c r="M456" s="17"/>
      <c r="N456" s="16"/>
      <c r="O456" s="16"/>
    </row>
    <row r="457" spans="1:15">
      <c r="A457" s="29">
        <v>45778</v>
      </c>
      <c r="B457" s="30" t="s">
        <v>17</v>
      </c>
      <c r="C457" s="30" t="s">
        <v>18</v>
      </c>
      <c r="D457" s="31" t="s">
        <v>225</v>
      </c>
      <c r="E457" s="16"/>
      <c r="F457" s="16"/>
      <c r="G457" s="16"/>
      <c r="H457" s="16"/>
      <c r="I457" s="17"/>
      <c r="J457" s="17"/>
      <c r="K457" s="17"/>
      <c r="L457" s="17"/>
      <c r="M457" s="17"/>
      <c r="N457" s="16"/>
      <c r="O457" s="16"/>
    </row>
    <row r="458" spans="1:15">
      <c r="A458" s="13">
        <v>45779</v>
      </c>
      <c r="B458" s="14" t="s">
        <v>17</v>
      </c>
      <c r="C458" s="14" t="s">
        <v>18</v>
      </c>
      <c r="D458" s="15" t="s">
        <v>140</v>
      </c>
      <c r="E458" s="16"/>
      <c r="F458" s="16"/>
      <c r="G458" s="16"/>
      <c r="H458" s="16"/>
      <c r="I458" s="17"/>
      <c r="J458" s="17"/>
      <c r="K458" s="17">
        <v>85000</v>
      </c>
      <c r="L458" s="17"/>
      <c r="M458" s="17">
        <v>14000</v>
      </c>
      <c r="N458" s="16"/>
      <c r="O458" s="16"/>
    </row>
    <row r="459" spans="1:15">
      <c r="A459" s="13">
        <v>45780</v>
      </c>
      <c r="B459" s="14" t="s">
        <v>17</v>
      </c>
      <c r="C459" s="14" t="s">
        <v>18</v>
      </c>
      <c r="D459" s="15" t="s">
        <v>226</v>
      </c>
      <c r="E459" s="16"/>
      <c r="F459" s="16"/>
      <c r="G459" s="16"/>
      <c r="H459" s="16"/>
      <c r="I459" s="17"/>
      <c r="J459" s="17"/>
      <c r="K459" s="17">
        <v>69000</v>
      </c>
      <c r="L459" s="17"/>
      <c r="M459" s="17">
        <v>11000</v>
      </c>
      <c r="N459" s="16"/>
      <c r="O459" s="16"/>
    </row>
    <row r="460" spans="1:15">
      <c r="A460" s="13">
        <v>45781</v>
      </c>
      <c r="B460" s="14" t="s">
        <v>17</v>
      </c>
      <c r="C460" s="14" t="s">
        <v>18</v>
      </c>
      <c r="D460" s="15" t="s">
        <v>52</v>
      </c>
      <c r="E460" s="16"/>
      <c r="F460" s="16"/>
      <c r="G460" s="16"/>
      <c r="H460" s="16"/>
      <c r="I460" s="17"/>
      <c r="J460" s="17"/>
      <c r="K460" s="17">
        <v>16000</v>
      </c>
      <c r="L460" s="17"/>
      <c r="M460" s="17">
        <v>7000</v>
      </c>
      <c r="N460" s="16"/>
      <c r="O460" s="16"/>
    </row>
    <row r="461" spans="1:15">
      <c r="A461" s="13">
        <v>45782</v>
      </c>
      <c r="B461" s="14" t="s">
        <v>17</v>
      </c>
      <c r="C461" s="14" t="s">
        <v>18</v>
      </c>
      <c r="D461" s="15" t="s">
        <v>86</v>
      </c>
      <c r="E461" s="16"/>
      <c r="F461" s="16"/>
      <c r="G461" s="16"/>
      <c r="H461" s="16"/>
      <c r="I461" s="17"/>
      <c r="J461" s="17"/>
      <c r="K461" s="17">
        <v>85000</v>
      </c>
      <c r="L461" s="17"/>
      <c r="M461" s="17">
        <v>14000</v>
      </c>
      <c r="N461" s="16"/>
      <c r="O461" s="16"/>
    </row>
    <row r="462" spans="1:15">
      <c r="A462" s="32">
        <v>45784</v>
      </c>
      <c r="B462" s="33"/>
      <c r="C462" s="33"/>
      <c r="D462" s="34"/>
      <c r="E462" s="16"/>
      <c r="F462" s="16"/>
      <c r="G462" s="16"/>
      <c r="H462" s="16"/>
      <c r="I462" s="17">
        <v>1000000</v>
      </c>
      <c r="J462" s="17"/>
      <c r="K462" s="17">
        <v>461500</v>
      </c>
      <c r="L462" s="17"/>
      <c r="M462" s="17">
        <v>74000</v>
      </c>
      <c r="N462" s="16" t="s">
        <v>227</v>
      </c>
      <c r="O462" s="16" t="s">
        <v>228</v>
      </c>
    </row>
    <row r="463" spans="1:15">
      <c r="A463" s="35"/>
      <c r="B463" s="36"/>
      <c r="C463" s="36"/>
      <c r="D463" s="37"/>
      <c r="E463" s="16"/>
      <c r="F463" s="16"/>
      <c r="G463" s="16"/>
      <c r="H463" s="16"/>
      <c r="I463" s="17"/>
      <c r="J463" s="17"/>
      <c r="K463" s="17"/>
      <c r="L463" s="17"/>
      <c r="M463" s="17"/>
      <c r="N463" s="16"/>
      <c r="O463" s="16"/>
    </row>
    <row r="464" spans="1:15">
      <c r="A464" s="38">
        <v>45796</v>
      </c>
      <c r="B464" s="22"/>
      <c r="C464" s="22"/>
      <c r="D464" s="23"/>
      <c r="E464" s="39"/>
      <c r="F464" s="39"/>
      <c r="G464" s="39"/>
      <c r="H464" s="39"/>
      <c r="I464" s="17">
        <v>1000000</v>
      </c>
      <c r="J464" s="17">
        <v>0</v>
      </c>
      <c r="K464" s="17">
        <v>379500</v>
      </c>
      <c r="L464" s="17">
        <v>0</v>
      </c>
      <c r="M464" s="17">
        <v>77000</v>
      </c>
      <c r="N464" s="16" t="s">
        <v>229</v>
      </c>
      <c r="O464" s="16" t="s">
        <v>230</v>
      </c>
    </row>
    <row r="465" spans="1:15">
      <c r="A465" s="38">
        <v>45790</v>
      </c>
      <c r="B465" s="22" t="s">
        <v>17</v>
      </c>
      <c r="C465" s="22" t="s">
        <v>18</v>
      </c>
      <c r="D465" s="23" t="s">
        <v>86</v>
      </c>
      <c r="E465" s="39"/>
      <c r="F465" s="39"/>
      <c r="G465" s="39"/>
      <c r="H465" s="39"/>
      <c r="I465" s="17"/>
      <c r="J465" s="17"/>
      <c r="K465" s="17">
        <v>82000</v>
      </c>
      <c r="L465" s="17"/>
      <c r="M465" s="17">
        <v>14000</v>
      </c>
      <c r="N465" s="16"/>
      <c r="O465" s="16"/>
    </row>
    <row r="466" spans="1:15">
      <c r="A466" s="38">
        <v>45791</v>
      </c>
      <c r="B466" s="22" t="s">
        <v>17</v>
      </c>
      <c r="C466" s="22" t="s">
        <v>18</v>
      </c>
      <c r="D466" s="23" t="s">
        <v>192</v>
      </c>
      <c r="E466" s="39"/>
      <c r="F466" s="39"/>
      <c r="G466" s="39"/>
      <c r="H466" s="39"/>
      <c r="I466" s="17"/>
      <c r="J466" s="17"/>
      <c r="K466" s="17">
        <v>85000</v>
      </c>
      <c r="L466" s="17"/>
      <c r="M466" s="17">
        <v>14000</v>
      </c>
      <c r="N466" s="16"/>
      <c r="O466" s="16"/>
    </row>
    <row r="467" spans="1:15">
      <c r="A467" s="38">
        <v>45792</v>
      </c>
      <c r="B467" s="22" t="s">
        <v>17</v>
      </c>
      <c r="C467" s="22" t="s">
        <v>18</v>
      </c>
      <c r="D467" s="23" t="s">
        <v>65</v>
      </c>
      <c r="E467" s="39"/>
      <c r="F467" s="39"/>
      <c r="G467" s="39"/>
      <c r="H467" s="39"/>
      <c r="I467" s="17"/>
      <c r="J467" s="17"/>
      <c r="K467" s="17">
        <v>85000</v>
      </c>
      <c r="L467" s="17"/>
      <c r="M467" s="17">
        <v>14000</v>
      </c>
      <c r="N467" s="16"/>
      <c r="O467" s="16"/>
    </row>
    <row r="468" spans="1:15">
      <c r="A468" s="38">
        <v>45794</v>
      </c>
      <c r="B468" s="22" t="s">
        <v>17</v>
      </c>
      <c r="C468" s="22" t="s">
        <v>18</v>
      </c>
      <c r="D468" s="23" t="s">
        <v>65</v>
      </c>
      <c r="E468" s="39"/>
      <c r="F468" s="39"/>
      <c r="G468" s="39"/>
      <c r="H468" s="39"/>
      <c r="I468" s="17"/>
      <c r="J468" s="17"/>
      <c r="K468" s="17">
        <v>69000</v>
      </c>
      <c r="L468" s="17"/>
      <c r="M468" s="17">
        <v>14000</v>
      </c>
      <c r="N468" s="16"/>
      <c r="O468" s="16"/>
    </row>
    <row r="469" spans="1:15">
      <c r="A469" s="38">
        <v>45795</v>
      </c>
      <c r="B469" s="22" t="s">
        <v>17</v>
      </c>
      <c r="C469" s="22" t="s">
        <v>18</v>
      </c>
      <c r="D469" s="23" t="s">
        <v>231</v>
      </c>
      <c r="E469" s="39"/>
      <c r="F469" s="39"/>
      <c r="G469" s="39"/>
      <c r="H469" s="39"/>
      <c r="I469" s="17"/>
      <c r="J469" s="17"/>
      <c r="K469" s="17">
        <v>16000</v>
      </c>
      <c r="L469" s="17"/>
      <c r="M469" s="17">
        <v>7000</v>
      </c>
      <c r="N469" s="16"/>
      <c r="O469" s="16"/>
    </row>
    <row r="470" spans="1:15">
      <c r="A470" s="38">
        <v>45796</v>
      </c>
      <c r="B470" s="22" t="s">
        <v>17</v>
      </c>
      <c r="C470" s="22" t="s">
        <v>18</v>
      </c>
      <c r="D470" s="23" t="s">
        <v>232</v>
      </c>
      <c r="E470" s="39"/>
      <c r="F470" s="39"/>
      <c r="G470" s="39"/>
      <c r="H470" s="39"/>
      <c r="I470" s="17"/>
      <c r="J470" s="17"/>
      <c r="K470" s="17">
        <v>42500</v>
      </c>
      <c r="L470" s="17"/>
      <c r="M470" s="17">
        <v>14000</v>
      </c>
      <c r="N470" s="16"/>
      <c r="O470" s="16"/>
    </row>
    <row r="471" spans="1:15">
      <c r="A471" s="38"/>
      <c r="B471" s="22"/>
      <c r="C471" s="22"/>
      <c r="D471" s="23"/>
      <c r="E471" s="39"/>
      <c r="F471" s="39"/>
      <c r="G471" s="39"/>
      <c r="H471" s="39"/>
      <c r="I471" s="17"/>
      <c r="J471" s="17"/>
      <c r="K471" s="17"/>
      <c r="L471" s="17"/>
      <c r="M471" s="17"/>
      <c r="N471" s="16"/>
      <c r="O471" s="16"/>
    </row>
    <row r="472" spans="1:15">
      <c r="A472" s="38">
        <v>45804</v>
      </c>
      <c r="B472" s="22"/>
      <c r="C472" s="22"/>
      <c r="D472" s="23"/>
      <c r="E472" s="39"/>
      <c r="F472" s="39"/>
      <c r="G472" s="39"/>
      <c r="H472" s="39"/>
      <c r="I472" s="17">
        <v>1000000</v>
      </c>
      <c r="J472" s="17">
        <v>0</v>
      </c>
      <c r="K472" s="17">
        <v>504500</v>
      </c>
      <c r="L472" s="17">
        <v>0</v>
      </c>
      <c r="M472" s="17">
        <v>105000</v>
      </c>
      <c r="N472" s="16" t="s">
        <v>233</v>
      </c>
      <c r="O472" s="16" t="s">
        <v>234</v>
      </c>
    </row>
    <row r="473" spans="1:15">
      <c r="A473" s="38">
        <v>45797</v>
      </c>
      <c r="B473" s="22" t="s">
        <v>17</v>
      </c>
      <c r="C473" s="22" t="s">
        <v>18</v>
      </c>
      <c r="D473" s="23" t="s">
        <v>86</v>
      </c>
      <c r="E473" s="39"/>
      <c r="F473" s="39"/>
      <c r="G473" s="39"/>
      <c r="H473" s="39"/>
      <c r="I473" s="17"/>
      <c r="J473" s="17"/>
      <c r="K473" s="17">
        <v>75000</v>
      </c>
      <c r="L473" s="17"/>
      <c r="M473" s="17">
        <v>14000</v>
      </c>
      <c r="N473" s="16"/>
      <c r="O473" s="16"/>
    </row>
    <row r="474" spans="1:15">
      <c r="A474" s="38">
        <v>45798</v>
      </c>
      <c r="B474" s="22" t="s">
        <v>17</v>
      </c>
      <c r="C474" s="22" t="s">
        <v>18</v>
      </c>
      <c r="D474" s="23" t="s">
        <v>140</v>
      </c>
      <c r="E474" s="39"/>
      <c r="F474" s="39"/>
      <c r="G474" s="39"/>
      <c r="H474" s="39"/>
      <c r="I474" s="17"/>
      <c r="J474" s="17"/>
      <c r="K474" s="17">
        <v>85000</v>
      </c>
      <c r="L474" s="17"/>
      <c r="M474" s="17">
        <v>14000</v>
      </c>
      <c r="N474" s="16"/>
      <c r="O474" s="16"/>
    </row>
    <row r="475" spans="1:15">
      <c r="A475" s="38">
        <v>45799</v>
      </c>
      <c r="B475" s="22" t="s">
        <v>17</v>
      </c>
      <c r="C475" s="22" t="s">
        <v>18</v>
      </c>
      <c r="D475" s="23" t="s">
        <v>140</v>
      </c>
      <c r="E475" s="39"/>
      <c r="F475" s="39"/>
      <c r="G475" s="39"/>
      <c r="H475" s="39"/>
      <c r="I475" s="17"/>
      <c r="J475" s="17"/>
      <c r="K475" s="17">
        <v>69000</v>
      </c>
      <c r="L475" s="17"/>
      <c r="M475" s="17">
        <v>14000</v>
      </c>
      <c r="N475" s="16"/>
      <c r="O475" s="16"/>
    </row>
    <row r="476" spans="1:15">
      <c r="A476" s="38">
        <v>45800</v>
      </c>
      <c r="B476" s="22" t="s">
        <v>17</v>
      </c>
      <c r="C476" s="22" t="s">
        <v>18</v>
      </c>
      <c r="D476" s="23" t="s">
        <v>192</v>
      </c>
      <c r="E476" s="39"/>
      <c r="F476" s="39"/>
      <c r="G476" s="39"/>
      <c r="H476" s="39"/>
      <c r="I476" s="17"/>
      <c r="J476" s="17"/>
      <c r="K476" s="17">
        <v>82000</v>
      </c>
      <c r="L476" s="17"/>
      <c r="M476" s="17">
        <v>14000</v>
      </c>
      <c r="N476" s="16"/>
      <c r="O476" s="16"/>
    </row>
    <row r="477" spans="1:15">
      <c r="A477" s="38">
        <v>45801</v>
      </c>
      <c r="B477" s="22" t="s">
        <v>17</v>
      </c>
      <c r="C477" s="22" t="s">
        <v>18</v>
      </c>
      <c r="D477" s="23" t="s">
        <v>140</v>
      </c>
      <c r="E477" s="39"/>
      <c r="F477" s="39"/>
      <c r="G477" s="39"/>
      <c r="H477" s="39"/>
      <c r="I477" s="17"/>
      <c r="J477" s="17"/>
      <c r="K477" s="17">
        <v>85000</v>
      </c>
      <c r="L477" s="17"/>
      <c r="M477" s="17">
        <v>14000</v>
      </c>
      <c r="N477" s="16"/>
      <c r="O477" s="16"/>
    </row>
    <row r="478" spans="1:15">
      <c r="A478" s="38">
        <v>45802</v>
      </c>
      <c r="B478" s="22" t="s">
        <v>17</v>
      </c>
      <c r="C478" s="22" t="s">
        <v>18</v>
      </c>
      <c r="D478" s="23" t="s">
        <v>146</v>
      </c>
      <c r="E478" s="39"/>
      <c r="F478" s="39"/>
      <c r="G478" s="39"/>
      <c r="H478" s="39"/>
      <c r="I478" s="17"/>
      <c r="J478" s="17"/>
      <c r="K478" s="17">
        <v>16000</v>
      </c>
      <c r="L478" s="17"/>
      <c r="M478" s="17">
        <v>7000</v>
      </c>
      <c r="N478" s="16"/>
      <c r="O478" s="16"/>
    </row>
    <row r="479" spans="1:15">
      <c r="A479" s="38">
        <v>45803</v>
      </c>
      <c r="B479" s="22" t="s">
        <v>17</v>
      </c>
      <c r="C479" s="22" t="s">
        <v>18</v>
      </c>
      <c r="D479" s="23" t="s">
        <v>140</v>
      </c>
      <c r="E479" s="39"/>
      <c r="F479" s="39"/>
      <c r="G479" s="39"/>
      <c r="H479" s="39"/>
      <c r="I479" s="17"/>
      <c r="J479" s="17"/>
      <c r="K479" s="17">
        <v>66000</v>
      </c>
      <c r="L479" s="17"/>
      <c r="M479" s="17">
        <v>14000</v>
      </c>
      <c r="N479" s="16"/>
      <c r="O479" s="16"/>
    </row>
    <row r="480" spans="1:15">
      <c r="A480" s="38">
        <v>45804</v>
      </c>
      <c r="B480" s="22" t="s">
        <v>17</v>
      </c>
      <c r="C480" s="22" t="s">
        <v>18</v>
      </c>
      <c r="D480" s="23" t="s">
        <v>235</v>
      </c>
      <c r="E480" s="39"/>
      <c r="F480" s="39"/>
      <c r="G480" s="39"/>
      <c r="H480" s="39"/>
      <c r="I480" s="17"/>
      <c r="J480" s="17"/>
      <c r="K480" s="17">
        <v>26500</v>
      </c>
      <c r="L480" s="17"/>
      <c r="M480" s="17">
        <v>14000</v>
      </c>
      <c r="N480" s="16"/>
      <c r="O480" s="16"/>
    </row>
    <row r="481" spans="1:15">
      <c r="A481" s="38"/>
      <c r="B481" s="22"/>
      <c r="C481" s="22"/>
      <c r="D481" s="23"/>
      <c r="E481" s="39"/>
      <c r="F481" s="39"/>
      <c r="G481" s="39"/>
      <c r="H481" s="39"/>
      <c r="I481" s="17"/>
      <c r="J481" s="17"/>
      <c r="K481" s="17"/>
      <c r="L481" s="17"/>
      <c r="M481" s="17"/>
      <c r="N481" s="16"/>
      <c r="O481" s="16"/>
    </row>
    <row r="482" spans="1:15">
      <c r="A482" s="38">
        <v>45812</v>
      </c>
      <c r="B482" s="22"/>
      <c r="C482" s="22"/>
      <c r="D482" s="23"/>
      <c r="E482" s="39"/>
      <c r="F482" s="39"/>
      <c r="G482" s="39"/>
      <c r="H482" s="39"/>
      <c r="I482" s="17">
        <v>1000000</v>
      </c>
      <c r="J482" s="17">
        <v>0</v>
      </c>
      <c r="K482" s="17">
        <v>352500</v>
      </c>
      <c r="L482" s="17">
        <v>0</v>
      </c>
      <c r="M482" s="17">
        <v>65000</v>
      </c>
      <c r="N482" s="16" t="s">
        <v>236</v>
      </c>
      <c r="O482" s="16" t="s">
        <v>237</v>
      </c>
    </row>
    <row r="483" spans="1:15">
      <c r="A483" s="38">
        <v>45805</v>
      </c>
      <c r="B483" s="22" t="s">
        <v>17</v>
      </c>
      <c r="C483" s="23" t="s">
        <v>238</v>
      </c>
      <c r="D483" s="23" t="s">
        <v>239</v>
      </c>
      <c r="E483" s="39"/>
      <c r="F483" s="39"/>
      <c r="G483" s="39"/>
      <c r="H483" s="39"/>
      <c r="I483" s="17"/>
      <c r="J483" s="17"/>
      <c r="K483" s="17">
        <v>16000</v>
      </c>
      <c r="L483" s="17"/>
      <c r="M483" s="17"/>
      <c r="N483" s="16"/>
      <c r="O483" s="16"/>
    </row>
    <row r="484" spans="1:15">
      <c r="A484" s="38">
        <v>45807</v>
      </c>
      <c r="B484" s="22" t="s">
        <v>17</v>
      </c>
      <c r="C484" s="22" t="s">
        <v>18</v>
      </c>
      <c r="D484" s="23" t="s">
        <v>140</v>
      </c>
      <c r="E484" s="39"/>
      <c r="F484" s="39"/>
      <c r="G484" s="39"/>
      <c r="H484" s="39"/>
      <c r="I484" s="17"/>
      <c r="J484" s="17"/>
      <c r="K484" s="17">
        <v>85000</v>
      </c>
      <c r="L484" s="17"/>
      <c r="M484" s="17">
        <v>11000</v>
      </c>
      <c r="N484" s="16"/>
      <c r="O484" s="16"/>
    </row>
    <row r="485" spans="1:15">
      <c r="A485" s="38">
        <v>45808</v>
      </c>
      <c r="B485" s="22" t="s">
        <v>17</v>
      </c>
      <c r="C485" s="22" t="s">
        <v>18</v>
      </c>
      <c r="D485" s="23" t="s">
        <v>140</v>
      </c>
      <c r="E485" s="39"/>
      <c r="F485" s="39"/>
      <c r="G485" s="39"/>
      <c r="H485" s="39"/>
      <c r="I485" s="17"/>
      <c r="J485" s="17"/>
      <c r="K485" s="17">
        <v>85000</v>
      </c>
      <c r="L485" s="17"/>
      <c r="M485" s="17">
        <v>14000</v>
      </c>
      <c r="N485" s="16"/>
      <c r="O485" s="16"/>
    </row>
    <row r="486" spans="1:15">
      <c r="A486" s="38">
        <v>45810</v>
      </c>
      <c r="B486" s="22" t="s">
        <v>17</v>
      </c>
      <c r="C486" s="22" t="s">
        <v>18</v>
      </c>
      <c r="D486" s="23" t="s">
        <v>240</v>
      </c>
      <c r="E486" s="39"/>
      <c r="F486" s="39"/>
      <c r="G486" s="39"/>
      <c r="H486" s="39"/>
      <c r="I486" s="17"/>
      <c r="J486" s="17"/>
      <c r="K486" s="17">
        <v>26500</v>
      </c>
      <c r="L486" s="17"/>
      <c r="M486" s="17">
        <v>12000</v>
      </c>
      <c r="N486" s="16"/>
      <c r="O486" s="16"/>
    </row>
    <row r="487" spans="1:15">
      <c r="A487" s="38">
        <v>45811</v>
      </c>
      <c r="B487" s="22" t="s">
        <v>17</v>
      </c>
      <c r="C487" s="22" t="s">
        <v>18</v>
      </c>
      <c r="D487" s="23" t="s">
        <v>140</v>
      </c>
      <c r="E487" s="39"/>
      <c r="F487" s="39"/>
      <c r="G487" s="39"/>
      <c r="H487" s="39"/>
      <c r="I487" s="17"/>
      <c r="J487" s="17"/>
      <c r="K487" s="17">
        <v>62000</v>
      </c>
      <c r="L487" s="17"/>
      <c r="M487" s="17">
        <v>14000</v>
      </c>
      <c r="N487" s="16"/>
      <c r="O487" s="16"/>
    </row>
    <row r="488" spans="1:15">
      <c r="A488" s="38">
        <v>45812</v>
      </c>
      <c r="B488" s="22" t="s">
        <v>17</v>
      </c>
      <c r="C488" s="22" t="s">
        <v>18</v>
      </c>
      <c r="D488" s="23" t="s">
        <v>65</v>
      </c>
      <c r="E488" s="39"/>
      <c r="F488" s="39"/>
      <c r="G488" s="39"/>
      <c r="H488" s="39"/>
      <c r="I488" s="17"/>
      <c r="J488" s="17"/>
      <c r="K488" s="17">
        <v>78000</v>
      </c>
      <c r="L488" s="17"/>
      <c r="M488" s="17">
        <v>14000</v>
      </c>
      <c r="N488" s="16"/>
      <c r="O488" s="16"/>
    </row>
    <row r="489" spans="1:15">
      <c r="A489" s="38"/>
      <c r="B489" s="22"/>
      <c r="C489" s="22"/>
      <c r="D489" s="23"/>
      <c r="E489" s="39"/>
      <c r="F489" s="39"/>
      <c r="G489" s="39"/>
      <c r="H489" s="39"/>
      <c r="I489" s="17"/>
      <c r="J489" s="17"/>
      <c r="K489" s="17"/>
      <c r="L489" s="17"/>
      <c r="M489" s="17"/>
      <c r="N489" s="16"/>
      <c r="O489" s="16"/>
    </row>
    <row r="490" spans="1:15">
      <c r="A490" s="38">
        <v>45819</v>
      </c>
      <c r="B490" s="22"/>
      <c r="C490" s="22"/>
      <c r="D490" s="23"/>
      <c r="E490" s="39"/>
      <c r="F490" s="39"/>
      <c r="G490" s="39"/>
      <c r="H490" s="39"/>
      <c r="I490" s="17">
        <v>1000000</v>
      </c>
      <c r="J490" s="17">
        <v>0</v>
      </c>
      <c r="K490" s="17">
        <v>347500</v>
      </c>
      <c r="L490" s="17">
        <v>0</v>
      </c>
      <c r="M490" s="17">
        <v>60000</v>
      </c>
      <c r="N490" s="16" t="s">
        <v>241</v>
      </c>
      <c r="O490" s="16" t="s">
        <v>242</v>
      </c>
    </row>
    <row r="491" spans="1:15">
      <c r="A491" s="38">
        <v>45813</v>
      </c>
      <c r="B491" s="22" t="s">
        <v>17</v>
      </c>
      <c r="C491" s="22" t="s">
        <v>18</v>
      </c>
      <c r="D491" s="23" t="s">
        <v>68</v>
      </c>
      <c r="E491" s="39"/>
      <c r="F491" s="39"/>
      <c r="G491" s="39"/>
      <c r="H491" s="39"/>
      <c r="I491" s="17"/>
      <c r="J491" s="17"/>
      <c r="K491" s="17">
        <v>95500</v>
      </c>
      <c r="L491" s="17"/>
      <c r="M491" s="17">
        <v>11000</v>
      </c>
      <c r="N491" s="16"/>
      <c r="O491" s="16"/>
    </row>
    <row r="492" spans="1:15">
      <c r="A492" s="38">
        <v>45815</v>
      </c>
      <c r="B492" s="22" t="s">
        <v>17</v>
      </c>
      <c r="C492" s="22" t="s">
        <v>18</v>
      </c>
      <c r="D492" s="23" t="s">
        <v>48</v>
      </c>
      <c r="E492" s="39"/>
      <c r="F492" s="39"/>
      <c r="G492" s="39"/>
      <c r="H492" s="39"/>
      <c r="I492" s="17"/>
      <c r="J492" s="17"/>
      <c r="K492" s="17">
        <v>42500</v>
      </c>
      <c r="L492" s="17"/>
      <c r="M492" s="17">
        <v>7000</v>
      </c>
      <c r="N492" s="16"/>
      <c r="O492" s="16"/>
    </row>
    <row r="493" spans="1:15">
      <c r="A493" s="38">
        <v>45816</v>
      </c>
      <c r="B493" s="22" t="s">
        <v>17</v>
      </c>
      <c r="C493" s="22" t="s">
        <v>18</v>
      </c>
      <c r="D493" s="23" t="s">
        <v>243</v>
      </c>
      <c r="E493" s="39"/>
      <c r="F493" s="39"/>
      <c r="G493" s="39"/>
      <c r="H493" s="39"/>
      <c r="I493" s="17"/>
      <c r="J493" s="17"/>
      <c r="K493" s="17"/>
      <c r="L493" s="17"/>
      <c r="M493" s="17">
        <v>7000</v>
      </c>
      <c r="N493" s="16"/>
      <c r="O493" s="16"/>
    </row>
    <row r="494" spans="1:15">
      <c r="A494" s="38">
        <v>45817</v>
      </c>
      <c r="B494" s="22" t="s">
        <v>17</v>
      </c>
      <c r="C494" s="22" t="s">
        <v>18</v>
      </c>
      <c r="D494" s="23" t="s">
        <v>140</v>
      </c>
      <c r="E494" s="39"/>
      <c r="F494" s="39"/>
      <c r="G494" s="39"/>
      <c r="H494" s="39"/>
      <c r="I494" s="17"/>
      <c r="J494" s="17"/>
      <c r="K494" s="17">
        <v>85000</v>
      </c>
      <c r="L494" s="17"/>
      <c r="M494" s="17">
        <v>14000</v>
      </c>
      <c r="N494" s="16"/>
      <c r="O494" s="16"/>
    </row>
    <row r="495" spans="1:15">
      <c r="A495" s="38">
        <v>45818</v>
      </c>
      <c r="B495" s="22" t="s">
        <v>17</v>
      </c>
      <c r="C495" s="22" t="s">
        <v>18</v>
      </c>
      <c r="D495" s="23" t="s">
        <v>192</v>
      </c>
      <c r="E495" s="39"/>
      <c r="F495" s="39"/>
      <c r="G495" s="39"/>
      <c r="H495" s="39"/>
      <c r="I495" s="17"/>
      <c r="J495" s="17"/>
      <c r="K495" s="17">
        <v>82000</v>
      </c>
      <c r="L495" s="17"/>
      <c r="M495" s="17">
        <v>14000</v>
      </c>
      <c r="N495" s="16"/>
      <c r="O495" s="16"/>
    </row>
    <row r="496" spans="1:15">
      <c r="A496" s="38">
        <v>45819</v>
      </c>
      <c r="B496" s="22" t="s">
        <v>17</v>
      </c>
      <c r="C496" s="22" t="s">
        <v>18</v>
      </c>
      <c r="D496" s="23" t="s">
        <v>65</v>
      </c>
      <c r="E496" s="39"/>
      <c r="F496" s="39"/>
      <c r="G496" s="39"/>
      <c r="H496" s="39"/>
      <c r="I496" s="17"/>
      <c r="J496" s="17"/>
      <c r="K496" s="17">
        <v>42500</v>
      </c>
      <c r="L496" s="17"/>
      <c r="M496" s="17">
        <v>7000</v>
      </c>
      <c r="N496" s="16"/>
      <c r="O496" s="16"/>
    </row>
    <row r="497" spans="1:15">
      <c r="A497" s="38"/>
      <c r="B497" s="22"/>
      <c r="C497" s="22"/>
      <c r="D497" s="23"/>
      <c r="E497" s="39"/>
      <c r="F497" s="39"/>
      <c r="G497" s="39"/>
      <c r="H497" s="39"/>
      <c r="I497" s="17"/>
      <c r="J497" s="17"/>
      <c r="K497" s="17"/>
      <c r="L497" s="17"/>
      <c r="M497" s="17"/>
      <c r="N497" s="16"/>
      <c r="O497" s="16"/>
    </row>
    <row r="498" spans="1:15">
      <c r="A498" s="38">
        <v>45826</v>
      </c>
      <c r="B498" s="22"/>
      <c r="C498" s="22"/>
      <c r="D498" s="23"/>
      <c r="E498" s="39"/>
      <c r="F498" s="39"/>
      <c r="G498" s="39"/>
      <c r="H498" s="39"/>
      <c r="I498" s="17">
        <v>1000000</v>
      </c>
      <c r="J498" s="17">
        <v>0</v>
      </c>
      <c r="K498" s="17">
        <v>366500</v>
      </c>
      <c r="L498" s="17">
        <v>0</v>
      </c>
      <c r="M498" s="17">
        <v>77000</v>
      </c>
      <c r="N498" s="16" t="s">
        <v>244</v>
      </c>
      <c r="O498" s="16" t="s">
        <v>245</v>
      </c>
    </row>
    <row r="499" spans="1:15">
      <c r="A499" s="38">
        <v>45820</v>
      </c>
      <c r="B499" s="22" t="s">
        <v>17</v>
      </c>
      <c r="C499" s="22" t="s">
        <v>18</v>
      </c>
      <c r="D499" s="23" t="s">
        <v>140</v>
      </c>
      <c r="E499" s="39"/>
      <c r="F499" s="39"/>
      <c r="G499" s="39"/>
      <c r="H499" s="39"/>
      <c r="I499" s="17"/>
      <c r="J499" s="17"/>
      <c r="K499" s="17">
        <v>85000</v>
      </c>
      <c r="L499" s="17"/>
      <c r="M499" s="17">
        <v>14000</v>
      </c>
      <c r="N499" s="16"/>
      <c r="O499" s="16"/>
    </row>
    <row r="500" spans="1:15">
      <c r="A500" s="38">
        <v>45821</v>
      </c>
      <c r="B500" s="22" t="s">
        <v>17</v>
      </c>
      <c r="C500" s="22" t="s">
        <v>18</v>
      </c>
      <c r="D500" s="23" t="s">
        <v>246</v>
      </c>
      <c r="E500" s="39"/>
      <c r="F500" s="39"/>
      <c r="G500" s="39"/>
      <c r="H500" s="39"/>
      <c r="I500" s="17"/>
      <c r="J500" s="17"/>
      <c r="K500" s="17">
        <v>69000</v>
      </c>
      <c r="L500" s="17"/>
      <c r="M500" s="17">
        <v>14000</v>
      </c>
      <c r="N500" s="16"/>
      <c r="O500" s="16"/>
    </row>
    <row r="501" spans="1:15">
      <c r="A501" s="38">
        <v>45822</v>
      </c>
      <c r="B501" s="22" t="s">
        <v>17</v>
      </c>
      <c r="C501" s="22" t="s">
        <v>18</v>
      </c>
      <c r="D501" s="23" t="s">
        <v>140</v>
      </c>
      <c r="E501" s="39"/>
      <c r="F501" s="39"/>
      <c r="G501" s="39"/>
      <c r="H501" s="39"/>
      <c r="I501" s="17"/>
      <c r="J501" s="17"/>
      <c r="K501" s="17">
        <v>42500</v>
      </c>
      <c r="L501" s="17"/>
      <c r="M501" s="17">
        <v>14000</v>
      </c>
      <c r="N501" s="16"/>
      <c r="O501" s="16"/>
    </row>
    <row r="502" spans="1:15">
      <c r="A502" s="38">
        <v>45823</v>
      </c>
      <c r="B502" s="22" t="s">
        <v>17</v>
      </c>
      <c r="C502" s="22" t="s">
        <v>18</v>
      </c>
      <c r="D502" s="23" t="s">
        <v>243</v>
      </c>
      <c r="E502" s="39"/>
      <c r="F502" s="39"/>
      <c r="G502" s="39"/>
      <c r="H502" s="39"/>
      <c r="I502" s="17"/>
      <c r="J502" s="17"/>
      <c r="K502" s="17"/>
      <c r="L502" s="17"/>
      <c r="M502" s="17">
        <v>7000</v>
      </c>
      <c r="N502" s="16"/>
      <c r="O502" s="16"/>
    </row>
    <row r="503" spans="1:15">
      <c r="A503" s="38">
        <v>45825</v>
      </c>
      <c r="B503" s="22" t="s">
        <v>17</v>
      </c>
      <c r="C503" s="22" t="s">
        <v>18</v>
      </c>
      <c r="D503" s="23" t="s">
        <v>140</v>
      </c>
      <c r="E503" s="39"/>
      <c r="F503" s="39"/>
      <c r="G503" s="39"/>
      <c r="H503" s="39"/>
      <c r="I503" s="17"/>
      <c r="J503" s="17"/>
      <c r="K503" s="17">
        <v>85000</v>
      </c>
      <c r="L503" s="17"/>
      <c r="M503" s="17">
        <v>14000</v>
      </c>
      <c r="N503" s="16"/>
      <c r="O503" s="16"/>
    </row>
    <row r="504" spans="1:15">
      <c r="A504" s="38">
        <v>45826</v>
      </c>
      <c r="B504" s="22" t="s">
        <v>17</v>
      </c>
      <c r="C504" s="22" t="s">
        <v>18</v>
      </c>
      <c r="D504" s="23" t="s">
        <v>65</v>
      </c>
      <c r="E504" s="39"/>
      <c r="F504" s="39"/>
      <c r="G504" s="39"/>
      <c r="H504" s="39"/>
      <c r="I504" s="17"/>
      <c r="J504" s="17"/>
      <c r="K504" s="17">
        <v>85000</v>
      </c>
      <c r="L504" s="17"/>
      <c r="M504" s="17">
        <v>14000</v>
      </c>
      <c r="N504" s="16"/>
      <c r="O504" s="16"/>
    </row>
    <row r="505" spans="1:15">
      <c r="A505" s="38"/>
      <c r="B505" s="22"/>
      <c r="C505" s="22"/>
      <c r="D505" s="23"/>
      <c r="E505" s="39"/>
      <c r="F505" s="39"/>
      <c r="G505" s="39"/>
      <c r="H505" s="39"/>
      <c r="I505" s="17"/>
      <c r="J505" s="17"/>
      <c r="K505" s="17"/>
      <c r="L505" s="17"/>
      <c r="M505" s="17"/>
      <c r="N505" s="16"/>
      <c r="O505" s="16"/>
    </row>
    <row r="506" spans="1:15">
      <c r="A506" s="38">
        <v>45831</v>
      </c>
      <c r="B506" s="22"/>
      <c r="C506" s="22"/>
      <c r="D506" s="23"/>
      <c r="E506" s="39"/>
      <c r="F506" s="39"/>
      <c r="G506" s="39"/>
      <c r="H506" s="39"/>
      <c r="I506" s="17">
        <v>1000000</v>
      </c>
      <c r="J506" s="17">
        <v>0</v>
      </c>
      <c r="K506" s="17">
        <v>230000</v>
      </c>
      <c r="L506" s="17">
        <v>0</v>
      </c>
      <c r="M506" s="17">
        <v>53000</v>
      </c>
      <c r="N506" s="16" t="s">
        <v>247</v>
      </c>
      <c r="O506" s="16" t="s">
        <v>248</v>
      </c>
    </row>
    <row r="507" spans="1:15">
      <c r="A507" s="38">
        <v>45827</v>
      </c>
      <c r="B507" s="22" t="s">
        <v>17</v>
      </c>
      <c r="C507" s="22" t="s">
        <v>18</v>
      </c>
      <c r="D507" s="23" t="s">
        <v>246</v>
      </c>
      <c r="E507" s="39"/>
      <c r="F507" s="39"/>
      <c r="G507" s="39"/>
      <c r="H507" s="39"/>
      <c r="I507" s="17"/>
      <c r="J507" s="17"/>
      <c r="K507" s="17">
        <v>85000</v>
      </c>
      <c r="L507" s="17"/>
      <c r="M507" s="17">
        <v>14000</v>
      </c>
      <c r="N507" s="16"/>
      <c r="O507" s="16"/>
    </row>
    <row r="508" spans="1:15">
      <c r="A508" s="38">
        <v>45828</v>
      </c>
      <c r="B508" s="22" t="s">
        <v>17</v>
      </c>
      <c r="C508" s="22" t="s">
        <v>18</v>
      </c>
      <c r="D508" s="23" t="s">
        <v>140</v>
      </c>
      <c r="E508" s="39"/>
      <c r="F508" s="39"/>
      <c r="G508" s="39"/>
      <c r="H508" s="39"/>
      <c r="I508" s="17"/>
      <c r="J508" s="17"/>
      <c r="K508" s="17">
        <v>85000</v>
      </c>
      <c r="L508" s="17"/>
      <c r="M508" s="17">
        <v>11000</v>
      </c>
      <c r="N508" s="16"/>
      <c r="O508" s="16"/>
    </row>
    <row r="509" spans="1:15">
      <c r="A509" s="38">
        <v>45829</v>
      </c>
      <c r="B509" s="22" t="s">
        <v>17</v>
      </c>
      <c r="C509" s="22" t="s">
        <v>18</v>
      </c>
      <c r="D509" s="23" t="s">
        <v>249</v>
      </c>
      <c r="E509" s="39"/>
      <c r="F509" s="39"/>
      <c r="G509" s="39"/>
      <c r="H509" s="39"/>
      <c r="I509" s="17"/>
      <c r="J509" s="17"/>
      <c r="K509" s="17">
        <v>60000</v>
      </c>
      <c r="L509" s="17"/>
      <c r="M509" s="17">
        <v>14000</v>
      </c>
      <c r="N509" s="16"/>
      <c r="O509" s="16"/>
    </row>
    <row r="510" spans="1:15">
      <c r="A510" s="38">
        <v>45831</v>
      </c>
      <c r="B510" s="22" t="s">
        <v>17</v>
      </c>
      <c r="C510" s="22" t="s">
        <v>18</v>
      </c>
      <c r="D510" s="23" t="s">
        <v>243</v>
      </c>
      <c r="E510" s="39"/>
      <c r="F510" s="39"/>
      <c r="G510" s="39"/>
      <c r="H510" s="39"/>
      <c r="I510" s="17"/>
      <c r="J510" s="17"/>
      <c r="K510" s="17"/>
      <c r="L510" s="17"/>
      <c r="M510" s="17">
        <v>14000</v>
      </c>
      <c r="N510" s="16"/>
      <c r="O510" s="16"/>
    </row>
    <row r="511" spans="1:15">
      <c r="A511" s="38"/>
      <c r="B511" s="22"/>
      <c r="C511" s="22"/>
      <c r="D511" s="23"/>
      <c r="E511" s="39"/>
      <c r="F511" s="39"/>
      <c r="G511" s="39"/>
      <c r="H511" s="39"/>
      <c r="I511" s="17"/>
      <c r="J511" s="17"/>
      <c r="K511" s="17"/>
      <c r="L511" s="17"/>
      <c r="M511" s="17"/>
      <c r="N511" s="16"/>
      <c r="O511" s="16"/>
    </row>
    <row r="512" spans="1:15">
      <c r="A512" s="38">
        <v>45838</v>
      </c>
      <c r="B512" s="22"/>
      <c r="C512" s="22"/>
      <c r="D512" s="23"/>
      <c r="E512" s="39"/>
      <c r="F512" s="39"/>
      <c r="G512" s="39"/>
      <c r="H512" s="39"/>
      <c r="I512" s="17">
        <v>1000000</v>
      </c>
      <c r="J512" s="17">
        <v>0</v>
      </c>
      <c r="K512" s="17">
        <v>329500</v>
      </c>
      <c r="L512" s="17">
        <v>0</v>
      </c>
      <c r="M512" s="17">
        <v>56000</v>
      </c>
      <c r="N512" s="16" t="s">
        <v>250</v>
      </c>
      <c r="O512" s="16" t="s">
        <v>251</v>
      </c>
    </row>
    <row r="513" spans="1:15">
      <c r="A513" s="38">
        <v>45832</v>
      </c>
      <c r="B513" s="22" t="s">
        <v>17</v>
      </c>
      <c r="C513" s="22" t="s">
        <v>18</v>
      </c>
      <c r="D513" s="23" t="s">
        <v>252</v>
      </c>
      <c r="E513" s="39"/>
      <c r="F513" s="39"/>
      <c r="G513" s="39"/>
      <c r="H513" s="39"/>
      <c r="I513" s="17"/>
      <c r="J513" s="17"/>
      <c r="K513" s="17">
        <v>74500</v>
      </c>
      <c r="L513" s="17"/>
      <c r="M513" s="17">
        <v>7000</v>
      </c>
      <c r="N513" s="16"/>
      <c r="O513" s="16"/>
    </row>
    <row r="514" spans="1:15">
      <c r="A514" s="38">
        <v>45833</v>
      </c>
      <c r="B514" s="22" t="s">
        <v>17</v>
      </c>
      <c r="C514" s="22" t="s">
        <v>18</v>
      </c>
      <c r="D514" s="23" t="s">
        <v>253</v>
      </c>
      <c r="E514" s="39"/>
      <c r="F514" s="39"/>
      <c r="G514" s="39"/>
      <c r="H514" s="39"/>
      <c r="I514" s="17"/>
      <c r="J514" s="17"/>
      <c r="K514" s="17">
        <v>58500</v>
      </c>
      <c r="L514" s="17"/>
      <c r="M514" s="17">
        <v>7000</v>
      </c>
      <c r="N514" s="16"/>
      <c r="O514" s="16"/>
    </row>
    <row r="515" spans="1:15">
      <c r="A515" s="38">
        <v>45834</v>
      </c>
      <c r="B515" s="22" t="s">
        <v>17</v>
      </c>
      <c r="C515" s="22" t="s">
        <v>18</v>
      </c>
      <c r="D515" s="23" t="s">
        <v>120</v>
      </c>
      <c r="E515" s="39"/>
      <c r="F515" s="39"/>
      <c r="G515" s="39"/>
      <c r="H515" s="39"/>
      <c r="I515" s="17"/>
      <c r="J515" s="17"/>
      <c r="K515" s="17">
        <v>85000</v>
      </c>
      <c r="L515" s="17"/>
      <c r="M515" s="17">
        <v>14000</v>
      </c>
      <c r="N515" s="16"/>
      <c r="O515" s="16"/>
    </row>
    <row r="516" spans="1:15">
      <c r="A516" s="38">
        <v>45836</v>
      </c>
      <c r="B516" s="22" t="s">
        <v>17</v>
      </c>
      <c r="C516" s="22" t="s">
        <v>18</v>
      </c>
      <c r="D516" s="23" t="s">
        <v>243</v>
      </c>
      <c r="E516" s="39"/>
      <c r="F516" s="39"/>
      <c r="G516" s="39"/>
      <c r="H516" s="39"/>
      <c r="I516" s="17"/>
      <c r="J516" s="17"/>
      <c r="K516" s="17">
        <v>42500</v>
      </c>
      <c r="L516" s="17"/>
      <c r="M516" s="17">
        <v>14000</v>
      </c>
      <c r="N516" s="16"/>
      <c r="O516" s="16"/>
    </row>
    <row r="517" spans="1:15">
      <c r="A517" s="38">
        <v>45838</v>
      </c>
      <c r="B517" s="22" t="s">
        <v>17</v>
      </c>
      <c r="C517" s="22" t="s">
        <v>18</v>
      </c>
      <c r="D517" s="23" t="s">
        <v>246</v>
      </c>
      <c r="E517" s="39"/>
      <c r="F517" s="39"/>
      <c r="G517" s="39"/>
      <c r="H517" s="39"/>
      <c r="I517" s="17"/>
      <c r="J517" s="17"/>
      <c r="K517" s="17">
        <v>69000</v>
      </c>
      <c r="L517" s="17"/>
      <c r="M517" s="17">
        <v>14000</v>
      </c>
      <c r="N517" s="16"/>
      <c r="O517" s="16"/>
    </row>
    <row r="518" spans="1:15">
      <c r="A518" s="38"/>
      <c r="B518" s="22"/>
      <c r="C518" s="22"/>
      <c r="D518" s="23"/>
      <c r="E518" s="39"/>
      <c r="F518" s="39"/>
      <c r="G518" s="39"/>
      <c r="H518" s="39"/>
      <c r="I518" s="17"/>
      <c r="J518" s="17"/>
      <c r="K518" s="17"/>
      <c r="L518" s="17"/>
      <c r="M518" s="17"/>
      <c r="N518" s="16"/>
      <c r="O518" s="16"/>
    </row>
    <row r="519" spans="1:15">
      <c r="A519" s="38">
        <v>45845</v>
      </c>
      <c r="B519" s="22"/>
      <c r="C519" s="22"/>
      <c r="D519" s="23"/>
      <c r="E519" s="39"/>
      <c r="F519" s="39"/>
      <c r="G519" s="39"/>
      <c r="H519" s="39"/>
      <c r="I519" s="17">
        <v>1000000</v>
      </c>
      <c r="J519" s="17">
        <v>0</v>
      </c>
      <c r="K519" s="17">
        <v>443000</v>
      </c>
      <c r="L519" s="17">
        <v>135000</v>
      </c>
      <c r="M519" s="17">
        <v>91000</v>
      </c>
      <c r="N519" s="16" t="s">
        <v>254</v>
      </c>
      <c r="O519" s="16" t="s">
        <v>255</v>
      </c>
    </row>
    <row r="520" spans="1:15">
      <c r="A520" s="38">
        <v>45839</v>
      </c>
      <c r="B520" s="22" t="s">
        <v>17</v>
      </c>
      <c r="C520" s="22" t="s">
        <v>18</v>
      </c>
      <c r="D520" s="23" t="s">
        <v>120</v>
      </c>
      <c r="E520" s="39"/>
      <c r="F520" s="39"/>
      <c r="G520" s="39"/>
      <c r="H520" s="39"/>
      <c r="I520" s="17"/>
      <c r="J520" s="17"/>
      <c r="K520" s="17">
        <v>67500</v>
      </c>
      <c r="L520" s="17">
        <v>135000</v>
      </c>
      <c r="M520" s="17">
        <v>14000</v>
      </c>
      <c r="N520" s="16"/>
      <c r="O520" s="16"/>
    </row>
    <row r="521" spans="1:15">
      <c r="A521" s="38">
        <v>45840</v>
      </c>
      <c r="B521" s="22" t="s">
        <v>17</v>
      </c>
      <c r="C521" s="22" t="s">
        <v>18</v>
      </c>
      <c r="D521" s="23" t="s">
        <v>120</v>
      </c>
      <c r="E521" s="39"/>
      <c r="F521" s="39"/>
      <c r="G521" s="39"/>
      <c r="H521" s="39"/>
      <c r="I521" s="17"/>
      <c r="J521" s="17"/>
      <c r="K521" s="17">
        <v>85000</v>
      </c>
      <c r="L521" s="17"/>
      <c r="M521" s="17">
        <v>14000</v>
      </c>
      <c r="N521" s="16"/>
      <c r="O521" s="16"/>
    </row>
    <row r="522" spans="1:15">
      <c r="A522" s="38">
        <v>45841</v>
      </c>
      <c r="B522" s="22" t="s">
        <v>17</v>
      </c>
      <c r="C522" s="22" t="s">
        <v>18</v>
      </c>
      <c r="D522" s="23" t="s">
        <v>246</v>
      </c>
      <c r="E522" s="39"/>
      <c r="F522" s="39"/>
      <c r="G522" s="39"/>
      <c r="H522" s="39"/>
      <c r="I522" s="17"/>
      <c r="J522" s="17"/>
      <c r="K522" s="17">
        <v>94000</v>
      </c>
      <c r="L522" s="17"/>
      <c r="M522" s="17">
        <v>14000</v>
      </c>
      <c r="N522" s="16"/>
      <c r="O522" s="16"/>
    </row>
    <row r="523" spans="1:15">
      <c r="A523" s="38">
        <v>45842</v>
      </c>
      <c r="B523" s="22" t="s">
        <v>17</v>
      </c>
      <c r="C523" s="22" t="s">
        <v>18</v>
      </c>
      <c r="D523" s="23" t="s">
        <v>192</v>
      </c>
      <c r="E523" s="39"/>
      <c r="F523" s="39"/>
      <c r="G523" s="39"/>
      <c r="H523" s="39"/>
      <c r="I523" s="17"/>
      <c r="J523" s="17"/>
      <c r="K523" s="17">
        <v>85000</v>
      </c>
      <c r="L523" s="17"/>
      <c r="M523" s="17">
        <v>14000</v>
      </c>
      <c r="N523" s="16"/>
      <c r="O523" s="16"/>
    </row>
    <row r="524" spans="1:15">
      <c r="A524" s="38">
        <v>45843</v>
      </c>
      <c r="B524" s="22" t="s">
        <v>17</v>
      </c>
      <c r="C524" s="22" t="s">
        <v>18</v>
      </c>
      <c r="D524" s="23" t="s">
        <v>120</v>
      </c>
      <c r="E524" s="39"/>
      <c r="F524" s="39"/>
      <c r="G524" s="39"/>
      <c r="H524" s="39"/>
      <c r="I524" s="17"/>
      <c r="J524" s="17"/>
      <c r="K524" s="17">
        <v>69000</v>
      </c>
      <c r="L524" s="17"/>
      <c r="M524" s="17">
        <v>14000</v>
      </c>
      <c r="N524" s="16"/>
      <c r="O524" s="16"/>
    </row>
    <row r="525" spans="1:15">
      <c r="A525" s="38">
        <v>45844</v>
      </c>
      <c r="B525" s="22" t="s">
        <v>17</v>
      </c>
      <c r="C525" s="22" t="s">
        <v>18</v>
      </c>
      <c r="D525" s="23" t="s">
        <v>231</v>
      </c>
      <c r="E525" s="39"/>
      <c r="F525" s="39"/>
      <c r="G525" s="39"/>
      <c r="H525" s="39"/>
      <c r="I525" s="17"/>
      <c r="J525" s="17"/>
      <c r="K525" s="17"/>
      <c r="L525" s="17"/>
      <c r="M525" s="17">
        <v>7000</v>
      </c>
      <c r="N525" s="16"/>
      <c r="O525" s="16"/>
    </row>
    <row r="526" spans="1:15">
      <c r="A526" s="38">
        <v>45845</v>
      </c>
      <c r="B526" s="22" t="s">
        <v>17</v>
      </c>
      <c r="C526" s="22" t="s">
        <v>18</v>
      </c>
      <c r="D526" s="23" t="s">
        <v>256</v>
      </c>
      <c r="E526" s="39"/>
      <c r="F526" s="39"/>
      <c r="G526" s="39"/>
      <c r="H526" s="39"/>
      <c r="I526" s="17"/>
      <c r="J526" s="17"/>
      <c r="K526" s="17">
        <v>42500</v>
      </c>
      <c r="L526" s="17"/>
      <c r="M526" s="17">
        <v>14000</v>
      </c>
      <c r="N526" s="16"/>
      <c r="O526" s="16"/>
    </row>
    <row r="527" spans="1:15">
      <c r="A527" s="38"/>
      <c r="B527" s="22"/>
      <c r="C527" s="22"/>
      <c r="D527" s="23"/>
      <c r="E527" s="39"/>
      <c r="F527" s="39"/>
      <c r="G527" s="39"/>
      <c r="H527" s="39"/>
      <c r="I527" s="17"/>
      <c r="J527" s="17"/>
      <c r="K527" s="17"/>
      <c r="L527" s="17"/>
      <c r="M527" s="17"/>
      <c r="N527" s="16"/>
      <c r="O527" s="16"/>
    </row>
    <row r="528" spans="1:15">
      <c r="A528" s="38">
        <v>45852</v>
      </c>
      <c r="B528" s="22"/>
      <c r="C528" s="22"/>
      <c r="D528" s="23"/>
      <c r="E528" s="39"/>
      <c r="F528" s="39"/>
      <c r="G528" s="39"/>
      <c r="H528" s="39"/>
      <c r="I528" s="17">
        <v>1000000</v>
      </c>
      <c r="J528" s="17">
        <v>0</v>
      </c>
      <c r="K528" s="17">
        <v>341500</v>
      </c>
      <c r="L528" s="17">
        <v>0</v>
      </c>
      <c r="M528" s="17">
        <v>68000</v>
      </c>
      <c r="N528" s="16" t="s">
        <v>257</v>
      </c>
      <c r="O528" s="16" t="s">
        <v>258</v>
      </c>
    </row>
    <row r="529" spans="1:15">
      <c r="A529" s="38">
        <v>45846</v>
      </c>
      <c r="B529" s="22" t="s">
        <v>17</v>
      </c>
      <c r="C529" s="22" t="s">
        <v>18</v>
      </c>
      <c r="D529" s="23" t="s">
        <v>120</v>
      </c>
      <c r="E529" s="39"/>
      <c r="F529" s="39"/>
      <c r="G529" s="39"/>
      <c r="H529" s="39"/>
      <c r="I529" s="17"/>
      <c r="J529" s="17"/>
      <c r="K529" s="17">
        <v>69000</v>
      </c>
      <c r="L529" s="17"/>
      <c r="M529" s="17">
        <v>11000</v>
      </c>
      <c r="N529" s="16"/>
      <c r="O529" s="16"/>
    </row>
    <row r="530" spans="1:15">
      <c r="A530" s="38">
        <v>45848</v>
      </c>
      <c r="B530" s="22" t="s">
        <v>17</v>
      </c>
      <c r="C530" s="22" t="s">
        <v>18</v>
      </c>
      <c r="D530" s="23" t="s">
        <v>246</v>
      </c>
      <c r="E530" s="39"/>
      <c r="F530" s="39"/>
      <c r="G530" s="39"/>
      <c r="H530" s="39"/>
      <c r="I530" s="17"/>
      <c r="J530" s="17"/>
      <c r="K530" s="17">
        <v>85000</v>
      </c>
      <c r="L530" s="17"/>
      <c r="M530" s="17">
        <v>14000</v>
      </c>
      <c r="N530" s="16"/>
      <c r="O530" s="16"/>
    </row>
    <row r="531" spans="1:15">
      <c r="A531" s="38">
        <v>45849</v>
      </c>
      <c r="B531" s="22" t="s">
        <v>17</v>
      </c>
      <c r="C531" s="22" t="s">
        <v>18</v>
      </c>
      <c r="D531" s="23" t="s">
        <v>120</v>
      </c>
      <c r="E531" s="39"/>
      <c r="F531" s="39"/>
      <c r="G531" s="39"/>
      <c r="H531" s="39"/>
      <c r="I531" s="17"/>
      <c r="J531" s="17"/>
      <c r="K531" s="17">
        <v>85000</v>
      </c>
      <c r="L531" s="17"/>
      <c r="M531" s="17">
        <v>14000</v>
      </c>
      <c r="N531" s="16"/>
      <c r="O531" s="16"/>
    </row>
    <row r="532" spans="1:15">
      <c r="A532" s="38">
        <v>45850</v>
      </c>
      <c r="B532" s="22" t="s">
        <v>17</v>
      </c>
      <c r="C532" s="22" t="s">
        <v>18</v>
      </c>
      <c r="D532" s="23" t="s">
        <v>120</v>
      </c>
      <c r="E532" s="39"/>
      <c r="F532" s="39"/>
      <c r="G532" s="39"/>
      <c r="H532" s="39"/>
      <c r="I532" s="17"/>
      <c r="J532" s="17"/>
      <c r="K532" s="17">
        <v>60000</v>
      </c>
      <c r="L532" s="17"/>
      <c r="M532" s="17">
        <v>8000</v>
      </c>
      <c r="N532" s="16"/>
      <c r="O532" s="16"/>
    </row>
    <row r="533" spans="1:15">
      <c r="A533" s="38">
        <v>45851</v>
      </c>
      <c r="B533" s="22" t="s">
        <v>17</v>
      </c>
      <c r="C533" s="22" t="s">
        <v>18</v>
      </c>
      <c r="D533" s="23" t="s">
        <v>231</v>
      </c>
      <c r="E533" s="39"/>
      <c r="F533" s="39"/>
      <c r="G533" s="39"/>
      <c r="H533" s="39"/>
      <c r="I533" s="17"/>
      <c r="J533" s="17"/>
      <c r="K533" s="17"/>
      <c r="L533" s="17"/>
      <c r="M533" s="17">
        <v>7000</v>
      </c>
      <c r="N533" s="16"/>
      <c r="O533" s="16"/>
    </row>
    <row r="534" spans="1:15">
      <c r="A534" s="38">
        <v>45852</v>
      </c>
      <c r="B534" s="22" t="s">
        <v>17</v>
      </c>
      <c r="C534" s="22" t="s">
        <v>18</v>
      </c>
      <c r="D534" s="23" t="s">
        <v>256</v>
      </c>
      <c r="E534" s="39"/>
      <c r="F534" s="39"/>
      <c r="G534" s="39"/>
      <c r="H534" s="39"/>
      <c r="I534" s="17"/>
      <c r="J534" s="17"/>
      <c r="K534" s="17">
        <v>42500</v>
      </c>
      <c r="L534" s="17"/>
      <c r="M534" s="17">
        <v>14000</v>
      </c>
      <c r="N534" s="16"/>
      <c r="O534" s="16"/>
    </row>
    <row r="535" spans="1:15">
      <c r="A535" s="38"/>
      <c r="B535" s="22"/>
      <c r="C535" s="22"/>
      <c r="D535" s="23"/>
      <c r="E535" s="39"/>
      <c r="F535" s="39"/>
      <c r="G535" s="39"/>
      <c r="H535" s="39"/>
      <c r="I535" s="17"/>
      <c r="J535" s="17"/>
      <c r="K535" s="17"/>
      <c r="L535" s="17"/>
      <c r="M535" s="17"/>
      <c r="N535" s="16"/>
      <c r="O535" s="16"/>
    </row>
    <row r="536" spans="1:15">
      <c r="A536" s="38">
        <v>45859</v>
      </c>
      <c r="B536" s="22"/>
      <c r="C536" s="22"/>
      <c r="D536" s="23"/>
      <c r="E536" s="39"/>
      <c r="F536" s="39"/>
      <c r="G536" s="39"/>
      <c r="H536" s="39"/>
      <c r="I536" s="17">
        <v>1000000</v>
      </c>
      <c r="J536" s="17">
        <v>0</v>
      </c>
      <c r="K536" s="17">
        <v>382500</v>
      </c>
      <c r="L536" s="17">
        <v>0</v>
      </c>
      <c r="M536" s="17">
        <v>84000</v>
      </c>
      <c r="N536" s="16" t="s">
        <v>259</v>
      </c>
      <c r="O536" s="16" t="s">
        <v>260</v>
      </c>
    </row>
    <row r="537" spans="1:15">
      <c r="A537" s="38">
        <v>45853</v>
      </c>
      <c r="B537" s="22" t="s">
        <v>17</v>
      </c>
      <c r="C537" s="22" t="s">
        <v>18</v>
      </c>
      <c r="D537" s="23" t="s">
        <v>120</v>
      </c>
      <c r="E537" s="39"/>
      <c r="F537" s="39"/>
      <c r="G537" s="39"/>
      <c r="H537" s="39"/>
      <c r="I537" s="17"/>
      <c r="J537" s="17"/>
      <c r="K537" s="17">
        <v>85000</v>
      </c>
      <c r="L537" s="17"/>
      <c r="M537" s="17">
        <v>14000</v>
      </c>
      <c r="N537" s="16"/>
      <c r="O537" s="16"/>
    </row>
    <row r="538" spans="1:15">
      <c r="A538" s="38">
        <v>45854</v>
      </c>
      <c r="B538" s="22" t="s">
        <v>17</v>
      </c>
      <c r="C538" s="22" t="s">
        <v>18</v>
      </c>
      <c r="D538" s="23" t="s">
        <v>246</v>
      </c>
      <c r="E538" s="39"/>
      <c r="F538" s="39"/>
      <c r="G538" s="39"/>
      <c r="H538" s="39"/>
      <c r="I538" s="17"/>
      <c r="J538" s="17"/>
      <c r="K538" s="17">
        <v>85000</v>
      </c>
      <c r="L538" s="17"/>
      <c r="M538" s="17">
        <v>14000</v>
      </c>
      <c r="N538" s="16"/>
      <c r="O538" s="16"/>
    </row>
    <row r="539" spans="1:15">
      <c r="A539" s="38">
        <v>45855</v>
      </c>
      <c r="B539" s="22" t="s">
        <v>17</v>
      </c>
      <c r="C539" s="22" t="s">
        <v>18</v>
      </c>
      <c r="D539" s="23" t="s">
        <v>243</v>
      </c>
      <c r="E539" s="39"/>
      <c r="F539" s="39"/>
      <c r="G539" s="39"/>
      <c r="H539" s="39"/>
      <c r="I539" s="17"/>
      <c r="J539" s="17"/>
      <c r="K539" s="17">
        <v>16000</v>
      </c>
      <c r="L539" s="17"/>
      <c r="M539" s="17">
        <v>7000</v>
      </c>
      <c r="N539" s="16"/>
      <c r="O539" s="16"/>
    </row>
    <row r="540" spans="1:15">
      <c r="A540" s="38">
        <v>45856</v>
      </c>
      <c r="B540" s="22" t="s">
        <v>17</v>
      </c>
      <c r="C540" s="22" t="s">
        <v>18</v>
      </c>
      <c r="D540" s="23" t="s">
        <v>120</v>
      </c>
      <c r="E540" s="39"/>
      <c r="F540" s="39"/>
      <c r="G540" s="39"/>
      <c r="H540" s="39"/>
      <c r="I540" s="17"/>
      <c r="J540" s="17"/>
      <c r="K540" s="17">
        <v>85000</v>
      </c>
      <c r="L540" s="17"/>
      <c r="M540" s="17">
        <v>14000</v>
      </c>
      <c r="N540" s="16"/>
      <c r="O540" s="16"/>
    </row>
    <row r="541" spans="1:15">
      <c r="A541" s="38">
        <v>45857</v>
      </c>
      <c r="B541" s="22" t="s">
        <v>17</v>
      </c>
      <c r="C541" s="22" t="s">
        <v>18</v>
      </c>
      <c r="D541" s="23" t="s">
        <v>68</v>
      </c>
      <c r="E541" s="39"/>
      <c r="F541" s="39"/>
      <c r="G541" s="39"/>
      <c r="H541" s="39"/>
      <c r="I541" s="17"/>
      <c r="J541" s="17"/>
      <c r="K541" s="17">
        <v>26500</v>
      </c>
      <c r="L541" s="17"/>
      <c r="M541" s="17">
        <v>7000</v>
      </c>
      <c r="N541" s="16"/>
      <c r="O541" s="16"/>
    </row>
    <row r="542" spans="1:15">
      <c r="A542" s="38">
        <v>45858</v>
      </c>
      <c r="B542" s="22" t="s">
        <v>17</v>
      </c>
      <c r="C542" s="22" t="s">
        <v>18</v>
      </c>
      <c r="D542" s="23" t="s">
        <v>231</v>
      </c>
      <c r="E542" s="39"/>
      <c r="F542" s="39"/>
      <c r="G542" s="39"/>
      <c r="H542" s="39"/>
      <c r="I542" s="17"/>
      <c r="J542" s="17"/>
      <c r="K542" s="17">
        <v>0</v>
      </c>
      <c r="L542" s="17"/>
      <c r="M542" s="17">
        <v>14000</v>
      </c>
      <c r="N542" s="16"/>
      <c r="O542" s="16"/>
    </row>
    <row r="543" spans="1:15">
      <c r="A543" s="38">
        <v>45859</v>
      </c>
      <c r="B543" s="22" t="s">
        <v>17</v>
      </c>
      <c r="C543" s="22" t="s">
        <v>18</v>
      </c>
      <c r="D543" s="23" t="s">
        <v>120</v>
      </c>
      <c r="E543" s="39"/>
      <c r="F543" s="39"/>
      <c r="G543" s="39"/>
      <c r="H543" s="39"/>
      <c r="I543" s="17"/>
      <c r="J543" s="17"/>
      <c r="K543" s="17">
        <v>85000</v>
      </c>
      <c r="L543" s="17"/>
      <c r="M543" s="17">
        <v>14000</v>
      </c>
      <c r="N543" s="16"/>
      <c r="O543" s="16"/>
    </row>
    <row r="544" spans="1:15">
      <c r="A544" s="38"/>
      <c r="B544" s="22"/>
      <c r="C544" s="22"/>
      <c r="D544" s="23"/>
      <c r="E544" s="39"/>
      <c r="F544" s="39"/>
      <c r="G544" s="39"/>
      <c r="H544" s="39"/>
      <c r="I544" s="17"/>
      <c r="J544" s="17"/>
      <c r="K544" s="17"/>
      <c r="L544" s="17"/>
      <c r="M544" s="17"/>
      <c r="N544" s="16"/>
      <c r="O544" s="16"/>
    </row>
    <row r="545" spans="1:15">
      <c r="A545" s="38">
        <v>45866</v>
      </c>
      <c r="B545" s="22"/>
      <c r="C545" s="22"/>
      <c r="D545" s="23"/>
      <c r="E545" s="39"/>
      <c r="F545" s="39"/>
      <c r="G545" s="39"/>
      <c r="H545" s="39"/>
      <c r="I545" s="17">
        <v>1000000</v>
      </c>
      <c r="J545" s="17">
        <v>0</v>
      </c>
      <c r="K545" s="17">
        <v>350500</v>
      </c>
      <c r="L545" s="17">
        <v>165000</v>
      </c>
      <c r="M545" s="17">
        <v>78000</v>
      </c>
      <c r="N545" s="16" t="s">
        <v>261</v>
      </c>
      <c r="O545" s="16" t="s">
        <v>262</v>
      </c>
    </row>
    <row r="546" spans="1:15">
      <c r="A546" s="38">
        <v>45861</v>
      </c>
      <c r="B546" s="22" t="s">
        <v>17</v>
      </c>
      <c r="C546" s="22" t="s">
        <v>18</v>
      </c>
      <c r="D546" s="23" t="s">
        <v>246</v>
      </c>
      <c r="E546" s="39"/>
      <c r="F546" s="39"/>
      <c r="G546" s="39"/>
      <c r="H546" s="39"/>
      <c r="I546" s="17"/>
      <c r="J546" s="17"/>
      <c r="K546" s="17">
        <v>69000</v>
      </c>
      <c r="L546" s="17"/>
      <c r="M546" s="17">
        <v>14000</v>
      </c>
      <c r="N546" s="16"/>
      <c r="O546" s="16"/>
    </row>
    <row r="547" spans="1:15">
      <c r="A547" s="38">
        <v>45862</v>
      </c>
      <c r="B547" s="22" t="s">
        <v>17</v>
      </c>
      <c r="C547" s="22" t="s">
        <v>18</v>
      </c>
      <c r="D547" s="23" t="s">
        <v>263</v>
      </c>
      <c r="E547" s="39"/>
      <c r="F547" s="39"/>
      <c r="G547" s="39"/>
      <c r="H547" s="39"/>
      <c r="I547" s="17"/>
      <c r="J547" s="17"/>
      <c r="K547" s="17">
        <v>42500</v>
      </c>
      <c r="L547" s="17"/>
      <c r="M547" s="17">
        <v>14000</v>
      </c>
      <c r="N547" s="16"/>
      <c r="O547" s="16"/>
    </row>
    <row r="548" spans="1:15">
      <c r="A548" s="38">
        <v>45863</v>
      </c>
      <c r="B548" s="22" t="s">
        <v>17</v>
      </c>
      <c r="C548" s="22" t="s">
        <v>18</v>
      </c>
      <c r="D548" s="23" t="s">
        <v>192</v>
      </c>
      <c r="E548" s="39"/>
      <c r="F548" s="39"/>
      <c r="G548" s="39"/>
      <c r="H548" s="39"/>
      <c r="I548" s="17"/>
      <c r="J548" s="17"/>
      <c r="K548" s="17">
        <v>69000</v>
      </c>
      <c r="L548" s="17"/>
      <c r="M548" s="17">
        <v>14000</v>
      </c>
      <c r="N548" s="16"/>
      <c r="O548" s="16"/>
    </row>
    <row r="549" spans="1:15">
      <c r="A549" s="38">
        <v>45864</v>
      </c>
      <c r="B549" s="22" t="s">
        <v>17</v>
      </c>
      <c r="C549" s="22" t="s">
        <v>18</v>
      </c>
      <c r="D549" s="23" t="s">
        <v>40</v>
      </c>
      <c r="E549" s="39"/>
      <c r="F549" s="39"/>
      <c r="G549" s="39"/>
      <c r="H549" s="39"/>
      <c r="I549" s="17"/>
      <c r="J549" s="17"/>
      <c r="K549" s="17">
        <v>85000</v>
      </c>
      <c r="L549" s="17">
        <v>165000</v>
      </c>
      <c r="M549" s="17">
        <v>14000</v>
      </c>
      <c r="N549" s="16"/>
      <c r="O549" s="16"/>
    </row>
    <row r="550" spans="1:15">
      <c r="A550" s="38">
        <v>45865</v>
      </c>
      <c r="B550" s="22" t="s">
        <v>17</v>
      </c>
      <c r="C550" s="22" t="s">
        <v>18</v>
      </c>
      <c r="D550" s="23" t="s">
        <v>264</v>
      </c>
      <c r="E550" s="39"/>
      <c r="F550" s="39"/>
      <c r="G550" s="39"/>
      <c r="H550" s="39"/>
      <c r="I550" s="17"/>
      <c r="J550" s="17"/>
      <c r="K550" s="17">
        <v>16000</v>
      </c>
      <c r="L550" s="17"/>
      <c r="M550" s="17">
        <v>11000</v>
      </c>
      <c r="N550" s="16"/>
      <c r="O550" s="16"/>
    </row>
    <row r="551" spans="1:15">
      <c r="A551" s="38">
        <v>45866</v>
      </c>
      <c r="B551" s="22" t="s">
        <v>17</v>
      </c>
      <c r="C551" s="22" t="s">
        <v>18</v>
      </c>
      <c r="D551" s="23" t="s">
        <v>120</v>
      </c>
      <c r="E551" s="39"/>
      <c r="F551" s="39"/>
      <c r="G551" s="39"/>
      <c r="H551" s="39"/>
      <c r="I551" s="17"/>
      <c r="J551" s="17"/>
      <c r="K551" s="17">
        <v>69000</v>
      </c>
      <c r="L551" s="17"/>
      <c r="M551" s="17">
        <v>11000</v>
      </c>
      <c r="N551" s="16"/>
      <c r="O551" s="16"/>
    </row>
    <row r="552" spans="1:15">
      <c r="A552" s="38"/>
      <c r="B552" s="22"/>
      <c r="C552" s="22"/>
      <c r="D552" s="23"/>
      <c r="E552" s="39"/>
      <c r="F552" s="39"/>
      <c r="G552" s="39"/>
      <c r="H552" s="39"/>
      <c r="I552" s="17"/>
      <c r="J552" s="17"/>
      <c r="K552" s="17"/>
      <c r="L552" s="17"/>
      <c r="M552" s="17"/>
      <c r="N552" s="16"/>
      <c r="O552" s="16"/>
    </row>
    <row r="553" spans="1:15">
      <c r="A553" s="38">
        <v>45873</v>
      </c>
      <c r="B553" s="22"/>
      <c r="C553" s="22"/>
      <c r="D553" s="23"/>
      <c r="E553" s="39"/>
      <c r="F553" s="39"/>
      <c r="G553" s="39"/>
      <c r="H553" s="39"/>
      <c r="I553" s="17">
        <v>1000000</v>
      </c>
      <c r="J553" s="17">
        <v>0</v>
      </c>
      <c r="K553" s="17">
        <v>354500</v>
      </c>
      <c r="L553" s="17">
        <v>120000</v>
      </c>
      <c r="M553" s="17">
        <v>84000</v>
      </c>
      <c r="N553" s="16" t="s">
        <v>265</v>
      </c>
      <c r="O553" s="16" t="s">
        <v>266</v>
      </c>
    </row>
    <row r="554" spans="1:15">
      <c r="A554" s="38">
        <v>45868</v>
      </c>
      <c r="B554" s="22" t="s">
        <v>17</v>
      </c>
      <c r="C554" s="22" t="s">
        <v>18</v>
      </c>
      <c r="D554" s="23" t="s">
        <v>120</v>
      </c>
      <c r="E554" s="39"/>
      <c r="F554" s="39"/>
      <c r="G554" s="39"/>
      <c r="H554" s="39"/>
      <c r="I554" s="17"/>
      <c r="J554" s="17"/>
      <c r="K554" s="17">
        <v>85000</v>
      </c>
      <c r="L554" s="17"/>
      <c r="M554" s="17">
        <v>14000</v>
      </c>
      <c r="N554" s="16"/>
      <c r="O554" s="16"/>
    </row>
    <row r="555" spans="1:15">
      <c r="A555" s="38">
        <v>45869</v>
      </c>
      <c r="B555" s="22" t="s">
        <v>17</v>
      </c>
      <c r="C555" s="22" t="s">
        <v>18</v>
      </c>
      <c r="D555" s="23" t="s">
        <v>86</v>
      </c>
      <c r="E555" s="39"/>
      <c r="F555" s="39"/>
      <c r="G555" s="39"/>
      <c r="H555" s="39"/>
      <c r="I555" s="17"/>
      <c r="J555" s="17"/>
      <c r="K555" s="17">
        <v>85000</v>
      </c>
      <c r="L555" s="17"/>
      <c r="M555" s="17">
        <v>14000</v>
      </c>
      <c r="N555" s="16"/>
      <c r="O555" s="16"/>
    </row>
    <row r="556" spans="1:15">
      <c r="A556" s="38">
        <v>45870</v>
      </c>
      <c r="B556" s="22" t="s">
        <v>17</v>
      </c>
      <c r="C556" s="22" t="s">
        <v>18</v>
      </c>
      <c r="D556" s="23" t="s">
        <v>120</v>
      </c>
      <c r="E556" s="39"/>
      <c r="F556" s="39"/>
      <c r="G556" s="39"/>
      <c r="H556" s="39"/>
      <c r="I556" s="17"/>
      <c r="J556" s="17"/>
      <c r="K556" s="17">
        <v>42500</v>
      </c>
      <c r="L556" s="17"/>
      <c r="M556" s="17">
        <v>14000</v>
      </c>
      <c r="N556" s="16"/>
      <c r="O556" s="16"/>
    </row>
    <row r="557" spans="1:15">
      <c r="A557" s="38">
        <v>45871</v>
      </c>
      <c r="B557" s="22" t="s">
        <v>17</v>
      </c>
      <c r="C557" s="22" t="s">
        <v>18</v>
      </c>
      <c r="D557" s="23" t="s">
        <v>267</v>
      </c>
      <c r="E557" s="39"/>
      <c r="F557" s="39"/>
      <c r="G557" s="39"/>
      <c r="H557" s="39"/>
      <c r="I557" s="17"/>
      <c r="J557" s="17"/>
      <c r="K557" s="17">
        <v>66000</v>
      </c>
      <c r="L557" s="17"/>
      <c r="M557" s="17">
        <v>14000</v>
      </c>
      <c r="N557" s="16"/>
      <c r="O557" s="16"/>
    </row>
    <row r="558" spans="1:15">
      <c r="A558" s="38">
        <v>45872</v>
      </c>
      <c r="B558" s="22" t="s">
        <v>17</v>
      </c>
      <c r="C558" s="22" t="s">
        <v>18</v>
      </c>
      <c r="D558" s="23" t="s">
        <v>120</v>
      </c>
      <c r="E558" s="39"/>
      <c r="F558" s="39"/>
      <c r="G558" s="39"/>
      <c r="H558" s="39"/>
      <c r="I558" s="17"/>
      <c r="J558" s="17"/>
      <c r="K558" s="17">
        <v>33500</v>
      </c>
      <c r="L558" s="17"/>
      <c r="M558" s="17">
        <v>14000</v>
      </c>
      <c r="N558" s="16"/>
      <c r="O558" s="16"/>
    </row>
    <row r="559" spans="1:15">
      <c r="A559" s="38">
        <v>45873</v>
      </c>
      <c r="B559" s="22" t="s">
        <v>17</v>
      </c>
      <c r="C559" s="22" t="s">
        <v>18</v>
      </c>
      <c r="D559" s="23" t="s">
        <v>69</v>
      </c>
      <c r="E559" s="39"/>
      <c r="F559" s="39"/>
      <c r="G559" s="39"/>
      <c r="H559" s="39"/>
      <c r="I559" s="17"/>
      <c r="J559" s="17"/>
      <c r="K559" s="17">
        <v>42500</v>
      </c>
      <c r="L559" s="17">
        <v>120000</v>
      </c>
      <c r="M559" s="17">
        <v>14000</v>
      </c>
      <c r="N559" s="16"/>
      <c r="O559" s="16"/>
    </row>
    <row r="560" spans="1:15">
      <c r="A560" s="38"/>
      <c r="B560" s="22"/>
      <c r="C560" s="22"/>
      <c r="D560" s="23"/>
      <c r="E560" s="39"/>
      <c r="F560" s="39"/>
      <c r="G560" s="39"/>
      <c r="H560" s="39"/>
      <c r="I560" s="17"/>
      <c r="J560" s="17"/>
      <c r="K560" s="17"/>
      <c r="L560" s="17"/>
      <c r="M560" s="17"/>
      <c r="N560" s="16"/>
      <c r="O560" s="16"/>
    </row>
    <row r="561" spans="1:15">
      <c r="A561" s="38">
        <v>45884</v>
      </c>
      <c r="B561" s="22"/>
      <c r="C561" s="22"/>
      <c r="D561" s="23"/>
      <c r="E561" s="39"/>
      <c r="F561" s="39"/>
      <c r="G561" s="39"/>
      <c r="H561" s="39"/>
      <c r="I561" s="17">
        <v>1000000</v>
      </c>
      <c r="J561" s="17">
        <v>0</v>
      </c>
      <c r="K561" s="17">
        <v>694500</v>
      </c>
      <c r="L561" s="17">
        <v>120000</v>
      </c>
      <c r="M561" s="17">
        <v>130000</v>
      </c>
      <c r="N561" s="16" t="s">
        <v>268</v>
      </c>
      <c r="O561" s="16" t="s">
        <v>269</v>
      </c>
    </row>
    <row r="562" spans="1:15">
      <c r="A562" s="38">
        <v>45874</v>
      </c>
      <c r="B562" s="22" t="s">
        <v>17</v>
      </c>
      <c r="C562" s="22" t="s">
        <v>18</v>
      </c>
      <c r="D562" s="23" t="s">
        <v>120</v>
      </c>
      <c r="E562" s="39"/>
      <c r="F562" s="39"/>
      <c r="G562" s="39"/>
      <c r="H562" s="39"/>
      <c r="I562" s="17"/>
      <c r="J562" s="17"/>
      <c r="K562" s="17">
        <v>85000</v>
      </c>
      <c r="L562" s="17"/>
      <c r="M562" s="17">
        <v>14000</v>
      </c>
      <c r="N562" s="16"/>
      <c r="O562" s="16"/>
    </row>
    <row r="563" spans="1:15">
      <c r="A563" s="38">
        <v>45875</v>
      </c>
      <c r="B563" s="22" t="s">
        <v>17</v>
      </c>
      <c r="C563" s="22" t="s">
        <v>18</v>
      </c>
      <c r="D563" s="23" t="s">
        <v>86</v>
      </c>
      <c r="E563" s="39"/>
      <c r="F563" s="39"/>
      <c r="G563" s="39"/>
      <c r="H563" s="39"/>
      <c r="I563" s="17"/>
      <c r="J563" s="17"/>
      <c r="K563" s="17">
        <v>69000</v>
      </c>
      <c r="L563" s="17"/>
      <c r="M563" s="17">
        <v>14000</v>
      </c>
      <c r="N563" s="16"/>
      <c r="O563" s="16"/>
    </row>
    <row r="564" spans="1:15">
      <c r="A564" s="38">
        <v>45876</v>
      </c>
      <c r="B564" s="22" t="s">
        <v>17</v>
      </c>
      <c r="C564" s="22" t="s">
        <v>18</v>
      </c>
      <c r="D564" s="23" t="s">
        <v>270</v>
      </c>
      <c r="E564" s="39"/>
      <c r="F564" s="39"/>
      <c r="G564" s="39"/>
      <c r="H564" s="39"/>
      <c r="I564" s="17"/>
      <c r="J564" s="17"/>
      <c r="K564" s="17">
        <v>85000</v>
      </c>
      <c r="L564" s="17"/>
      <c r="M564" s="17">
        <v>11000</v>
      </c>
      <c r="N564" s="16"/>
      <c r="O564" s="16"/>
    </row>
    <row r="565" spans="1:15">
      <c r="A565" s="38">
        <v>45877</v>
      </c>
      <c r="B565" s="22" t="s">
        <v>17</v>
      </c>
      <c r="C565" s="22" t="s">
        <v>18</v>
      </c>
      <c r="D565" s="23" t="s">
        <v>45</v>
      </c>
      <c r="E565" s="39"/>
      <c r="F565" s="39"/>
      <c r="G565" s="39"/>
      <c r="H565" s="39"/>
      <c r="I565" s="17"/>
      <c r="J565" s="17"/>
      <c r="K565" s="17">
        <v>42500</v>
      </c>
      <c r="L565" s="17"/>
      <c r="M565" s="17">
        <v>7000</v>
      </c>
      <c r="N565" s="16"/>
      <c r="O565" s="16"/>
    </row>
    <row r="566" spans="1:15">
      <c r="A566" s="38">
        <v>45878</v>
      </c>
      <c r="B566" s="22" t="s">
        <v>17</v>
      </c>
      <c r="C566" s="22" t="s">
        <v>18</v>
      </c>
      <c r="D566" s="23" t="s">
        <v>120</v>
      </c>
      <c r="E566" s="39"/>
      <c r="F566" s="39"/>
      <c r="G566" s="39"/>
      <c r="H566" s="39"/>
      <c r="I566" s="17"/>
      <c r="J566" s="17"/>
      <c r="K566" s="17">
        <v>85000</v>
      </c>
      <c r="L566" s="17"/>
      <c r="M566" s="17">
        <v>14000</v>
      </c>
      <c r="N566" s="16"/>
      <c r="O566" s="16"/>
    </row>
    <row r="567" spans="1:15">
      <c r="A567" s="38">
        <v>45879</v>
      </c>
      <c r="B567" s="22" t="s">
        <v>17</v>
      </c>
      <c r="C567" s="22" t="s">
        <v>18</v>
      </c>
      <c r="D567" s="23" t="s">
        <v>271</v>
      </c>
      <c r="E567" s="39"/>
      <c r="F567" s="39"/>
      <c r="G567" s="39"/>
      <c r="H567" s="39"/>
      <c r="I567" s="17"/>
      <c r="J567" s="17"/>
      <c r="K567" s="17"/>
      <c r="L567" s="17">
        <v>120000</v>
      </c>
      <c r="M567" s="17"/>
      <c r="N567" s="16"/>
      <c r="O567" s="16"/>
    </row>
    <row r="568" spans="1:15">
      <c r="A568" s="38">
        <v>45880</v>
      </c>
      <c r="B568" s="22" t="s">
        <v>17</v>
      </c>
      <c r="C568" s="22" t="s">
        <v>18</v>
      </c>
      <c r="D568" s="23" t="s">
        <v>115</v>
      </c>
      <c r="E568" s="39"/>
      <c r="F568" s="39"/>
      <c r="G568" s="39"/>
      <c r="H568" s="39"/>
      <c r="I568" s="17"/>
      <c r="J568" s="17"/>
      <c r="K568" s="17">
        <v>9000</v>
      </c>
      <c r="L568" s="17"/>
      <c r="M568" s="17">
        <v>14000</v>
      </c>
      <c r="N568" s="16"/>
      <c r="O568" s="16"/>
    </row>
    <row r="569" spans="1:15">
      <c r="A569" s="38">
        <v>45881</v>
      </c>
      <c r="B569" s="22" t="s">
        <v>17</v>
      </c>
      <c r="C569" s="22" t="s">
        <v>18</v>
      </c>
      <c r="D569" s="23" t="s">
        <v>120</v>
      </c>
      <c r="E569" s="39"/>
      <c r="F569" s="39"/>
      <c r="G569" s="39"/>
      <c r="H569" s="39"/>
      <c r="I569" s="17"/>
      <c r="J569" s="17"/>
      <c r="K569" s="17">
        <v>85000</v>
      </c>
      <c r="L569" s="17"/>
      <c r="M569" s="17">
        <v>14000</v>
      </c>
      <c r="N569" s="16"/>
      <c r="O569" s="16"/>
    </row>
    <row r="570" spans="1:15">
      <c r="A570" s="38">
        <v>45882</v>
      </c>
      <c r="B570" s="22" t="s">
        <v>17</v>
      </c>
      <c r="C570" s="22" t="s">
        <v>18</v>
      </c>
      <c r="D570" s="23" t="s">
        <v>120</v>
      </c>
      <c r="E570" s="39"/>
      <c r="F570" s="39"/>
      <c r="G570" s="39"/>
      <c r="H570" s="39"/>
      <c r="I570" s="17"/>
      <c r="J570" s="17"/>
      <c r="K570" s="17">
        <v>85000</v>
      </c>
      <c r="L570" s="17"/>
      <c r="M570" s="17">
        <v>14000</v>
      </c>
      <c r="N570" s="16"/>
      <c r="O570" s="16"/>
    </row>
    <row r="571" spans="1:15">
      <c r="A571" s="38">
        <v>45883</v>
      </c>
      <c r="B571" s="22" t="s">
        <v>17</v>
      </c>
      <c r="C571" s="22" t="s">
        <v>18</v>
      </c>
      <c r="D571" s="23" t="s">
        <v>192</v>
      </c>
      <c r="E571" s="39"/>
      <c r="F571" s="39"/>
      <c r="G571" s="39"/>
      <c r="H571" s="39"/>
      <c r="I571" s="17"/>
      <c r="J571" s="17"/>
      <c r="K571" s="17">
        <v>78000</v>
      </c>
      <c r="L571" s="17"/>
      <c r="M571" s="17">
        <v>14000</v>
      </c>
      <c r="N571" s="16"/>
      <c r="O571" s="16"/>
    </row>
    <row r="572" spans="1:15">
      <c r="A572" s="38">
        <v>45884</v>
      </c>
      <c r="B572" s="22" t="s">
        <v>17</v>
      </c>
      <c r="C572" s="22" t="s">
        <v>18</v>
      </c>
      <c r="D572" s="23" t="s">
        <v>86</v>
      </c>
      <c r="E572" s="39"/>
      <c r="F572" s="39"/>
      <c r="G572" s="39"/>
      <c r="H572" s="39"/>
      <c r="I572" s="17"/>
      <c r="J572" s="17"/>
      <c r="K572" s="17">
        <v>71000</v>
      </c>
      <c r="L572" s="17"/>
      <c r="M572" s="17">
        <v>14000</v>
      </c>
      <c r="N572" s="16"/>
      <c r="O572" s="16"/>
    </row>
    <row r="573" spans="1:15">
      <c r="A573" s="38"/>
      <c r="B573" s="22"/>
      <c r="C573" s="22"/>
      <c r="D573" s="23"/>
      <c r="E573" s="39"/>
      <c r="F573" s="39"/>
      <c r="G573" s="39"/>
      <c r="H573" s="39"/>
      <c r="I573" s="17"/>
      <c r="J573" s="17"/>
      <c r="K573" s="17"/>
      <c r="L573" s="17"/>
      <c r="M573" s="17"/>
      <c r="N573" s="16"/>
      <c r="O573" s="16"/>
    </row>
    <row r="574" spans="1:15">
      <c r="A574" s="38">
        <v>45894</v>
      </c>
      <c r="B574" s="22"/>
      <c r="C574" s="22"/>
      <c r="D574" s="23"/>
      <c r="E574" s="39"/>
      <c r="F574" s="39"/>
      <c r="G574" s="39"/>
      <c r="H574" s="39"/>
      <c r="I574" s="17">
        <v>1000000</v>
      </c>
      <c r="J574" s="17">
        <v>0</v>
      </c>
      <c r="K574" s="17">
        <v>511500</v>
      </c>
      <c r="L574" s="17">
        <v>0</v>
      </c>
      <c r="M574" s="17">
        <v>127000</v>
      </c>
      <c r="N574" s="16" t="s">
        <v>272</v>
      </c>
      <c r="O574" s="16" t="s">
        <v>273</v>
      </c>
    </row>
    <row r="575" spans="1:15">
      <c r="A575" s="38">
        <v>45885</v>
      </c>
      <c r="B575" s="22" t="s">
        <v>17</v>
      </c>
      <c r="C575" s="22" t="s">
        <v>18</v>
      </c>
      <c r="D575" s="23" t="s">
        <v>120</v>
      </c>
      <c r="E575" s="39"/>
      <c r="F575" s="39"/>
      <c r="G575" s="39"/>
      <c r="H575" s="39"/>
      <c r="I575" s="17"/>
      <c r="J575" s="17"/>
      <c r="K575" s="17">
        <v>69000</v>
      </c>
      <c r="L575" s="17"/>
      <c r="M575" s="17">
        <v>14000</v>
      </c>
      <c r="N575" s="16"/>
      <c r="O575" s="16"/>
    </row>
    <row r="576" spans="1:15">
      <c r="A576" s="38">
        <v>45886</v>
      </c>
      <c r="B576" s="22" t="s">
        <v>17</v>
      </c>
      <c r="C576" s="22" t="s">
        <v>18</v>
      </c>
      <c r="D576" s="23" t="s">
        <v>274</v>
      </c>
      <c r="E576" s="39"/>
      <c r="F576" s="39"/>
      <c r="G576" s="39"/>
      <c r="H576" s="39"/>
      <c r="I576" s="17"/>
      <c r="J576" s="17"/>
      <c r="K576" s="17"/>
      <c r="L576" s="17"/>
      <c r="M576" s="17">
        <v>14000</v>
      </c>
      <c r="N576" s="16"/>
      <c r="O576" s="16"/>
    </row>
    <row r="577" spans="1:15">
      <c r="A577" s="38">
        <v>45887</v>
      </c>
      <c r="B577" s="22" t="s">
        <v>17</v>
      </c>
      <c r="C577" s="22" t="s">
        <v>18</v>
      </c>
      <c r="D577" s="23" t="s">
        <v>275</v>
      </c>
      <c r="E577" s="39"/>
      <c r="F577" s="39"/>
      <c r="G577" s="39"/>
      <c r="H577" s="39"/>
      <c r="I577" s="17"/>
      <c r="J577" s="17"/>
      <c r="K577" s="17"/>
      <c r="L577" s="17"/>
      <c r="M577" s="17">
        <v>7000</v>
      </c>
      <c r="N577" s="16"/>
      <c r="O577" s="16"/>
    </row>
    <row r="578" spans="1:15">
      <c r="A578" s="38">
        <v>45888</v>
      </c>
      <c r="B578" s="22" t="s">
        <v>17</v>
      </c>
      <c r="C578" s="22" t="s">
        <v>18</v>
      </c>
      <c r="D578" s="23" t="s">
        <v>120</v>
      </c>
      <c r="E578" s="39"/>
      <c r="F578" s="39"/>
      <c r="G578" s="39"/>
      <c r="H578" s="39"/>
      <c r="I578" s="17"/>
      <c r="J578" s="17"/>
      <c r="K578" s="17">
        <v>85000</v>
      </c>
      <c r="L578" s="17"/>
      <c r="M578" s="17">
        <v>14000</v>
      </c>
      <c r="N578" s="16"/>
      <c r="O578" s="16"/>
    </row>
    <row r="579" spans="1:15">
      <c r="A579" s="38">
        <v>45889</v>
      </c>
      <c r="B579" s="22" t="s">
        <v>17</v>
      </c>
      <c r="C579" s="22" t="s">
        <v>18</v>
      </c>
      <c r="D579" s="23" t="s">
        <v>120</v>
      </c>
      <c r="E579" s="39"/>
      <c r="F579" s="39"/>
      <c r="G579" s="39"/>
      <c r="H579" s="39"/>
      <c r="I579" s="17"/>
      <c r="J579" s="17"/>
      <c r="K579" s="17">
        <v>69000</v>
      </c>
      <c r="L579" s="17"/>
      <c r="M579" s="17">
        <v>11000</v>
      </c>
      <c r="N579" s="16"/>
      <c r="O579" s="16"/>
    </row>
    <row r="580" spans="1:15">
      <c r="A580" s="38">
        <v>45890</v>
      </c>
      <c r="B580" s="22" t="s">
        <v>17</v>
      </c>
      <c r="C580" s="22" t="s">
        <v>18</v>
      </c>
      <c r="D580" s="23" t="s">
        <v>86</v>
      </c>
      <c r="E580" s="39"/>
      <c r="F580" s="39"/>
      <c r="G580" s="39"/>
      <c r="H580" s="39"/>
      <c r="I580" s="17"/>
      <c r="J580" s="17"/>
      <c r="K580" s="17">
        <v>85000</v>
      </c>
      <c r="L580" s="17"/>
      <c r="M580" s="17">
        <v>14000</v>
      </c>
      <c r="N580" s="16"/>
      <c r="O580" s="16"/>
    </row>
    <row r="581" spans="1:15">
      <c r="A581" s="38">
        <v>45891</v>
      </c>
      <c r="B581" s="22" t="s">
        <v>17</v>
      </c>
      <c r="C581" s="22" t="s">
        <v>18</v>
      </c>
      <c r="D581" s="23" t="s">
        <v>276</v>
      </c>
      <c r="E581" s="39"/>
      <c r="F581" s="39"/>
      <c r="G581" s="39"/>
      <c r="H581" s="39"/>
      <c r="I581" s="17"/>
      <c r="J581" s="17"/>
      <c r="K581" s="17">
        <v>85000</v>
      </c>
      <c r="L581" s="17"/>
      <c r="M581" s="17">
        <v>14000</v>
      </c>
      <c r="N581" s="16"/>
      <c r="O581" s="16"/>
    </row>
    <row r="582" spans="1:15">
      <c r="A582" s="38">
        <v>45892</v>
      </c>
      <c r="B582" s="22" t="s">
        <v>17</v>
      </c>
      <c r="C582" s="22" t="s">
        <v>18</v>
      </c>
      <c r="D582" s="23" t="s">
        <v>277</v>
      </c>
      <c r="E582" s="39"/>
      <c r="F582" s="39"/>
      <c r="G582" s="39"/>
      <c r="H582" s="39"/>
      <c r="I582" s="17"/>
      <c r="J582" s="17"/>
      <c r="K582" s="17">
        <v>42500</v>
      </c>
      <c r="L582" s="17"/>
      <c r="M582" s="17">
        <v>11000</v>
      </c>
      <c r="N582" s="16"/>
      <c r="O582" s="16"/>
    </row>
    <row r="583" spans="1:15">
      <c r="A583" s="38">
        <v>45893</v>
      </c>
      <c r="B583" s="22" t="s">
        <v>17</v>
      </c>
      <c r="C583" s="22" t="s">
        <v>18</v>
      </c>
      <c r="D583" s="23" t="s">
        <v>267</v>
      </c>
      <c r="E583" s="39"/>
      <c r="F583" s="39"/>
      <c r="G583" s="39"/>
      <c r="H583" s="39"/>
      <c r="I583" s="17"/>
      <c r="J583" s="17"/>
      <c r="K583" s="17"/>
      <c r="L583" s="17"/>
      <c r="M583" s="17">
        <v>14000</v>
      </c>
      <c r="N583" s="16"/>
      <c r="O583" s="16"/>
    </row>
    <row r="584" spans="1:15">
      <c r="A584" s="38">
        <v>45894</v>
      </c>
      <c r="B584" s="22" t="s">
        <v>17</v>
      </c>
      <c r="C584" s="22" t="s">
        <v>18</v>
      </c>
      <c r="D584" s="23" t="s">
        <v>86</v>
      </c>
      <c r="E584" s="39"/>
      <c r="F584" s="39"/>
      <c r="G584" s="39"/>
      <c r="H584" s="39"/>
      <c r="I584" s="17"/>
      <c r="J584" s="17"/>
      <c r="K584" s="17">
        <v>76000</v>
      </c>
      <c r="L584" s="17"/>
      <c r="M584" s="17">
        <v>14000</v>
      </c>
      <c r="N584" s="16"/>
      <c r="O584" s="16"/>
    </row>
    <row r="585" spans="1:15">
      <c r="A585" s="38"/>
      <c r="B585" s="22"/>
      <c r="C585" s="22"/>
      <c r="D585" s="23"/>
      <c r="E585" s="39"/>
      <c r="F585" s="39"/>
      <c r="G585" s="39"/>
      <c r="H585" s="39"/>
      <c r="I585" s="17"/>
      <c r="J585" s="17"/>
      <c r="K585" s="17"/>
      <c r="L585" s="17"/>
      <c r="M585" s="17"/>
      <c r="N585" s="16"/>
      <c r="O585" s="16"/>
    </row>
    <row r="586" spans="1:15">
      <c r="A586" s="38">
        <v>45901</v>
      </c>
      <c r="B586" s="22"/>
      <c r="C586" s="22"/>
      <c r="D586" s="23"/>
      <c r="E586" s="39"/>
      <c r="F586" s="39"/>
      <c r="G586" s="39"/>
      <c r="H586" s="39"/>
      <c r="I586" s="17">
        <v>1000000</v>
      </c>
      <c r="J586" s="17">
        <v>0</v>
      </c>
      <c r="K586" s="17">
        <v>329500</v>
      </c>
      <c r="L586" s="17">
        <v>0</v>
      </c>
      <c r="M586" s="17">
        <v>64000</v>
      </c>
      <c r="N586" s="16" t="s">
        <v>278</v>
      </c>
      <c r="O586" s="16" t="s">
        <v>279</v>
      </c>
    </row>
    <row r="587" spans="1:15">
      <c r="A587" s="38">
        <v>45895</v>
      </c>
      <c r="B587" s="22" t="s">
        <v>17</v>
      </c>
      <c r="C587" s="22" t="s">
        <v>18</v>
      </c>
      <c r="D587" s="23" t="s">
        <v>120</v>
      </c>
      <c r="E587" s="39"/>
      <c r="F587" s="39"/>
      <c r="G587" s="39"/>
      <c r="H587" s="39"/>
      <c r="I587" s="17"/>
      <c r="J587" s="17"/>
      <c r="K587" s="17">
        <v>85000</v>
      </c>
      <c r="L587" s="17"/>
      <c r="M587" s="17">
        <v>14000</v>
      </c>
      <c r="N587" s="16"/>
      <c r="O587" s="16"/>
    </row>
    <row r="588" spans="1:15">
      <c r="A588" s="38">
        <v>45896</v>
      </c>
      <c r="B588" s="22" t="s">
        <v>17</v>
      </c>
      <c r="C588" s="22" t="s">
        <v>18</v>
      </c>
      <c r="D588" s="23" t="s">
        <v>280</v>
      </c>
      <c r="E588" s="39"/>
      <c r="F588" s="39"/>
      <c r="G588" s="39"/>
      <c r="H588" s="39"/>
      <c r="I588" s="17"/>
      <c r="J588" s="17"/>
      <c r="K588" s="17">
        <v>32000</v>
      </c>
      <c r="L588" s="17"/>
      <c r="M588" s="17">
        <v>4000</v>
      </c>
      <c r="N588" s="16"/>
      <c r="O588" s="16"/>
    </row>
    <row r="589" spans="1:15">
      <c r="A589" s="38">
        <v>45897</v>
      </c>
      <c r="B589" s="22" t="s">
        <v>17</v>
      </c>
      <c r="C589" s="22" t="s">
        <v>18</v>
      </c>
      <c r="D589" s="23" t="s">
        <v>68</v>
      </c>
      <c r="E589" s="39"/>
      <c r="F589" s="39"/>
      <c r="G589" s="39"/>
      <c r="H589" s="39"/>
      <c r="I589" s="17"/>
      <c r="J589" s="17"/>
      <c r="K589" s="17">
        <v>42500</v>
      </c>
      <c r="L589" s="17"/>
      <c r="M589" s="17">
        <v>7000</v>
      </c>
      <c r="N589" s="16"/>
      <c r="O589" s="16"/>
    </row>
    <row r="590" spans="1:15">
      <c r="A590" s="38">
        <v>45898</v>
      </c>
      <c r="B590" s="22" t="s">
        <v>17</v>
      </c>
      <c r="C590" s="22" t="s">
        <v>18</v>
      </c>
      <c r="D590" s="23" t="s">
        <v>45</v>
      </c>
      <c r="E590" s="39"/>
      <c r="F590" s="39"/>
      <c r="G590" s="39"/>
      <c r="H590" s="39"/>
      <c r="I590" s="17"/>
      <c r="J590" s="17"/>
      <c r="K590" s="17">
        <v>26500</v>
      </c>
      <c r="L590" s="17"/>
      <c r="M590" s="17">
        <v>4000</v>
      </c>
      <c r="N590" s="16"/>
      <c r="O590" s="16"/>
    </row>
    <row r="591" spans="1:15">
      <c r="A591" s="38">
        <v>45899</v>
      </c>
      <c r="B591" s="22" t="s">
        <v>17</v>
      </c>
      <c r="C591" s="22" t="s">
        <v>18</v>
      </c>
      <c r="D591" s="23" t="s">
        <v>68</v>
      </c>
      <c r="E591" s="39"/>
      <c r="F591" s="39"/>
      <c r="G591" s="39"/>
      <c r="H591" s="39"/>
      <c r="I591" s="17"/>
      <c r="J591" s="17"/>
      <c r="K591" s="17">
        <v>42500</v>
      </c>
      <c r="L591" s="17"/>
      <c r="M591" s="17">
        <v>7000</v>
      </c>
      <c r="N591" s="16"/>
      <c r="O591" s="16"/>
    </row>
    <row r="592" spans="1:15">
      <c r="A592" s="38">
        <v>45900</v>
      </c>
      <c r="B592" s="22" t="s">
        <v>17</v>
      </c>
      <c r="C592" s="22" t="s">
        <v>18</v>
      </c>
      <c r="D592" s="23" t="s">
        <v>267</v>
      </c>
      <c r="E592" s="39"/>
      <c r="F592" s="39"/>
      <c r="G592" s="39"/>
      <c r="H592" s="39"/>
      <c r="I592" s="17"/>
      <c r="J592" s="17"/>
      <c r="K592" s="17">
        <v>16000</v>
      </c>
      <c r="L592" s="17"/>
      <c r="M592" s="17">
        <v>14000</v>
      </c>
      <c r="N592" s="16"/>
      <c r="O592" s="16"/>
    </row>
    <row r="593" spans="1:15">
      <c r="A593" s="38">
        <v>45901</v>
      </c>
      <c r="B593" s="22" t="s">
        <v>17</v>
      </c>
      <c r="C593" s="22" t="s">
        <v>18</v>
      </c>
      <c r="D593" s="23" t="s">
        <v>120</v>
      </c>
      <c r="E593" s="39"/>
      <c r="F593" s="39"/>
      <c r="G593" s="39"/>
      <c r="H593" s="39"/>
      <c r="I593" s="17"/>
      <c r="J593" s="17"/>
      <c r="K593" s="17">
        <v>85000</v>
      </c>
      <c r="L593" s="17"/>
      <c r="M593" s="17">
        <v>14000</v>
      </c>
      <c r="N593" s="16"/>
      <c r="O593" s="16"/>
    </row>
    <row r="594" spans="1:15">
      <c r="A594" s="38"/>
      <c r="B594" s="22"/>
      <c r="C594" s="22"/>
      <c r="D594" s="23"/>
      <c r="E594" s="39"/>
      <c r="F594" s="39"/>
      <c r="G594" s="39"/>
      <c r="H594" s="39"/>
      <c r="I594" s="17"/>
      <c r="J594" s="17"/>
      <c r="K594" s="17"/>
      <c r="L594" s="17"/>
      <c r="M594" s="17"/>
      <c r="N594" s="16"/>
      <c r="O594" s="16"/>
    </row>
    <row r="595" spans="1:15">
      <c r="A595" s="38">
        <v>45909</v>
      </c>
      <c r="B595" s="22"/>
      <c r="C595" s="22"/>
      <c r="D595" s="23"/>
      <c r="E595" s="39"/>
      <c r="F595" s="39"/>
      <c r="G595" s="39"/>
      <c r="H595" s="39"/>
      <c r="I595" s="17">
        <v>1000000</v>
      </c>
      <c r="J595" s="17">
        <v>0</v>
      </c>
      <c r="K595" s="17">
        <v>450000</v>
      </c>
      <c r="L595" s="17">
        <v>0</v>
      </c>
      <c r="M595" s="17">
        <v>81000</v>
      </c>
      <c r="N595" s="16" t="s">
        <v>281</v>
      </c>
      <c r="O595" s="16" t="s">
        <v>282</v>
      </c>
    </row>
    <row r="596" spans="1:15">
      <c r="A596" s="38">
        <v>45902</v>
      </c>
      <c r="B596" s="22" t="s">
        <v>17</v>
      </c>
      <c r="C596" s="22" t="s">
        <v>18</v>
      </c>
      <c r="D596" s="23" t="s">
        <v>283</v>
      </c>
      <c r="E596" s="39">
        <v>6</v>
      </c>
      <c r="F596" s="39"/>
      <c r="G596" s="39"/>
      <c r="H596" s="39"/>
      <c r="I596" s="17"/>
      <c r="J596" s="17"/>
      <c r="K596" s="17">
        <v>42500</v>
      </c>
      <c r="L596" s="17"/>
      <c r="M596" s="17">
        <v>7000</v>
      </c>
      <c r="N596" s="16"/>
      <c r="O596" s="16"/>
    </row>
    <row r="597" spans="1:15">
      <c r="A597" s="38">
        <v>45902</v>
      </c>
      <c r="B597" s="22" t="s">
        <v>17</v>
      </c>
      <c r="C597" s="22" t="s">
        <v>18</v>
      </c>
      <c r="D597" s="23" t="s">
        <v>68</v>
      </c>
      <c r="E597" s="39">
        <v>6</v>
      </c>
      <c r="F597" s="39"/>
      <c r="G597" s="39"/>
      <c r="H597" s="39"/>
      <c r="I597" s="17"/>
      <c r="J597" s="17"/>
      <c r="K597" s="17">
        <v>42500</v>
      </c>
      <c r="L597" s="17"/>
      <c r="M597" s="17">
        <v>7000</v>
      </c>
      <c r="N597" s="16"/>
      <c r="O597" s="16"/>
    </row>
    <row r="598" spans="1:15">
      <c r="A598" s="38">
        <v>45903</v>
      </c>
      <c r="B598" s="22" t="s">
        <v>17</v>
      </c>
      <c r="C598" s="22" t="s">
        <v>18</v>
      </c>
      <c r="D598" s="23" t="s">
        <v>68</v>
      </c>
      <c r="E598" s="39">
        <v>6</v>
      </c>
      <c r="F598" s="39"/>
      <c r="G598" s="39"/>
      <c r="H598" s="39"/>
      <c r="I598" s="17"/>
      <c r="J598" s="17"/>
      <c r="K598" s="17">
        <v>42500</v>
      </c>
      <c r="L598" s="17"/>
      <c r="M598" s="17">
        <v>7000</v>
      </c>
      <c r="N598" s="16"/>
      <c r="O598" s="16"/>
    </row>
    <row r="599" spans="1:15">
      <c r="A599" s="38">
        <v>45903</v>
      </c>
      <c r="B599" s="22" t="s">
        <v>17</v>
      </c>
      <c r="C599" s="22" t="s">
        <v>18</v>
      </c>
      <c r="D599" s="23" t="s">
        <v>280</v>
      </c>
      <c r="E599" s="39">
        <v>6</v>
      </c>
      <c r="F599" s="39"/>
      <c r="G599" s="39"/>
      <c r="H599" s="39"/>
      <c r="I599" s="17"/>
      <c r="J599" s="17"/>
      <c r="K599" s="17">
        <v>26500</v>
      </c>
      <c r="L599" s="17"/>
      <c r="M599" s="17">
        <v>7000</v>
      </c>
      <c r="N599" s="16"/>
      <c r="O599" s="16"/>
    </row>
    <row r="600" spans="1:15">
      <c r="A600" s="38">
        <v>45904</v>
      </c>
      <c r="B600" s="22" t="s">
        <v>17</v>
      </c>
      <c r="C600" s="22" t="s">
        <v>18</v>
      </c>
      <c r="D600" s="23" t="s">
        <v>68</v>
      </c>
      <c r="E600" s="39">
        <v>6</v>
      </c>
      <c r="F600" s="39"/>
      <c r="G600" s="39"/>
      <c r="H600" s="39"/>
      <c r="I600" s="17"/>
      <c r="J600" s="17"/>
      <c r="K600" s="17">
        <v>42500</v>
      </c>
      <c r="L600" s="17"/>
      <c r="M600" s="17">
        <v>7000</v>
      </c>
      <c r="N600" s="16"/>
      <c r="O600" s="16"/>
    </row>
    <row r="601" spans="1:15">
      <c r="A601" s="38">
        <v>45904</v>
      </c>
      <c r="B601" s="22" t="s">
        <v>17</v>
      </c>
      <c r="C601" s="22" t="s">
        <v>18</v>
      </c>
      <c r="D601" s="23" t="s">
        <v>45</v>
      </c>
      <c r="E601" s="39">
        <v>6</v>
      </c>
      <c r="F601" s="39"/>
      <c r="G601" s="39"/>
      <c r="H601" s="39"/>
      <c r="I601" s="17"/>
      <c r="J601" s="17"/>
      <c r="K601" s="17">
        <v>42500</v>
      </c>
      <c r="L601" s="17"/>
      <c r="M601" s="17">
        <v>7000</v>
      </c>
      <c r="N601" s="16"/>
      <c r="O601" s="16"/>
    </row>
    <row r="602" spans="1:15">
      <c r="A602" s="38">
        <v>45906</v>
      </c>
      <c r="B602" s="22" t="s">
        <v>17</v>
      </c>
      <c r="C602" s="22" t="s">
        <v>18</v>
      </c>
      <c r="D602" s="23" t="s">
        <v>68</v>
      </c>
      <c r="E602" s="39">
        <v>6</v>
      </c>
      <c r="F602" s="39"/>
      <c r="G602" s="39"/>
      <c r="H602" s="39"/>
      <c r="I602" s="17"/>
      <c r="J602" s="17"/>
      <c r="K602" s="17">
        <v>42500</v>
      </c>
      <c r="L602" s="17"/>
      <c r="M602" s="17">
        <v>7000</v>
      </c>
      <c r="N602" s="16"/>
      <c r="O602" s="16"/>
    </row>
    <row r="603" spans="1:15">
      <c r="A603" s="38">
        <v>45906</v>
      </c>
      <c r="B603" s="22" t="s">
        <v>17</v>
      </c>
      <c r="C603" s="22" t="s">
        <v>18</v>
      </c>
      <c r="D603" s="23" t="s">
        <v>45</v>
      </c>
      <c r="E603" s="39">
        <v>6</v>
      </c>
      <c r="F603" s="39"/>
      <c r="G603" s="39"/>
      <c r="H603" s="39"/>
      <c r="I603" s="17"/>
      <c r="J603" s="17"/>
      <c r="K603" s="17">
        <v>42500</v>
      </c>
      <c r="L603" s="17"/>
      <c r="M603" s="17">
        <v>7000</v>
      </c>
      <c r="N603" s="16"/>
      <c r="O603" s="16"/>
    </row>
    <row r="604" spans="1:15">
      <c r="A604" s="38">
        <v>45907</v>
      </c>
      <c r="B604" s="22" t="s">
        <v>17</v>
      </c>
      <c r="C604" s="22" t="s">
        <v>18</v>
      </c>
      <c r="D604" s="23" t="s">
        <v>68</v>
      </c>
      <c r="E604" s="39">
        <v>6</v>
      </c>
      <c r="F604" s="39"/>
      <c r="G604" s="39"/>
      <c r="H604" s="39"/>
      <c r="I604" s="17"/>
      <c r="J604" s="17"/>
      <c r="K604" s="17">
        <v>33500</v>
      </c>
      <c r="L604" s="17"/>
      <c r="M604" s="17">
        <v>7000</v>
      </c>
      <c r="N604" s="16"/>
      <c r="O604" s="16"/>
    </row>
    <row r="605" spans="1:15">
      <c r="A605" s="38">
        <v>45907</v>
      </c>
      <c r="B605" s="22" t="s">
        <v>17</v>
      </c>
      <c r="C605" s="22" t="s">
        <v>18</v>
      </c>
      <c r="D605" s="23" t="s">
        <v>284</v>
      </c>
      <c r="E605" s="40">
        <v>1</v>
      </c>
      <c r="F605" s="40"/>
      <c r="G605" s="40"/>
      <c r="H605" s="40"/>
      <c r="I605" s="17"/>
      <c r="J605" s="17"/>
      <c r="K605" s="17">
        <v>9000</v>
      </c>
      <c r="L605" s="17"/>
      <c r="M605" s="17">
        <v>7000</v>
      </c>
      <c r="N605" s="16"/>
      <c r="O605" s="16"/>
    </row>
    <row r="606" spans="1:15">
      <c r="A606" s="38">
        <v>45908</v>
      </c>
      <c r="B606" s="22" t="s">
        <v>17</v>
      </c>
      <c r="C606" s="22" t="s">
        <v>18</v>
      </c>
      <c r="D606" s="23" t="s">
        <v>285</v>
      </c>
      <c r="E606" s="39"/>
      <c r="F606" s="39"/>
      <c r="G606" s="39"/>
      <c r="H606" s="39"/>
      <c r="I606" s="17"/>
      <c r="J606" s="17"/>
      <c r="K606" s="17">
        <v>9000</v>
      </c>
      <c r="L606" s="17"/>
      <c r="M606" s="17"/>
      <c r="N606" s="16"/>
      <c r="O606" s="16"/>
    </row>
    <row r="607" spans="1:15">
      <c r="A607" s="38">
        <v>45909</v>
      </c>
      <c r="B607" s="22" t="s">
        <v>17</v>
      </c>
      <c r="C607" s="22" t="s">
        <v>18</v>
      </c>
      <c r="D607" s="23" t="s">
        <v>68</v>
      </c>
      <c r="E607" s="39">
        <v>6</v>
      </c>
      <c r="F607" s="39"/>
      <c r="G607" s="39"/>
      <c r="H607" s="39"/>
      <c r="I607" s="17"/>
      <c r="J607" s="17"/>
      <c r="K607" s="17">
        <v>42500</v>
      </c>
      <c r="L607" s="17"/>
      <c r="M607" s="17">
        <v>7000</v>
      </c>
      <c r="N607" s="16"/>
      <c r="O607" s="16"/>
    </row>
    <row r="608" spans="1:15">
      <c r="A608" s="38">
        <v>45909</v>
      </c>
      <c r="B608" s="22" t="s">
        <v>17</v>
      </c>
      <c r="C608" s="22" t="s">
        <v>18</v>
      </c>
      <c r="D608" s="23" t="s">
        <v>45</v>
      </c>
      <c r="E608" s="39">
        <v>6</v>
      </c>
      <c r="F608" s="39"/>
      <c r="G608" s="39"/>
      <c r="H608" s="39"/>
      <c r="I608" s="17"/>
      <c r="J608" s="17"/>
      <c r="K608" s="17">
        <v>32000</v>
      </c>
      <c r="L608" s="17"/>
      <c r="M608" s="17">
        <v>4000</v>
      </c>
      <c r="N608" s="16"/>
      <c r="O608" s="16"/>
    </row>
    <row r="609" spans="1:15">
      <c r="A609" s="38"/>
      <c r="B609" s="22"/>
      <c r="C609" s="22"/>
      <c r="D609" s="23"/>
      <c r="E609" s="39"/>
      <c r="F609" s="39"/>
      <c r="G609" s="39"/>
      <c r="H609" s="39"/>
      <c r="I609" s="17"/>
      <c r="J609" s="17"/>
      <c r="K609" s="17"/>
      <c r="L609" s="17"/>
      <c r="M609" s="17"/>
      <c r="N609" s="16"/>
      <c r="O609" s="16"/>
    </row>
    <row r="610" spans="1:15">
      <c r="A610" s="38">
        <v>45914</v>
      </c>
      <c r="B610" s="22"/>
      <c r="C610" s="22"/>
      <c r="D610" s="23"/>
      <c r="E610" s="41"/>
      <c r="F610" s="41"/>
      <c r="G610" s="41"/>
      <c r="H610" s="41"/>
      <c r="I610" s="17">
        <v>1000000</v>
      </c>
      <c r="J610" s="17">
        <v>0</v>
      </c>
      <c r="K610" s="17">
        <v>334500</v>
      </c>
      <c r="L610" s="17">
        <v>0</v>
      </c>
      <c r="M610" s="17">
        <v>81000</v>
      </c>
      <c r="N610" s="16" t="s">
        <v>286</v>
      </c>
      <c r="O610" s="16" t="s">
        <v>287</v>
      </c>
    </row>
    <row r="611" spans="1:15">
      <c r="A611" s="38">
        <v>45910</v>
      </c>
      <c r="B611" s="22" t="s">
        <v>17</v>
      </c>
      <c r="C611" s="22" t="s">
        <v>18</v>
      </c>
      <c r="D611" s="23" t="s">
        <v>197</v>
      </c>
      <c r="E611" s="39">
        <v>6</v>
      </c>
      <c r="F611" s="42">
        <v>6400</v>
      </c>
      <c r="G611" s="42">
        <v>3820</v>
      </c>
      <c r="H611" s="42">
        <v>2580</v>
      </c>
      <c r="I611" s="17"/>
      <c r="J611" s="17"/>
      <c r="K611" s="17">
        <v>42500</v>
      </c>
      <c r="L611" s="17"/>
      <c r="M611" s="17">
        <v>7000</v>
      </c>
      <c r="N611" s="16"/>
      <c r="O611" s="16"/>
    </row>
    <row r="612" spans="1:15">
      <c r="A612" s="38">
        <v>45910</v>
      </c>
      <c r="B612" s="22" t="s">
        <v>17</v>
      </c>
      <c r="C612" s="22" t="s">
        <v>18</v>
      </c>
      <c r="D612" s="23" t="s">
        <v>68</v>
      </c>
      <c r="E612" s="39">
        <v>6</v>
      </c>
      <c r="F612" s="42">
        <v>4890</v>
      </c>
      <c r="G612" s="42">
        <v>3830</v>
      </c>
      <c r="H612" s="42">
        <v>1060</v>
      </c>
      <c r="I612" s="17"/>
      <c r="J612" s="17"/>
      <c r="K612" s="17">
        <v>42500</v>
      </c>
      <c r="L612" s="17"/>
      <c r="M612" s="17">
        <v>7000</v>
      </c>
      <c r="N612" s="16"/>
      <c r="O612" s="16"/>
    </row>
    <row r="613" spans="1:15">
      <c r="A613" s="38">
        <v>45911</v>
      </c>
      <c r="B613" s="22" t="s">
        <v>17</v>
      </c>
      <c r="C613" s="22" t="s">
        <v>18</v>
      </c>
      <c r="D613" s="23" t="s">
        <v>45</v>
      </c>
      <c r="E613" s="39">
        <v>6</v>
      </c>
      <c r="F613" s="42">
        <v>4910</v>
      </c>
      <c r="G613" s="42">
        <v>3900</v>
      </c>
      <c r="H613" s="42">
        <v>1010</v>
      </c>
      <c r="I613" s="17"/>
      <c r="J613" s="17"/>
      <c r="K613" s="17">
        <v>42500</v>
      </c>
      <c r="L613" s="17"/>
      <c r="M613" s="17">
        <v>7000</v>
      </c>
      <c r="N613" s="16"/>
      <c r="O613" s="16"/>
    </row>
    <row r="614" spans="1:15">
      <c r="A614" s="38">
        <v>45911</v>
      </c>
      <c r="B614" s="22" t="s">
        <v>17</v>
      </c>
      <c r="C614" s="22" t="s">
        <v>18</v>
      </c>
      <c r="D614" s="23" t="s">
        <v>45</v>
      </c>
      <c r="E614" s="39">
        <v>6</v>
      </c>
      <c r="F614" s="42">
        <v>4620</v>
      </c>
      <c r="G614" s="42">
        <v>3940</v>
      </c>
      <c r="H614" s="42">
        <v>680</v>
      </c>
      <c r="I614" s="17"/>
      <c r="J614" s="17"/>
      <c r="K614" s="17">
        <v>42500</v>
      </c>
      <c r="L614" s="17"/>
      <c r="M614" s="17">
        <v>7000</v>
      </c>
      <c r="N614" s="16"/>
      <c r="O614" s="16"/>
    </row>
    <row r="615" spans="1:15">
      <c r="A615" s="38">
        <v>45911</v>
      </c>
      <c r="B615" s="22" t="s">
        <v>17</v>
      </c>
      <c r="C615" s="22" t="s">
        <v>18</v>
      </c>
      <c r="D615" s="23" t="s">
        <v>288</v>
      </c>
      <c r="E615" s="39"/>
      <c r="F615" s="42"/>
      <c r="G615" s="42"/>
      <c r="H615" s="42"/>
      <c r="I615" s="17"/>
      <c r="J615" s="17"/>
      <c r="K615" s="17"/>
      <c r="L615" s="17"/>
      <c r="M615" s="17">
        <v>4000</v>
      </c>
      <c r="N615" s="16"/>
      <c r="O615" s="16"/>
    </row>
    <row r="616" spans="1:15">
      <c r="A616" s="38">
        <v>45912</v>
      </c>
      <c r="B616" s="22" t="s">
        <v>17</v>
      </c>
      <c r="C616" s="22" t="s">
        <v>18</v>
      </c>
      <c r="D616" s="23" t="s">
        <v>45</v>
      </c>
      <c r="E616" s="39">
        <v>6</v>
      </c>
      <c r="F616" s="42">
        <v>5100</v>
      </c>
      <c r="G616" s="42">
        <v>3900</v>
      </c>
      <c r="H616" s="42">
        <v>1200</v>
      </c>
      <c r="I616" s="17"/>
      <c r="J616" s="17"/>
      <c r="K616" s="17">
        <v>42500</v>
      </c>
      <c r="L616" s="17"/>
      <c r="M616" s="17">
        <v>7000</v>
      </c>
      <c r="N616" s="16"/>
      <c r="O616" s="16"/>
    </row>
    <row r="617" spans="1:15">
      <c r="A617" s="38">
        <v>45912</v>
      </c>
      <c r="B617" s="22" t="s">
        <v>17</v>
      </c>
      <c r="C617" s="22" t="s">
        <v>18</v>
      </c>
      <c r="D617" s="23" t="s">
        <v>68</v>
      </c>
      <c r="E617" s="39">
        <v>6</v>
      </c>
      <c r="F617" s="42">
        <v>5610</v>
      </c>
      <c r="G617" s="42">
        <v>3780</v>
      </c>
      <c r="H617" s="42">
        <v>1830</v>
      </c>
      <c r="I617" s="17"/>
      <c r="J617" s="17"/>
      <c r="K617" s="17">
        <v>42500</v>
      </c>
      <c r="L617" s="17"/>
      <c r="M617" s="17">
        <v>7000</v>
      </c>
      <c r="N617" s="16"/>
      <c r="O617" s="16"/>
    </row>
    <row r="618" spans="1:15">
      <c r="A618" s="38">
        <v>45913</v>
      </c>
      <c r="B618" s="22" t="s">
        <v>17</v>
      </c>
      <c r="C618" s="22" t="s">
        <v>18</v>
      </c>
      <c r="D618" s="23" t="s">
        <v>45</v>
      </c>
      <c r="E618" s="39">
        <v>6</v>
      </c>
      <c r="F618" s="42">
        <v>4870</v>
      </c>
      <c r="G618" s="42">
        <v>3810</v>
      </c>
      <c r="H618" s="42">
        <v>1060</v>
      </c>
      <c r="I618" s="17"/>
      <c r="J618" s="17"/>
      <c r="K618" s="17">
        <v>26500</v>
      </c>
      <c r="L618" s="17"/>
      <c r="M618" s="17">
        <v>7000</v>
      </c>
      <c r="N618" s="16"/>
      <c r="O618" s="16"/>
    </row>
    <row r="619" spans="1:15">
      <c r="A619" s="38">
        <v>45913</v>
      </c>
      <c r="B619" s="22" t="s">
        <v>17</v>
      </c>
      <c r="C619" s="22" t="s">
        <v>18</v>
      </c>
      <c r="D619" s="23" t="s">
        <v>68</v>
      </c>
      <c r="E619" s="39">
        <v>6</v>
      </c>
      <c r="F619" s="42">
        <v>4880</v>
      </c>
      <c r="G619" s="42">
        <v>3870</v>
      </c>
      <c r="H619" s="42">
        <v>1010</v>
      </c>
      <c r="I619" s="17"/>
      <c r="J619" s="17"/>
      <c r="K619" s="17">
        <v>26500</v>
      </c>
      <c r="L619" s="17"/>
      <c r="M619" s="17">
        <v>7000</v>
      </c>
      <c r="N619" s="16"/>
      <c r="O619" s="16"/>
    </row>
    <row r="620" spans="1:15">
      <c r="A620" s="38">
        <v>45913</v>
      </c>
      <c r="B620" s="22" t="s">
        <v>17</v>
      </c>
      <c r="C620" s="22" t="s">
        <v>18</v>
      </c>
      <c r="D620" s="23" t="s">
        <v>68</v>
      </c>
      <c r="E620" s="39">
        <v>6</v>
      </c>
      <c r="F620" s="42">
        <v>5010</v>
      </c>
      <c r="G620" s="42">
        <v>3920</v>
      </c>
      <c r="H620" s="42">
        <v>1090</v>
      </c>
      <c r="I620" s="17"/>
      <c r="J620" s="17"/>
      <c r="K620" s="17">
        <v>26500</v>
      </c>
      <c r="L620" s="17"/>
      <c r="M620" s="17">
        <v>7000</v>
      </c>
      <c r="N620" s="16"/>
      <c r="O620" s="16"/>
    </row>
    <row r="621" spans="1:15">
      <c r="A621" s="38">
        <v>45914</v>
      </c>
      <c r="B621" s="22" t="s">
        <v>17</v>
      </c>
      <c r="C621" s="22" t="s">
        <v>18</v>
      </c>
      <c r="D621" s="23" t="s">
        <v>284</v>
      </c>
      <c r="E621" s="39">
        <v>6</v>
      </c>
      <c r="F621" s="42">
        <v>4710</v>
      </c>
      <c r="G621" s="42">
        <v>3820</v>
      </c>
      <c r="H621" s="42">
        <v>890</v>
      </c>
      <c r="I621" s="17"/>
      <c r="J621" s="17"/>
      <c r="K621" s="17"/>
      <c r="L621" s="17"/>
      <c r="M621" s="17">
        <v>7000</v>
      </c>
      <c r="N621" s="16"/>
      <c r="O621" s="16"/>
    </row>
    <row r="622" spans="1:15">
      <c r="A622" s="38">
        <v>45914</v>
      </c>
      <c r="B622" s="22" t="s">
        <v>17</v>
      </c>
      <c r="C622" s="22" t="s">
        <v>18</v>
      </c>
      <c r="D622" s="23" t="s">
        <v>284</v>
      </c>
      <c r="E622" s="39">
        <v>6</v>
      </c>
      <c r="F622" s="42">
        <v>4760</v>
      </c>
      <c r="G622" s="42">
        <v>3870</v>
      </c>
      <c r="H622" s="42">
        <v>890</v>
      </c>
      <c r="I622" s="17"/>
      <c r="J622" s="17"/>
      <c r="K622" s="17"/>
      <c r="L622" s="17"/>
      <c r="M622" s="17">
        <v>7000</v>
      </c>
      <c r="N622" s="16"/>
      <c r="O622" s="16"/>
    </row>
    <row r="623" spans="1:15">
      <c r="A623" s="38"/>
      <c r="B623" s="22"/>
      <c r="C623" s="22"/>
      <c r="D623" s="23"/>
      <c r="E623" s="39"/>
      <c r="F623" s="42"/>
      <c r="G623" s="42"/>
      <c r="H623" s="42"/>
      <c r="I623" s="17"/>
      <c r="J623" s="17"/>
      <c r="K623" s="17"/>
      <c r="L623" s="17"/>
      <c r="M623" s="17"/>
      <c r="N623" s="16"/>
      <c r="O623" s="16"/>
    </row>
    <row r="624" spans="1:15">
      <c r="A624" s="38">
        <v>45922</v>
      </c>
      <c r="B624" s="22"/>
      <c r="C624" s="22"/>
      <c r="D624" s="23"/>
      <c r="E624" s="39"/>
      <c r="F624" s="42"/>
      <c r="G624" s="42"/>
      <c r="H624" s="42"/>
      <c r="I624" s="17">
        <v>1000000</v>
      </c>
      <c r="J624" s="17">
        <v>0</v>
      </c>
      <c r="K624" s="17">
        <v>543500</v>
      </c>
      <c r="L624" s="17">
        <v>0</v>
      </c>
      <c r="M624" s="17">
        <v>108000</v>
      </c>
      <c r="N624" s="16" t="s">
        <v>289</v>
      </c>
      <c r="O624" s="16" t="s">
        <v>290</v>
      </c>
    </row>
    <row r="625" spans="1:15">
      <c r="A625" s="38">
        <v>45916</v>
      </c>
      <c r="B625" s="22" t="s">
        <v>17</v>
      </c>
      <c r="C625" s="22" t="s">
        <v>18</v>
      </c>
      <c r="D625" s="23" t="s">
        <v>68</v>
      </c>
      <c r="E625" s="39">
        <v>6</v>
      </c>
      <c r="F625" s="42">
        <v>4430</v>
      </c>
      <c r="G625" s="42">
        <v>3790</v>
      </c>
      <c r="H625" s="42">
        <v>640</v>
      </c>
      <c r="I625" s="17"/>
      <c r="J625" s="17"/>
      <c r="K625" s="17">
        <v>26500</v>
      </c>
      <c r="L625" s="17"/>
      <c r="M625" s="17">
        <v>4000</v>
      </c>
      <c r="N625" s="16"/>
      <c r="O625" s="16"/>
    </row>
    <row r="626" spans="1:15">
      <c r="A626" s="38">
        <v>45916</v>
      </c>
      <c r="B626" s="22" t="s">
        <v>17</v>
      </c>
      <c r="C626" s="22" t="s">
        <v>18</v>
      </c>
      <c r="D626" s="23" t="s">
        <v>45</v>
      </c>
      <c r="E626" s="39">
        <v>6</v>
      </c>
      <c r="F626" s="42">
        <v>4940</v>
      </c>
      <c r="G626" s="42">
        <v>3800</v>
      </c>
      <c r="H626" s="42">
        <v>1140</v>
      </c>
      <c r="I626" s="17"/>
      <c r="J626" s="17"/>
      <c r="K626" s="17">
        <v>33500</v>
      </c>
      <c r="L626" s="17"/>
      <c r="M626" s="17">
        <v>7000</v>
      </c>
      <c r="N626" s="16"/>
      <c r="O626" s="16"/>
    </row>
    <row r="627" spans="1:15">
      <c r="A627" s="38">
        <v>45916</v>
      </c>
      <c r="B627" s="22" t="s">
        <v>17</v>
      </c>
      <c r="C627" s="22" t="s">
        <v>18</v>
      </c>
      <c r="D627" s="23" t="s">
        <v>288</v>
      </c>
      <c r="E627" s="39">
        <v>6</v>
      </c>
      <c r="F627" s="42">
        <v>4940</v>
      </c>
      <c r="G627" s="42">
        <v>3890</v>
      </c>
      <c r="H627" s="42">
        <v>1050</v>
      </c>
      <c r="I627" s="17"/>
      <c r="J627" s="17"/>
      <c r="K627" s="17">
        <v>25000</v>
      </c>
      <c r="L627" s="17"/>
      <c r="M627" s="17">
        <v>7000</v>
      </c>
      <c r="N627" s="16"/>
      <c r="O627" s="16"/>
    </row>
    <row r="628" spans="1:15">
      <c r="A628" s="38">
        <v>45917</v>
      </c>
      <c r="B628" s="22" t="s">
        <v>17</v>
      </c>
      <c r="C628" s="22" t="s">
        <v>18</v>
      </c>
      <c r="D628" s="23" t="s">
        <v>45</v>
      </c>
      <c r="E628" s="39">
        <v>6</v>
      </c>
      <c r="F628" s="42">
        <v>4680</v>
      </c>
      <c r="G628" s="42">
        <v>3870</v>
      </c>
      <c r="H628" s="42">
        <v>810</v>
      </c>
      <c r="I628" s="17"/>
      <c r="J628" s="17"/>
      <c r="K628" s="17">
        <v>42500</v>
      </c>
      <c r="L628" s="17"/>
      <c r="M628" s="17">
        <v>4000</v>
      </c>
      <c r="N628" s="16"/>
      <c r="O628" s="16"/>
    </row>
    <row r="629" spans="1:15">
      <c r="A629" s="38">
        <v>45917</v>
      </c>
      <c r="B629" s="22" t="s">
        <v>17</v>
      </c>
      <c r="C629" s="22" t="s">
        <v>18</v>
      </c>
      <c r="D629" s="23" t="s">
        <v>68</v>
      </c>
      <c r="E629" s="39">
        <v>6</v>
      </c>
      <c r="F629" s="42">
        <v>5290</v>
      </c>
      <c r="G629" s="42">
        <v>3840</v>
      </c>
      <c r="H629" s="42">
        <v>1450</v>
      </c>
      <c r="I629" s="17"/>
      <c r="J629" s="17"/>
      <c r="K629" s="17">
        <v>26500</v>
      </c>
      <c r="L629" s="17"/>
      <c r="M629" s="17">
        <v>7000</v>
      </c>
      <c r="N629" s="16"/>
      <c r="O629" s="16"/>
    </row>
    <row r="630" spans="1:15">
      <c r="A630" s="38">
        <v>45918</v>
      </c>
      <c r="B630" s="22" t="s">
        <v>17</v>
      </c>
      <c r="C630" s="22" t="s">
        <v>18</v>
      </c>
      <c r="D630" s="23" t="s">
        <v>283</v>
      </c>
      <c r="E630" s="39">
        <v>6</v>
      </c>
      <c r="F630" s="42">
        <v>4620</v>
      </c>
      <c r="G630" s="42">
        <v>3800</v>
      </c>
      <c r="H630" s="42">
        <v>820</v>
      </c>
      <c r="I630" s="17"/>
      <c r="J630" s="17"/>
      <c r="K630" s="17">
        <v>42500</v>
      </c>
      <c r="L630" s="17"/>
      <c r="M630" s="17">
        <v>7000</v>
      </c>
      <c r="N630" s="16"/>
      <c r="O630" s="16"/>
    </row>
    <row r="631" spans="1:15">
      <c r="A631" s="38">
        <v>45918</v>
      </c>
      <c r="B631" s="22" t="s">
        <v>17</v>
      </c>
      <c r="C631" s="22" t="s">
        <v>18</v>
      </c>
      <c r="D631" s="23" t="s">
        <v>68</v>
      </c>
      <c r="E631" s="39">
        <v>6</v>
      </c>
      <c r="F631" s="42">
        <v>4710</v>
      </c>
      <c r="G631" s="42">
        <v>3840</v>
      </c>
      <c r="H631" s="42">
        <v>870</v>
      </c>
      <c r="I631" s="17"/>
      <c r="J631" s="17"/>
      <c r="K631" s="17">
        <v>42500</v>
      </c>
      <c r="L631" s="17"/>
      <c r="M631" s="17">
        <v>7000</v>
      </c>
      <c r="N631" s="16"/>
      <c r="O631" s="16"/>
    </row>
    <row r="632" spans="1:15">
      <c r="A632" s="38">
        <v>45918</v>
      </c>
      <c r="B632" s="22" t="s">
        <v>17</v>
      </c>
      <c r="C632" s="22" t="s">
        <v>18</v>
      </c>
      <c r="D632" s="23" t="s">
        <v>68</v>
      </c>
      <c r="E632" s="39">
        <v>6</v>
      </c>
      <c r="F632" s="42">
        <v>4290</v>
      </c>
      <c r="G632" s="42">
        <v>3880</v>
      </c>
      <c r="H632" s="42">
        <v>410</v>
      </c>
      <c r="I632" s="17"/>
      <c r="J632" s="17"/>
      <c r="K632" s="17">
        <v>42500</v>
      </c>
      <c r="L632" s="17"/>
      <c r="M632" s="17">
        <v>7000</v>
      </c>
      <c r="N632" s="16"/>
      <c r="O632" s="16"/>
    </row>
    <row r="633" spans="1:15">
      <c r="A633" s="38">
        <v>45919</v>
      </c>
      <c r="B633" s="22" t="s">
        <v>17</v>
      </c>
      <c r="C633" s="22" t="s">
        <v>18</v>
      </c>
      <c r="D633" s="23" t="s">
        <v>68</v>
      </c>
      <c r="E633" s="39">
        <v>6</v>
      </c>
      <c r="F633" s="42">
        <v>4820</v>
      </c>
      <c r="G633" s="42">
        <v>3790</v>
      </c>
      <c r="H633" s="42">
        <v>1030</v>
      </c>
      <c r="I633" s="17"/>
      <c r="J633" s="17"/>
      <c r="K633" s="17">
        <v>42500</v>
      </c>
      <c r="L633" s="17"/>
      <c r="M633" s="17">
        <v>9000</v>
      </c>
      <c r="N633" s="16"/>
      <c r="O633" s="16"/>
    </row>
    <row r="634" spans="1:15">
      <c r="A634" s="38">
        <v>45919</v>
      </c>
      <c r="B634" s="22" t="s">
        <v>17</v>
      </c>
      <c r="C634" s="22" t="s">
        <v>18</v>
      </c>
      <c r="D634" s="23" t="s">
        <v>45</v>
      </c>
      <c r="E634" s="39">
        <v>6</v>
      </c>
      <c r="F634" s="42">
        <v>4520</v>
      </c>
      <c r="G634" s="42">
        <v>3810</v>
      </c>
      <c r="H634" s="42">
        <v>710</v>
      </c>
      <c r="I634" s="17"/>
      <c r="J634" s="17"/>
      <c r="K634" s="17">
        <v>33500</v>
      </c>
      <c r="L634" s="17"/>
      <c r="M634" s="17">
        <v>7000</v>
      </c>
      <c r="N634" s="16"/>
      <c r="O634" s="16"/>
    </row>
    <row r="635" spans="1:15">
      <c r="A635" s="38">
        <v>45920</v>
      </c>
      <c r="B635" s="22" t="s">
        <v>17</v>
      </c>
      <c r="C635" s="22" t="s">
        <v>18</v>
      </c>
      <c r="D635" s="23" t="s">
        <v>197</v>
      </c>
      <c r="E635" s="39">
        <v>6</v>
      </c>
      <c r="F635" s="42">
        <v>5300</v>
      </c>
      <c r="G635" s="42">
        <v>3880</v>
      </c>
      <c r="H635" s="42">
        <v>1420</v>
      </c>
      <c r="I635" s="17"/>
      <c r="J635" s="17"/>
      <c r="K635" s="17">
        <v>42500</v>
      </c>
      <c r="L635" s="17"/>
      <c r="M635" s="17">
        <v>7000</v>
      </c>
      <c r="N635" s="16"/>
      <c r="O635" s="16"/>
    </row>
    <row r="636" spans="1:15">
      <c r="A636" s="38">
        <v>45920</v>
      </c>
      <c r="B636" s="22" t="s">
        <v>17</v>
      </c>
      <c r="C636" s="22" t="s">
        <v>18</v>
      </c>
      <c r="D636" s="23" t="s">
        <v>291</v>
      </c>
      <c r="E636" s="39">
        <v>6</v>
      </c>
      <c r="F636" s="42">
        <v>4200</v>
      </c>
      <c r="G636" s="42">
        <v>3870</v>
      </c>
      <c r="H636" s="42">
        <v>330</v>
      </c>
      <c r="I636" s="17"/>
      <c r="J636" s="17"/>
      <c r="K636" s="17">
        <v>42500</v>
      </c>
      <c r="L636" s="17"/>
      <c r="M636" s="17">
        <v>7000</v>
      </c>
      <c r="N636" s="16"/>
      <c r="O636" s="16"/>
    </row>
    <row r="637" spans="1:15">
      <c r="A637" s="38">
        <v>45921</v>
      </c>
      <c r="B637" s="22" t="s">
        <v>17</v>
      </c>
      <c r="C637" s="22" t="s">
        <v>18</v>
      </c>
      <c r="D637" s="23" t="s">
        <v>284</v>
      </c>
      <c r="E637" s="39">
        <v>6</v>
      </c>
      <c r="F637" s="42">
        <v>4670</v>
      </c>
      <c r="G637" s="42">
        <v>3830</v>
      </c>
      <c r="H637" s="42">
        <v>840</v>
      </c>
      <c r="I637" s="17"/>
      <c r="J637" s="17"/>
      <c r="K637" s="17">
        <v>9000</v>
      </c>
      <c r="L637" s="17"/>
      <c r="M637" s="17">
        <v>7000</v>
      </c>
      <c r="N637" s="16"/>
      <c r="O637" s="16"/>
    </row>
    <row r="638" spans="1:15">
      <c r="A638" s="38">
        <v>45921</v>
      </c>
      <c r="B638" s="22" t="s">
        <v>17</v>
      </c>
      <c r="C638" s="22" t="s">
        <v>18</v>
      </c>
      <c r="D638" s="23" t="s">
        <v>284</v>
      </c>
      <c r="E638" s="39">
        <v>6</v>
      </c>
      <c r="F638" s="42">
        <v>5110</v>
      </c>
      <c r="G638" s="42">
        <v>3890</v>
      </c>
      <c r="H638" s="42">
        <v>1220</v>
      </c>
      <c r="I638" s="17"/>
      <c r="J638" s="17"/>
      <c r="K638" s="17">
        <v>7000</v>
      </c>
      <c r="L638" s="17"/>
      <c r="M638" s="17">
        <v>7000</v>
      </c>
      <c r="N638" s="16"/>
      <c r="O638" s="16"/>
    </row>
    <row r="639" spans="1:15">
      <c r="A639" s="38">
        <v>45922</v>
      </c>
      <c r="B639" s="22" t="s">
        <v>17</v>
      </c>
      <c r="C639" s="22" t="s">
        <v>18</v>
      </c>
      <c r="D639" s="23" t="s">
        <v>120</v>
      </c>
      <c r="E639" s="39">
        <v>6</v>
      </c>
      <c r="F639" s="42">
        <v>4520</v>
      </c>
      <c r="G639" s="42">
        <v>3830</v>
      </c>
      <c r="H639" s="42">
        <v>690</v>
      </c>
      <c r="I639" s="17"/>
      <c r="J639" s="17"/>
      <c r="K639" s="17">
        <v>42500</v>
      </c>
      <c r="L639" s="17"/>
      <c r="M639" s="17">
        <v>7000</v>
      </c>
      <c r="N639" s="16"/>
      <c r="O639" s="16"/>
    </row>
    <row r="640" spans="1:15">
      <c r="A640" s="38">
        <v>45922</v>
      </c>
      <c r="B640" s="22" t="s">
        <v>17</v>
      </c>
      <c r="C640" s="22" t="s">
        <v>18</v>
      </c>
      <c r="D640" s="23"/>
      <c r="E640" s="39">
        <v>6</v>
      </c>
      <c r="F640" s="42">
        <v>5410</v>
      </c>
      <c r="G640" s="42">
        <v>3830</v>
      </c>
      <c r="H640" s="42">
        <v>1580</v>
      </c>
      <c r="I640" s="17"/>
      <c r="J640" s="17"/>
      <c r="K640" s="17">
        <v>42500</v>
      </c>
      <c r="L640" s="17"/>
      <c r="M640" s="17">
        <v>7000</v>
      </c>
      <c r="N640" s="16"/>
      <c r="O640" s="16"/>
    </row>
    <row r="641" spans="1:15">
      <c r="A641" s="38"/>
      <c r="B641" s="22"/>
      <c r="C641" s="22"/>
      <c r="D641" s="23"/>
      <c r="E641" s="39"/>
      <c r="F641" s="42"/>
      <c r="G641" s="42"/>
      <c r="H641" s="42"/>
      <c r="I641" s="17"/>
      <c r="J641" s="17"/>
      <c r="K641" s="17"/>
      <c r="L641" s="17"/>
      <c r="M641" s="17"/>
      <c r="N641" s="16"/>
      <c r="O641" s="16"/>
    </row>
    <row r="642" spans="1:15">
      <c r="A642" s="38">
        <v>45929</v>
      </c>
      <c r="B642" s="22"/>
      <c r="C642" s="22"/>
      <c r="D642" s="23"/>
      <c r="E642" s="39"/>
      <c r="F642" s="42"/>
      <c r="G642" s="42"/>
      <c r="H642" s="42"/>
      <c r="I642" s="17">
        <v>1000000</v>
      </c>
      <c r="J642" s="17">
        <v>0</v>
      </c>
      <c r="K642" s="17">
        <v>434500</v>
      </c>
      <c r="L642" s="17">
        <v>0</v>
      </c>
      <c r="M642" s="17">
        <v>89000</v>
      </c>
      <c r="N642" s="16" t="s">
        <v>292</v>
      </c>
      <c r="O642" s="16" t="s">
        <v>293</v>
      </c>
    </row>
    <row r="643" spans="1:15">
      <c r="A643" s="38">
        <v>45923</v>
      </c>
      <c r="B643" s="22" t="s">
        <v>17</v>
      </c>
      <c r="C643" s="22" t="s">
        <v>18</v>
      </c>
      <c r="D643" s="23" t="s">
        <v>45</v>
      </c>
      <c r="E643" s="39">
        <v>6</v>
      </c>
      <c r="F643" s="42">
        <v>4300</v>
      </c>
      <c r="G643" s="42">
        <v>3810</v>
      </c>
      <c r="H643" s="42">
        <v>490</v>
      </c>
      <c r="I643" s="17"/>
      <c r="J643" s="17"/>
      <c r="K643" s="17">
        <v>16000</v>
      </c>
      <c r="L643" s="17"/>
      <c r="M643" s="17">
        <v>7000</v>
      </c>
      <c r="N643" s="16"/>
      <c r="O643" s="16"/>
    </row>
    <row r="644" spans="1:15">
      <c r="A644" s="38">
        <v>45923</v>
      </c>
      <c r="B644" s="22" t="s">
        <v>17</v>
      </c>
      <c r="C644" s="22" t="s">
        <v>18</v>
      </c>
      <c r="D644" s="23" t="s">
        <v>294</v>
      </c>
      <c r="E644" s="39">
        <v>6</v>
      </c>
      <c r="F644" s="42">
        <v>4650</v>
      </c>
      <c r="G644" s="42">
        <v>3910</v>
      </c>
      <c r="H644" s="42">
        <v>740</v>
      </c>
      <c r="I644" s="17"/>
      <c r="J644" s="17"/>
      <c r="K644" s="17">
        <v>26500</v>
      </c>
      <c r="L644" s="17"/>
      <c r="M644" s="17">
        <v>4000</v>
      </c>
      <c r="N644" s="16"/>
      <c r="O644" s="16"/>
    </row>
    <row r="645" spans="1:15">
      <c r="A645" s="38">
        <v>45924</v>
      </c>
      <c r="B645" s="22" t="s">
        <v>17</v>
      </c>
      <c r="C645" s="22" t="s">
        <v>18</v>
      </c>
      <c r="D645" s="23" t="s">
        <v>45</v>
      </c>
      <c r="E645" s="39">
        <v>6</v>
      </c>
      <c r="F645" s="42">
        <v>5100</v>
      </c>
      <c r="G645" s="42">
        <v>3890</v>
      </c>
      <c r="H645" s="42">
        <v>1210</v>
      </c>
      <c r="I645" s="17"/>
      <c r="J645" s="17"/>
      <c r="K645" s="17">
        <v>42500</v>
      </c>
      <c r="L645" s="17"/>
      <c r="M645" s="17">
        <v>7000</v>
      </c>
      <c r="N645" s="16"/>
      <c r="O645" s="16"/>
    </row>
    <row r="646" spans="1:15">
      <c r="A646" s="38">
        <v>45924</v>
      </c>
      <c r="B646" s="22" t="s">
        <v>17</v>
      </c>
      <c r="C646" s="22" t="s">
        <v>18</v>
      </c>
      <c r="D646" s="23" t="s">
        <v>294</v>
      </c>
      <c r="E646" s="39">
        <v>6</v>
      </c>
      <c r="F646" s="42">
        <v>4900</v>
      </c>
      <c r="G646" s="42">
        <v>3900</v>
      </c>
      <c r="H646" s="42">
        <v>1000</v>
      </c>
      <c r="I646" s="17"/>
      <c r="J646" s="17"/>
      <c r="K646" s="17">
        <v>42500</v>
      </c>
      <c r="L646" s="17"/>
      <c r="M646" s="17">
        <v>7000</v>
      </c>
      <c r="N646" s="16"/>
      <c r="O646" s="16"/>
    </row>
    <row r="647" spans="1:15">
      <c r="A647" s="38">
        <v>45925</v>
      </c>
      <c r="B647" s="22" t="s">
        <v>17</v>
      </c>
      <c r="C647" s="22" t="s">
        <v>18</v>
      </c>
      <c r="D647" s="23" t="s">
        <v>197</v>
      </c>
      <c r="E647" s="39">
        <v>6</v>
      </c>
      <c r="F647" s="42">
        <v>6060</v>
      </c>
      <c r="G647" s="42">
        <v>3820</v>
      </c>
      <c r="H647" s="42">
        <v>2240</v>
      </c>
      <c r="I647" s="17"/>
      <c r="J647" s="17"/>
      <c r="K647" s="17">
        <v>26500</v>
      </c>
      <c r="L647" s="17"/>
      <c r="M647" s="17">
        <v>7000</v>
      </c>
      <c r="N647" s="16"/>
      <c r="O647" s="16"/>
    </row>
    <row r="648" spans="1:15">
      <c r="A648" s="38">
        <v>45925</v>
      </c>
      <c r="B648" s="22" t="s">
        <v>17</v>
      </c>
      <c r="C648" s="22" t="s">
        <v>18</v>
      </c>
      <c r="D648" s="23" t="s">
        <v>68</v>
      </c>
      <c r="E648" s="39">
        <v>6</v>
      </c>
      <c r="F648" s="42">
        <v>4840</v>
      </c>
      <c r="G648" s="42">
        <v>3840</v>
      </c>
      <c r="H648" s="42">
        <v>1000</v>
      </c>
      <c r="I648" s="17"/>
      <c r="J648" s="17"/>
      <c r="K648" s="17">
        <v>42500</v>
      </c>
      <c r="L648" s="17"/>
      <c r="M648" s="17">
        <v>7000</v>
      </c>
      <c r="N648" s="16"/>
      <c r="O648" s="16"/>
    </row>
    <row r="649" spans="1:15">
      <c r="A649" s="38">
        <v>45926</v>
      </c>
      <c r="B649" s="22" t="s">
        <v>17</v>
      </c>
      <c r="C649" s="22" t="s">
        <v>18</v>
      </c>
      <c r="D649" s="23" t="s">
        <v>45</v>
      </c>
      <c r="E649" s="39">
        <v>6</v>
      </c>
      <c r="F649" s="42">
        <v>4060</v>
      </c>
      <c r="G649" s="42">
        <v>3850</v>
      </c>
      <c r="H649" s="42">
        <v>210</v>
      </c>
      <c r="I649" s="17"/>
      <c r="J649" s="17"/>
      <c r="K649" s="17">
        <v>42500</v>
      </c>
      <c r="L649" s="17"/>
      <c r="M649" s="17">
        <v>7000</v>
      </c>
      <c r="N649" s="16"/>
      <c r="O649" s="16"/>
    </row>
    <row r="650" spans="1:15">
      <c r="A650" s="38">
        <v>45926</v>
      </c>
      <c r="B650" s="22" t="s">
        <v>17</v>
      </c>
      <c r="C650" s="22" t="s">
        <v>18</v>
      </c>
      <c r="D650" s="23" t="s">
        <v>68</v>
      </c>
      <c r="E650" s="39">
        <v>6</v>
      </c>
      <c r="F650" s="42">
        <v>5110</v>
      </c>
      <c r="G650" s="42">
        <v>3840</v>
      </c>
      <c r="H650" s="42">
        <v>1270</v>
      </c>
      <c r="I650" s="17"/>
      <c r="J650" s="17"/>
      <c r="K650" s="17">
        <v>39500</v>
      </c>
      <c r="L650" s="17"/>
      <c r="M650" s="17">
        <v>7000</v>
      </c>
      <c r="N650" s="16"/>
      <c r="O650" s="16"/>
    </row>
    <row r="651" spans="1:15">
      <c r="A651" s="38">
        <v>45927</v>
      </c>
      <c r="B651" s="22" t="s">
        <v>17</v>
      </c>
      <c r="C651" s="22" t="s">
        <v>18</v>
      </c>
      <c r="D651" s="23" t="s">
        <v>45</v>
      </c>
      <c r="E651" s="39">
        <v>6</v>
      </c>
      <c r="F651" s="42">
        <v>5030</v>
      </c>
      <c r="G651" s="42">
        <v>3820</v>
      </c>
      <c r="H651" s="42">
        <v>1210</v>
      </c>
      <c r="I651" s="17"/>
      <c r="J651" s="17"/>
      <c r="K651" s="17">
        <v>35500</v>
      </c>
      <c r="L651" s="17"/>
      <c r="M651" s="17">
        <v>7000</v>
      </c>
      <c r="N651" s="16"/>
      <c r="O651" s="16"/>
    </row>
    <row r="652" spans="1:15">
      <c r="A652" s="38">
        <v>45927</v>
      </c>
      <c r="B652" s="22" t="s">
        <v>17</v>
      </c>
      <c r="C652" s="22" t="s">
        <v>18</v>
      </c>
      <c r="D652" s="23" t="s">
        <v>68</v>
      </c>
      <c r="E652" s="39">
        <v>6</v>
      </c>
      <c r="F652" s="42">
        <v>5090</v>
      </c>
      <c r="G652" s="42">
        <v>3800</v>
      </c>
      <c r="H652" s="42">
        <v>1290</v>
      </c>
      <c r="I652" s="17"/>
      <c r="J652" s="17"/>
      <c r="K652" s="17">
        <v>35500</v>
      </c>
      <c r="L652" s="17"/>
      <c r="M652" s="17">
        <v>7000</v>
      </c>
      <c r="N652" s="16"/>
      <c r="O652" s="16"/>
    </row>
    <row r="653" spans="1:15">
      <c r="A653" s="38">
        <v>45928</v>
      </c>
      <c r="B653" s="22" t="s">
        <v>17</v>
      </c>
      <c r="C653" s="22" t="s">
        <v>18</v>
      </c>
      <c r="D653" s="23" t="s">
        <v>284</v>
      </c>
      <c r="E653" s="39">
        <v>6</v>
      </c>
      <c r="F653" s="42">
        <v>4540</v>
      </c>
      <c r="G653" s="42">
        <v>3880</v>
      </c>
      <c r="H653" s="42">
        <v>660</v>
      </c>
      <c r="I653" s="17"/>
      <c r="J653" s="17"/>
      <c r="K653" s="17">
        <v>16000</v>
      </c>
      <c r="L653" s="17"/>
      <c r="M653" s="17">
        <v>8000</v>
      </c>
      <c r="N653" s="16"/>
      <c r="O653" s="16"/>
    </row>
    <row r="654" spans="1:15">
      <c r="A654" s="38">
        <v>45929</v>
      </c>
      <c r="B654" s="22" t="s">
        <v>17</v>
      </c>
      <c r="C654" s="22" t="s">
        <v>18</v>
      </c>
      <c r="D654" s="23" t="s">
        <v>45</v>
      </c>
      <c r="E654" s="39">
        <v>6</v>
      </c>
      <c r="F654" s="42">
        <v>4710</v>
      </c>
      <c r="G654" s="42">
        <v>3860</v>
      </c>
      <c r="H654" s="42">
        <v>850</v>
      </c>
      <c r="I654" s="17"/>
      <c r="J654" s="17"/>
      <c r="K654" s="17">
        <v>35500</v>
      </c>
      <c r="L654" s="17"/>
      <c r="M654" s="17">
        <v>7000</v>
      </c>
      <c r="N654" s="16"/>
      <c r="O654" s="16"/>
    </row>
    <row r="655" spans="1:15">
      <c r="A655" s="38">
        <v>45929</v>
      </c>
      <c r="B655" s="22" t="s">
        <v>17</v>
      </c>
      <c r="C655" s="22" t="s">
        <v>18</v>
      </c>
      <c r="D655" s="23" t="s">
        <v>68</v>
      </c>
      <c r="E655" s="39">
        <v>6</v>
      </c>
      <c r="F655" s="42">
        <v>4700</v>
      </c>
      <c r="G655" s="42">
        <v>3780</v>
      </c>
      <c r="H655" s="42">
        <v>920</v>
      </c>
      <c r="I655" s="17"/>
      <c r="J655" s="17"/>
      <c r="K655" s="17">
        <v>33500</v>
      </c>
      <c r="L655" s="17"/>
      <c r="M655" s="17">
        <v>7000</v>
      </c>
      <c r="N655" s="16"/>
      <c r="O655" s="16"/>
    </row>
    <row r="656" spans="1:15">
      <c r="A656" s="38"/>
      <c r="B656" s="22"/>
      <c r="C656" s="22"/>
      <c r="D656" s="23"/>
      <c r="E656" s="39"/>
      <c r="F656" s="42"/>
      <c r="G656" s="42"/>
      <c r="H656" s="42"/>
      <c r="I656" s="17"/>
      <c r="J656" s="17"/>
      <c r="K656" s="17"/>
      <c r="L656" s="17"/>
      <c r="M656" s="17"/>
      <c r="N656" s="16"/>
      <c r="O656" s="16"/>
    </row>
    <row r="657" spans="1:15">
      <c r="A657" s="38">
        <v>45936</v>
      </c>
      <c r="B657" s="22"/>
      <c r="C657" s="22"/>
      <c r="D657" s="23"/>
      <c r="E657" s="39"/>
      <c r="F657" s="42"/>
      <c r="G657" s="42"/>
      <c r="H657" s="42"/>
      <c r="I657" s="17">
        <v>1000000</v>
      </c>
      <c r="J657" s="17">
        <v>0</v>
      </c>
      <c r="K657" s="17">
        <v>445500</v>
      </c>
      <c r="L657" s="17">
        <v>0</v>
      </c>
      <c r="M657" s="17">
        <v>89000</v>
      </c>
      <c r="N657" s="16" t="s">
        <v>295</v>
      </c>
      <c r="O657" s="16" t="s">
        <v>296</v>
      </c>
    </row>
    <row r="658" spans="1:15">
      <c r="A658" s="38">
        <v>45930</v>
      </c>
      <c r="B658" s="22" t="s">
        <v>17</v>
      </c>
      <c r="C658" s="22" t="s">
        <v>18</v>
      </c>
      <c r="D658" s="23" t="s">
        <v>68</v>
      </c>
      <c r="E658" s="39">
        <v>6</v>
      </c>
      <c r="F658" s="42">
        <v>4690</v>
      </c>
      <c r="G658" s="42">
        <v>3890</v>
      </c>
      <c r="H658" s="42">
        <v>800</v>
      </c>
      <c r="I658" s="17"/>
      <c r="J658" s="17"/>
      <c r="K658" s="17">
        <v>26500</v>
      </c>
      <c r="L658" s="17"/>
      <c r="M658" s="17">
        <v>7000</v>
      </c>
      <c r="N658" s="16"/>
      <c r="O658" s="16"/>
    </row>
    <row r="659" spans="1:15">
      <c r="A659" s="38">
        <v>45930</v>
      </c>
      <c r="B659" s="22" t="s">
        <v>17</v>
      </c>
      <c r="C659" s="22" t="s">
        <v>18</v>
      </c>
      <c r="D659" s="23" t="s">
        <v>288</v>
      </c>
      <c r="E659" s="39">
        <v>6</v>
      </c>
      <c r="F659" s="42">
        <v>4840</v>
      </c>
      <c r="G659" s="42">
        <v>3810</v>
      </c>
      <c r="H659" s="42">
        <v>1030</v>
      </c>
      <c r="I659" s="17"/>
      <c r="J659" s="17"/>
      <c r="K659" s="17">
        <v>16000</v>
      </c>
      <c r="L659" s="17"/>
      <c r="M659" s="17">
        <v>7000</v>
      </c>
      <c r="N659" s="16"/>
      <c r="O659" s="16"/>
    </row>
    <row r="660" spans="1:15">
      <c r="A660" s="38">
        <v>45931</v>
      </c>
      <c r="B660" s="22" t="s">
        <v>17</v>
      </c>
      <c r="C660" s="22" t="s">
        <v>18</v>
      </c>
      <c r="D660" s="23" t="s">
        <v>68</v>
      </c>
      <c r="E660" s="39">
        <v>6</v>
      </c>
      <c r="F660" s="42">
        <v>4690</v>
      </c>
      <c r="G660" s="42">
        <v>3890</v>
      </c>
      <c r="H660" s="42">
        <v>800</v>
      </c>
      <c r="I660" s="17"/>
      <c r="J660" s="17"/>
      <c r="K660" s="17">
        <v>42500</v>
      </c>
      <c r="L660" s="17"/>
      <c r="M660" s="17">
        <v>7000</v>
      </c>
      <c r="N660" s="16"/>
      <c r="O660" s="16"/>
    </row>
    <row r="661" spans="1:15">
      <c r="A661" s="38">
        <v>45931</v>
      </c>
      <c r="B661" s="22" t="s">
        <v>17</v>
      </c>
      <c r="C661" s="22" t="s">
        <v>18</v>
      </c>
      <c r="D661" s="23" t="s">
        <v>45</v>
      </c>
      <c r="E661" s="39">
        <v>6</v>
      </c>
      <c r="F661" s="42">
        <v>4950</v>
      </c>
      <c r="G661" s="42">
        <v>3880</v>
      </c>
      <c r="H661" s="42">
        <v>1070</v>
      </c>
      <c r="I661" s="17"/>
      <c r="J661" s="17"/>
      <c r="K661" s="17">
        <v>42500</v>
      </c>
      <c r="L661" s="17"/>
      <c r="M661" s="17">
        <v>7000</v>
      </c>
      <c r="N661" s="16"/>
      <c r="O661" s="16"/>
    </row>
    <row r="662" spans="1:15">
      <c r="A662" s="38">
        <v>45932</v>
      </c>
      <c r="B662" s="22" t="s">
        <v>17</v>
      </c>
      <c r="C662" s="22" t="s">
        <v>18</v>
      </c>
      <c r="D662" s="23" t="s">
        <v>197</v>
      </c>
      <c r="E662" s="39">
        <v>6</v>
      </c>
      <c r="F662" s="42">
        <v>4730</v>
      </c>
      <c r="G662" s="42">
        <v>3800</v>
      </c>
      <c r="H662" s="42">
        <v>930</v>
      </c>
      <c r="I662" s="17"/>
      <c r="J662" s="17"/>
      <c r="K662" s="17">
        <v>35500</v>
      </c>
      <c r="L662" s="17"/>
      <c r="M662" s="17">
        <v>7000</v>
      </c>
      <c r="N662" s="16"/>
      <c r="O662" s="16"/>
    </row>
    <row r="663" spans="1:15">
      <c r="A663" s="38">
        <v>45932</v>
      </c>
      <c r="B663" s="22" t="s">
        <v>17</v>
      </c>
      <c r="C663" s="22" t="s">
        <v>18</v>
      </c>
      <c r="D663" s="23" t="s">
        <v>68</v>
      </c>
      <c r="E663" s="39">
        <v>6</v>
      </c>
      <c r="F663" s="42">
        <v>5200</v>
      </c>
      <c r="G663" s="42">
        <v>3790</v>
      </c>
      <c r="H663" s="42">
        <v>1410</v>
      </c>
      <c r="I663" s="17"/>
      <c r="J663" s="17"/>
      <c r="K663" s="17">
        <v>33500</v>
      </c>
      <c r="L663" s="17"/>
      <c r="M663" s="17">
        <v>7000</v>
      </c>
      <c r="N663" s="16"/>
      <c r="O663" s="16"/>
    </row>
    <row r="664" spans="1:15">
      <c r="A664" s="38">
        <v>45933</v>
      </c>
      <c r="B664" s="22" t="s">
        <v>17</v>
      </c>
      <c r="C664" s="22" t="s">
        <v>18</v>
      </c>
      <c r="D664" s="23" t="s">
        <v>45</v>
      </c>
      <c r="E664" s="39">
        <v>6</v>
      </c>
      <c r="F664" s="42">
        <v>5210</v>
      </c>
      <c r="G664" s="42">
        <v>3920</v>
      </c>
      <c r="H664" s="42">
        <v>1290</v>
      </c>
      <c r="I664" s="17"/>
      <c r="J664" s="17"/>
      <c r="K664" s="17">
        <v>42500</v>
      </c>
      <c r="L664" s="17"/>
      <c r="M664" s="17">
        <v>7000</v>
      </c>
      <c r="N664" s="16"/>
      <c r="O664" s="16"/>
    </row>
    <row r="665" spans="1:15">
      <c r="A665" s="38">
        <v>45933</v>
      </c>
      <c r="B665" s="22" t="s">
        <v>17</v>
      </c>
      <c r="C665" s="22" t="s">
        <v>18</v>
      </c>
      <c r="D665" s="23" t="s">
        <v>68</v>
      </c>
      <c r="E665" s="39">
        <v>6</v>
      </c>
      <c r="F665" s="42">
        <v>4760</v>
      </c>
      <c r="G665" s="42">
        <v>3880</v>
      </c>
      <c r="H665" s="42">
        <v>880</v>
      </c>
      <c r="I665" s="17"/>
      <c r="J665" s="17"/>
      <c r="K665" s="17">
        <v>39500</v>
      </c>
      <c r="L665" s="17"/>
      <c r="M665" s="17">
        <v>7000</v>
      </c>
      <c r="N665" s="16"/>
      <c r="O665" s="16"/>
    </row>
    <row r="666" spans="1:15">
      <c r="A666" s="38">
        <v>45934</v>
      </c>
      <c r="B666" s="22" t="s">
        <v>17</v>
      </c>
      <c r="C666" s="22" t="s">
        <v>18</v>
      </c>
      <c r="D666" s="23" t="s">
        <v>45</v>
      </c>
      <c r="E666" s="39">
        <v>6</v>
      </c>
      <c r="F666" s="42">
        <v>4690</v>
      </c>
      <c r="G666" s="42">
        <v>3900</v>
      </c>
      <c r="H666" s="42">
        <v>790</v>
      </c>
      <c r="I666" s="17"/>
      <c r="J666" s="17"/>
      <c r="K666" s="17">
        <v>42500</v>
      </c>
      <c r="L666" s="17"/>
      <c r="M666" s="17">
        <v>7000</v>
      </c>
      <c r="N666" s="16"/>
      <c r="O666" s="16"/>
    </row>
    <row r="667" spans="1:15">
      <c r="A667" s="38">
        <v>45934</v>
      </c>
      <c r="B667" s="22" t="s">
        <v>17</v>
      </c>
      <c r="C667" s="22" t="s">
        <v>18</v>
      </c>
      <c r="D667" s="23" t="s">
        <v>68</v>
      </c>
      <c r="E667" s="39">
        <v>6</v>
      </c>
      <c r="F667" s="42">
        <v>5070</v>
      </c>
      <c r="G667" s="42">
        <v>3910</v>
      </c>
      <c r="H667" s="42">
        <v>1160</v>
      </c>
      <c r="I667" s="17"/>
      <c r="J667" s="17"/>
      <c r="K667" s="17">
        <v>42500</v>
      </c>
      <c r="L667" s="17"/>
      <c r="M667" s="17">
        <v>4000</v>
      </c>
      <c r="N667" s="16"/>
      <c r="O667" s="16"/>
    </row>
    <row r="668" spans="1:15">
      <c r="A668" s="38">
        <v>45935</v>
      </c>
      <c r="B668" s="22" t="s">
        <v>17</v>
      </c>
      <c r="C668" s="22" t="s">
        <v>18</v>
      </c>
      <c r="D668" s="23" t="s">
        <v>297</v>
      </c>
      <c r="E668" s="39">
        <v>6</v>
      </c>
      <c r="F668" s="42">
        <v>4360</v>
      </c>
      <c r="G668" s="42">
        <v>3790</v>
      </c>
      <c r="H668" s="42">
        <v>570</v>
      </c>
      <c r="I668" s="17"/>
      <c r="J668" s="17"/>
      <c r="K668" s="17">
        <v>16000</v>
      </c>
      <c r="L668" s="17"/>
      <c r="M668" s="17">
        <v>11000</v>
      </c>
      <c r="N668" s="16"/>
      <c r="O668" s="16"/>
    </row>
    <row r="669" spans="1:15">
      <c r="A669" s="38">
        <v>45936</v>
      </c>
      <c r="B669" s="22" t="s">
        <v>17</v>
      </c>
      <c r="C669" s="22" t="s">
        <v>18</v>
      </c>
      <c r="D669" s="23" t="s">
        <v>283</v>
      </c>
      <c r="E669" s="39">
        <v>6</v>
      </c>
      <c r="F669" s="42">
        <v>4430</v>
      </c>
      <c r="G669" s="42">
        <v>3780</v>
      </c>
      <c r="H669" s="42">
        <v>650</v>
      </c>
      <c r="I669" s="17"/>
      <c r="J669" s="17"/>
      <c r="K669" s="17">
        <v>33500</v>
      </c>
      <c r="L669" s="17"/>
      <c r="M669" s="17">
        <v>7000</v>
      </c>
      <c r="N669" s="16"/>
      <c r="O669" s="16"/>
    </row>
    <row r="670" spans="1:15">
      <c r="A670" s="38">
        <v>45936</v>
      </c>
      <c r="B670" s="22" t="s">
        <v>17</v>
      </c>
      <c r="C670" s="22" t="s">
        <v>18</v>
      </c>
      <c r="D670" s="23" t="s">
        <v>68</v>
      </c>
      <c r="E670" s="39">
        <v>6</v>
      </c>
      <c r="F670" s="42">
        <v>4290</v>
      </c>
      <c r="G670" s="42">
        <v>3870</v>
      </c>
      <c r="H670" s="42">
        <v>420</v>
      </c>
      <c r="I670" s="17"/>
      <c r="J670" s="17"/>
      <c r="K670" s="17">
        <v>32500</v>
      </c>
      <c r="L670" s="17"/>
      <c r="M670" s="17">
        <v>4000</v>
      </c>
      <c r="N670" s="16"/>
      <c r="O670" s="16"/>
    </row>
    <row r="671" spans="1:15">
      <c r="A671" s="38"/>
      <c r="B671" s="22"/>
      <c r="C671" s="22"/>
      <c r="D671" s="23"/>
      <c r="E671" s="39"/>
      <c r="F671" s="42"/>
      <c r="G671" s="42"/>
      <c r="H671" s="42"/>
      <c r="I671" s="17"/>
      <c r="J671" s="17"/>
      <c r="K671" s="17"/>
      <c r="L671" s="17"/>
      <c r="M671" s="17"/>
      <c r="N671" s="16"/>
      <c r="O671" s="16"/>
    </row>
    <row r="672" spans="1:15">
      <c r="A672" s="38">
        <v>45942</v>
      </c>
      <c r="B672" s="22"/>
      <c r="C672" s="22"/>
      <c r="D672" s="23"/>
      <c r="E672" s="39"/>
      <c r="F672" s="42"/>
      <c r="G672" s="42"/>
      <c r="H672" s="42"/>
      <c r="I672" s="17">
        <v>1000000</v>
      </c>
      <c r="J672" s="17">
        <v>0</v>
      </c>
      <c r="K672" s="17">
        <v>382500</v>
      </c>
      <c r="L672" s="17">
        <v>0</v>
      </c>
      <c r="M672" s="17">
        <v>81000</v>
      </c>
      <c r="N672" s="16" t="s">
        <v>298</v>
      </c>
      <c r="O672" s="16" t="s">
        <v>299</v>
      </c>
    </row>
    <row r="673" spans="1:15">
      <c r="A673" s="38">
        <v>45937</v>
      </c>
      <c r="B673" s="22" t="s">
        <v>17</v>
      </c>
      <c r="C673" s="22" t="s">
        <v>18</v>
      </c>
      <c r="D673" s="23" t="s">
        <v>45</v>
      </c>
      <c r="E673" s="43">
        <v>6</v>
      </c>
      <c r="F673" s="42">
        <v>4810</v>
      </c>
      <c r="G673" s="42">
        <v>3920</v>
      </c>
      <c r="H673" s="42">
        <v>890</v>
      </c>
      <c r="I673" s="17"/>
      <c r="J673" s="17"/>
      <c r="K673" s="17">
        <v>26500</v>
      </c>
      <c r="L673" s="17"/>
      <c r="M673" s="17">
        <v>7000</v>
      </c>
      <c r="N673" s="16"/>
      <c r="O673" s="16"/>
    </row>
    <row r="674" spans="1:15">
      <c r="A674" s="38">
        <v>45937</v>
      </c>
      <c r="B674" s="22" t="s">
        <v>17</v>
      </c>
      <c r="C674" s="22" t="s">
        <v>18</v>
      </c>
      <c r="D674" s="23" t="s">
        <v>288</v>
      </c>
      <c r="E674" s="43">
        <v>6</v>
      </c>
      <c r="F674" s="42">
        <v>4320</v>
      </c>
      <c r="G674" s="42">
        <v>3820</v>
      </c>
      <c r="H674" s="42">
        <v>500</v>
      </c>
      <c r="I674" s="17"/>
      <c r="J674" s="17"/>
      <c r="K674" s="17">
        <v>16000</v>
      </c>
      <c r="L674" s="17"/>
      <c r="M674" s="17">
        <v>7000</v>
      </c>
      <c r="N674" s="16"/>
      <c r="O674" s="16"/>
    </row>
    <row r="675" spans="1:15">
      <c r="A675" s="38">
        <v>45938</v>
      </c>
      <c r="B675" s="22" t="s">
        <v>17</v>
      </c>
      <c r="C675" s="22" t="s">
        <v>18</v>
      </c>
      <c r="D675" s="23" t="s">
        <v>197</v>
      </c>
      <c r="E675" s="43">
        <v>6</v>
      </c>
      <c r="F675" s="42">
        <v>5240</v>
      </c>
      <c r="G675" s="42">
        <v>3910</v>
      </c>
      <c r="H675" s="42">
        <v>1330</v>
      </c>
      <c r="I675" s="17"/>
      <c r="J675" s="17"/>
      <c r="K675" s="17">
        <v>42500</v>
      </c>
      <c r="L675" s="17"/>
      <c r="M675" s="17">
        <v>4000</v>
      </c>
      <c r="N675" s="16"/>
      <c r="O675" s="16"/>
    </row>
    <row r="676" spans="1:15">
      <c r="A676" s="38">
        <v>45938</v>
      </c>
      <c r="B676" s="22" t="s">
        <v>17</v>
      </c>
      <c r="C676" s="22" t="s">
        <v>18</v>
      </c>
      <c r="D676" s="23" t="s">
        <v>68</v>
      </c>
      <c r="E676" s="43">
        <v>6</v>
      </c>
      <c r="F676" s="42">
        <v>4850</v>
      </c>
      <c r="G676" s="42">
        <v>3900</v>
      </c>
      <c r="H676" s="42">
        <v>950</v>
      </c>
      <c r="I676" s="17"/>
      <c r="J676" s="17"/>
      <c r="K676" s="17">
        <v>42500</v>
      </c>
      <c r="L676" s="17"/>
      <c r="M676" s="17">
        <v>7000</v>
      </c>
      <c r="N676" s="16"/>
      <c r="O676" s="16"/>
    </row>
    <row r="677" spans="1:15">
      <c r="A677" s="38">
        <v>45939</v>
      </c>
      <c r="B677" s="22" t="s">
        <v>17</v>
      </c>
      <c r="C677" s="22" t="s">
        <v>18</v>
      </c>
      <c r="D677" s="23" t="s">
        <v>45</v>
      </c>
      <c r="E677" s="43">
        <v>6</v>
      </c>
      <c r="F677" s="42">
        <v>4800</v>
      </c>
      <c r="G677" s="42">
        <v>3900</v>
      </c>
      <c r="H677" s="42">
        <v>900</v>
      </c>
      <c r="I677" s="17"/>
      <c r="J677" s="17"/>
      <c r="K677" s="17">
        <v>42500</v>
      </c>
      <c r="L677" s="17"/>
      <c r="M677" s="17">
        <v>7000</v>
      </c>
      <c r="N677" s="16"/>
      <c r="O677" s="16"/>
    </row>
    <row r="678" spans="1:15">
      <c r="A678" s="38">
        <v>45939</v>
      </c>
      <c r="B678" s="22" t="s">
        <v>17</v>
      </c>
      <c r="C678" s="22" t="s">
        <v>18</v>
      </c>
      <c r="D678" s="23" t="s">
        <v>68</v>
      </c>
      <c r="E678" s="43">
        <v>6</v>
      </c>
      <c r="F678" s="42">
        <v>4620</v>
      </c>
      <c r="G678" s="42">
        <v>3810</v>
      </c>
      <c r="H678" s="42">
        <v>810</v>
      </c>
      <c r="I678" s="17"/>
      <c r="J678" s="17"/>
      <c r="K678" s="17">
        <v>42500</v>
      </c>
      <c r="L678" s="17"/>
      <c r="M678" s="17">
        <v>7000</v>
      </c>
      <c r="N678" s="16"/>
      <c r="O678" s="16"/>
    </row>
    <row r="679" spans="1:15">
      <c r="A679" s="38">
        <v>45940</v>
      </c>
      <c r="B679" s="22" t="s">
        <v>17</v>
      </c>
      <c r="C679" s="22" t="s">
        <v>18</v>
      </c>
      <c r="D679" s="23" t="s">
        <v>45</v>
      </c>
      <c r="E679" s="43">
        <v>6</v>
      </c>
      <c r="F679" s="42">
        <v>5150</v>
      </c>
      <c r="G679" s="42">
        <v>3790</v>
      </c>
      <c r="H679" s="42">
        <v>1360</v>
      </c>
      <c r="I679" s="17"/>
      <c r="J679" s="17"/>
      <c r="K679" s="17">
        <v>42500</v>
      </c>
      <c r="L679" s="17"/>
      <c r="M679" s="17">
        <v>7000</v>
      </c>
      <c r="N679" s="16"/>
      <c r="O679" s="16"/>
    </row>
    <row r="680" spans="1:15">
      <c r="A680" s="38">
        <v>45940</v>
      </c>
      <c r="B680" s="22" t="s">
        <v>17</v>
      </c>
      <c r="C680" s="22" t="s">
        <v>18</v>
      </c>
      <c r="D680" s="23" t="s">
        <v>68</v>
      </c>
      <c r="E680" s="43">
        <v>6</v>
      </c>
      <c r="F680" s="42">
        <v>5170</v>
      </c>
      <c r="G680" s="42">
        <v>3800</v>
      </c>
      <c r="H680" s="42">
        <v>1370</v>
      </c>
      <c r="I680" s="17"/>
      <c r="J680" s="17"/>
      <c r="K680" s="17">
        <v>42500</v>
      </c>
      <c r="L680" s="17"/>
      <c r="M680" s="17">
        <v>7000</v>
      </c>
      <c r="N680" s="16"/>
      <c r="O680" s="16"/>
    </row>
    <row r="681" spans="1:15">
      <c r="A681" s="38">
        <v>45941</v>
      </c>
      <c r="B681" s="22" t="s">
        <v>17</v>
      </c>
      <c r="C681" s="22" t="s">
        <v>18</v>
      </c>
      <c r="D681" s="23" t="s">
        <v>45</v>
      </c>
      <c r="E681" s="43">
        <v>6</v>
      </c>
      <c r="F681" s="42">
        <v>5120</v>
      </c>
      <c r="G681" s="42">
        <v>3860</v>
      </c>
      <c r="H681" s="42">
        <v>1260</v>
      </c>
      <c r="I681" s="17"/>
      <c r="J681" s="17"/>
      <c r="K681" s="17">
        <v>42500</v>
      </c>
      <c r="L681" s="17"/>
      <c r="M681" s="17">
        <v>7000</v>
      </c>
      <c r="N681" s="16"/>
      <c r="O681" s="16"/>
    </row>
    <row r="682" spans="1:15">
      <c r="A682" s="38">
        <v>45941</v>
      </c>
      <c r="B682" s="22" t="s">
        <v>17</v>
      </c>
      <c r="C682" s="22" t="s">
        <v>18</v>
      </c>
      <c r="D682" s="23" t="s">
        <v>68</v>
      </c>
      <c r="E682" s="43">
        <v>6</v>
      </c>
      <c r="F682" s="42">
        <v>4960</v>
      </c>
      <c r="G682" s="42">
        <v>3910</v>
      </c>
      <c r="H682" s="42">
        <v>1050</v>
      </c>
      <c r="I682" s="17"/>
      <c r="J682" s="17"/>
      <c r="K682" s="17">
        <v>26500</v>
      </c>
      <c r="L682" s="17"/>
      <c r="M682" s="17">
        <v>7000</v>
      </c>
      <c r="N682" s="16"/>
      <c r="O682" s="16"/>
    </row>
    <row r="683" spans="1:15">
      <c r="A683" s="38">
        <v>45942</v>
      </c>
      <c r="B683" s="22" t="s">
        <v>17</v>
      </c>
      <c r="C683" s="22" t="s">
        <v>18</v>
      </c>
      <c r="D683" s="23" t="s">
        <v>284</v>
      </c>
      <c r="E683" s="43"/>
      <c r="F683" s="42">
        <v>0</v>
      </c>
      <c r="G683" s="42">
        <v>0</v>
      </c>
      <c r="H683" s="42">
        <v>0</v>
      </c>
      <c r="I683" s="17"/>
      <c r="J683" s="17"/>
      <c r="K683" s="17">
        <v>0</v>
      </c>
      <c r="L683" s="17"/>
      <c r="M683" s="17"/>
      <c r="N683" s="16"/>
      <c r="O683" s="16"/>
    </row>
    <row r="684" spans="1:15">
      <c r="A684" s="38">
        <v>45942</v>
      </c>
      <c r="B684" s="22" t="s">
        <v>17</v>
      </c>
      <c r="C684" s="22" t="s">
        <v>18</v>
      </c>
      <c r="D684" s="23" t="s">
        <v>288</v>
      </c>
      <c r="E684" s="43">
        <v>6</v>
      </c>
      <c r="F684" s="42">
        <v>4180</v>
      </c>
      <c r="G684" s="42">
        <v>3860</v>
      </c>
      <c r="H684" s="42">
        <v>320</v>
      </c>
      <c r="I684" s="17"/>
      <c r="J684" s="17"/>
      <c r="K684" s="17">
        <v>16000</v>
      </c>
      <c r="L684" s="17"/>
      <c r="M684" s="17">
        <v>14000</v>
      </c>
      <c r="N684" s="16"/>
      <c r="O684" s="16"/>
    </row>
    <row r="685" spans="1:15">
      <c r="A685" s="38"/>
      <c r="B685" s="22"/>
      <c r="C685" s="22"/>
      <c r="D685" s="23"/>
      <c r="E685" s="43"/>
      <c r="F685" s="42"/>
      <c r="G685" s="42"/>
      <c r="H685" s="42"/>
      <c r="I685" s="17"/>
      <c r="J685" s="17"/>
      <c r="K685" s="17"/>
      <c r="L685" s="17"/>
      <c r="M685" s="17"/>
      <c r="N685" s="16"/>
      <c r="O685" s="16"/>
    </row>
    <row r="686" spans="1:15">
      <c r="A686" s="38">
        <v>45951</v>
      </c>
      <c r="B686" s="22"/>
      <c r="C686" s="22"/>
      <c r="D686" s="23"/>
      <c r="E686" s="43"/>
      <c r="F686" s="42"/>
      <c r="G686" s="42"/>
      <c r="H686" s="42"/>
      <c r="I686" s="17">
        <v>1000000</v>
      </c>
      <c r="J686" s="17">
        <v>0</v>
      </c>
      <c r="K686" s="17">
        <v>572000</v>
      </c>
      <c r="L686" s="17">
        <v>115000</v>
      </c>
      <c r="M686" s="17">
        <v>99000</v>
      </c>
      <c r="N686" s="16" t="s">
        <v>300</v>
      </c>
      <c r="O686" s="16" t="s">
        <v>301</v>
      </c>
    </row>
    <row r="687" spans="1:15">
      <c r="A687" s="38">
        <v>45943</v>
      </c>
      <c r="B687" s="22" t="s">
        <v>17</v>
      </c>
      <c r="C687" s="22" t="s">
        <v>18</v>
      </c>
      <c r="D687" s="23" t="s">
        <v>283</v>
      </c>
      <c r="E687" s="43">
        <v>6</v>
      </c>
      <c r="F687" s="42">
        <v>4400</v>
      </c>
      <c r="G687" s="42">
        <v>3950</v>
      </c>
      <c r="H687" s="42">
        <v>450</v>
      </c>
      <c r="I687" s="17"/>
      <c r="J687" s="17"/>
      <c r="K687" s="17">
        <v>42500</v>
      </c>
      <c r="L687" s="17"/>
      <c r="M687" s="17">
        <v>7000</v>
      </c>
      <c r="N687" s="16"/>
      <c r="O687" s="16"/>
    </row>
    <row r="688" spans="1:15">
      <c r="A688" s="38">
        <v>45943</v>
      </c>
      <c r="B688" s="22" t="s">
        <v>17</v>
      </c>
      <c r="C688" s="22" t="s">
        <v>18</v>
      </c>
      <c r="D688" s="23" t="s">
        <v>68</v>
      </c>
      <c r="E688" s="43">
        <v>6</v>
      </c>
      <c r="F688" s="42">
        <v>4940</v>
      </c>
      <c r="G688" s="42">
        <v>3840</v>
      </c>
      <c r="H688" s="42">
        <v>1100</v>
      </c>
      <c r="I688" s="17"/>
      <c r="J688" s="17"/>
      <c r="K688" s="17">
        <v>42500</v>
      </c>
      <c r="L688" s="17"/>
      <c r="M688" s="17">
        <v>7000</v>
      </c>
      <c r="N688" s="16"/>
      <c r="O688" s="16"/>
    </row>
    <row r="689" spans="1:15">
      <c r="A689" s="38">
        <v>45944</v>
      </c>
      <c r="B689" s="22" t="s">
        <v>17</v>
      </c>
      <c r="C689" s="22" t="s">
        <v>18</v>
      </c>
      <c r="D689" s="23" t="s">
        <v>197</v>
      </c>
      <c r="E689" s="43">
        <v>6</v>
      </c>
      <c r="F689" s="42">
        <v>4980</v>
      </c>
      <c r="G689" s="42">
        <v>3940</v>
      </c>
      <c r="H689" s="42">
        <v>1040</v>
      </c>
      <c r="I689" s="17"/>
      <c r="J689" s="17"/>
      <c r="K689" s="17">
        <v>42500</v>
      </c>
      <c r="L689" s="17"/>
      <c r="M689" s="17">
        <v>7000</v>
      </c>
      <c r="N689" s="16"/>
      <c r="O689" s="16"/>
    </row>
    <row r="690" spans="1:15">
      <c r="A690" s="38">
        <v>45944</v>
      </c>
      <c r="B690" s="22" t="s">
        <v>17</v>
      </c>
      <c r="C690" s="22" t="s">
        <v>18</v>
      </c>
      <c r="D690" s="23" t="s">
        <v>68</v>
      </c>
      <c r="E690" s="43">
        <v>6</v>
      </c>
      <c r="F690" s="42">
        <v>5300</v>
      </c>
      <c r="G690" s="42">
        <v>3800</v>
      </c>
      <c r="H690" s="42">
        <v>1500</v>
      </c>
      <c r="I690" s="17"/>
      <c r="J690" s="17"/>
      <c r="K690" s="17">
        <v>35500</v>
      </c>
      <c r="L690" s="17"/>
      <c r="M690" s="17">
        <v>7000</v>
      </c>
      <c r="N690" s="16"/>
      <c r="O690" s="16"/>
    </row>
    <row r="691" spans="1:15">
      <c r="A691" s="38">
        <v>45945</v>
      </c>
      <c r="B691" s="22" t="s">
        <v>17</v>
      </c>
      <c r="C691" s="22" t="s">
        <v>18</v>
      </c>
      <c r="D691" s="23" t="s">
        <v>68</v>
      </c>
      <c r="E691" s="43">
        <v>6</v>
      </c>
      <c r="F691" s="42">
        <v>4810</v>
      </c>
      <c r="G691" s="42">
        <v>3840</v>
      </c>
      <c r="H691" s="42">
        <v>970</v>
      </c>
      <c r="I691" s="17"/>
      <c r="J691" s="17"/>
      <c r="K691" s="17">
        <v>26500</v>
      </c>
      <c r="L691" s="17">
        <v>115000</v>
      </c>
      <c r="M691" s="17">
        <v>7000</v>
      </c>
      <c r="N691" s="16"/>
      <c r="O691" s="16"/>
    </row>
    <row r="692" spans="1:15">
      <c r="A692" s="38">
        <v>45945</v>
      </c>
      <c r="B692" s="22" t="s">
        <v>17</v>
      </c>
      <c r="C692" s="22" t="s">
        <v>18</v>
      </c>
      <c r="D692" s="23" t="s">
        <v>45</v>
      </c>
      <c r="E692" s="43">
        <v>6</v>
      </c>
      <c r="F692" s="42">
        <v>4940</v>
      </c>
      <c r="G692" s="42">
        <v>3800</v>
      </c>
      <c r="H692" s="42">
        <v>1140</v>
      </c>
      <c r="I692" s="17"/>
      <c r="J692" s="17"/>
      <c r="K692" s="17">
        <v>42500</v>
      </c>
      <c r="L692" s="17"/>
      <c r="M692" s="17">
        <v>7000</v>
      </c>
      <c r="N692" s="16"/>
      <c r="O692" s="16"/>
    </row>
    <row r="693" spans="1:15">
      <c r="A693" s="38">
        <v>45947</v>
      </c>
      <c r="B693" s="22" t="s">
        <v>17</v>
      </c>
      <c r="C693" s="22" t="s">
        <v>18</v>
      </c>
      <c r="D693" s="23" t="s">
        <v>45</v>
      </c>
      <c r="E693" s="43">
        <v>6</v>
      </c>
      <c r="F693" s="42">
        <v>4380</v>
      </c>
      <c r="G693" s="42">
        <v>3830</v>
      </c>
      <c r="H693" s="42">
        <v>550</v>
      </c>
      <c r="I693" s="17"/>
      <c r="J693" s="17"/>
      <c r="K693" s="17">
        <v>42500</v>
      </c>
      <c r="L693" s="17"/>
      <c r="M693" s="17">
        <v>7000</v>
      </c>
      <c r="N693" s="16"/>
      <c r="O693" s="16"/>
    </row>
    <row r="694" spans="1:15">
      <c r="A694" s="38">
        <v>45947</v>
      </c>
      <c r="B694" s="22" t="s">
        <v>17</v>
      </c>
      <c r="C694" s="22" t="s">
        <v>18</v>
      </c>
      <c r="D694" s="23" t="s">
        <v>68</v>
      </c>
      <c r="E694" s="43">
        <v>6</v>
      </c>
      <c r="F694" s="42">
        <v>5870</v>
      </c>
      <c r="G694" s="42">
        <v>3830</v>
      </c>
      <c r="H694" s="42">
        <v>2040</v>
      </c>
      <c r="I694" s="17"/>
      <c r="J694" s="17"/>
      <c r="K694" s="17">
        <v>42500</v>
      </c>
      <c r="L694" s="17"/>
      <c r="M694" s="17">
        <v>7000</v>
      </c>
      <c r="N694" s="16"/>
      <c r="O694" s="16"/>
    </row>
    <row r="695" spans="1:15">
      <c r="A695" s="38">
        <v>45948</v>
      </c>
      <c r="B695" s="22" t="s">
        <v>17</v>
      </c>
      <c r="C695" s="22" t="s">
        <v>18</v>
      </c>
      <c r="D695" s="23" t="s">
        <v>68</v>
      </c>
      <c r="E695" s="43">
        <v>6</v>
      </c>
      <c r="F695" s="42">
        <v>4760</v>
      </c>
      <c r="G695" s="42">
        <v>3880</v>
      </c>
      <c r="H695" s="42">
        <v>880</v>
      </c>
      <c r="I695" s="17"/>
      <c r="J695" s="17"/>
      <c r="K695" s="17">
        <v>42500</v>
      </c>
      <c r="L695" s="17"/>
      <c r="M695" s="17">
        <v>7000</v>
      </c>
      <c r="N695" s="16"/>
      <c r="O695" s="16"/>
    </row>
    <row r="696" spans="1:15">
      <c r="A696" s="38">
        <v>45948</v>
      </c>
      <c r="B696" s="22" t="s">
        <v>17</v>
      </c>
      <c r="C696" s="22" t="s">
        <v>18</v>
      </c>
      <c r="D696" s="23" t="s">
        <v>197</v>
      </c>
      <c r="E696" s="43">
        <v>6</v>
      </c>
      <c r="F696" s="42">
        <v>5280</v>
      </c>
      <c r="G696" s="42">
        <v>3800</v>
      </c>
      <c r="H696" s="42">
        <v>1480</v>
      </c>
      <c r="I696" s="17"/>
      <c r="J696" s="17"/>
      <c r="K696" s="17">
        <v>42500</v>
      </c>
      <c r="L696" s="17"/>
      <c r="M696" s="17">
        <v>7000</v>
      </c>
      <c r="N696" s="16"/>
      <c r="O696" s="16"/>
    </row>
    <row r="697" spans="1:15">
      <c r="A697" s="38">
        <v>45949</v>
      </c>
      <c r="B697" s="22" t="s">
        <v>17</v>
      </c>
      <c r="C697" s="22" t="s">
        <v>18</v>
      </c>
      <c r="D697" s="23" t="s">
        <v>288</v>
      </c>
      <c r="E697" s="43">
        <v>6</v>
      </c>
      <c r="F697" s="42">
        <v>4740</v>
      </c>
      <c r="G697" s="42">
        <v>3850</v>
      </c>
      <c r="H697" s="42">
        <v>890</v>
      </c>
      <c r="I697" s="17"/>
      <c r="J697" s="17"/>
      <c r="K697" s="17"/>
      <c r="L697" s="17"/>
      <c r="M697" s="17">
        <v>7000</v>
      </c>
      <c r="N697" s="16"/>
      <c r="O697" s="16"/>
    </row>
    <row r="698" spans="1:15">
      <c r="A698" s="38">
        <v>45950</v>
      </c>
      <c r="B698" s="22" t="s">
        <v>17</v>
      </c>
      <c r="C698" s="22" t="s">
        <v>18</v>
      </c>
      <c r="D698" s="23" t="s">
        <v>45</v>
      </c>
      <c r="E698" s="43">
        <v>6</v>
      </c>
      <c r="F698" s="42">
        <v>4750</v>
      </c>
      <c r="G698" s="42">
        <v>3820</v>
      </c>
      <c r="H698" s="42">
        <v>930</v>
      </c>
      <c r="I698" s="17"/>
      <c r="J698" s="17"/>
      <c r="K698" s="17">
        <v>42500</v>
      </c>
      <c r="L698" s="17"/>
      <c r="M698" s="17">
        <v>4000</v>
      </c>
      <c r="N698" s="16"/>
      <c r="O698" s="16"/>
    </row>
    <row r="699" spans="1:15">
      <c r="A699" s="38">
        <v>45950</v>
      </c>
      <c r="B699" s="22" t="s">
        <v>17</v>
      </c>
      <c r="C699" s="22" t="s">
        <v>18</v>
      </c>
      <c r="D699" s="23" t="s">
        <v>68</v>
      </c>
      <c r="E699" s="43">
        <v>6</v>
      </c>
      <c r="F699" s="42">
        <v>4960</v>
      </c>
      <c r="G699" s="42">
        <v>3910</v>
      </c>
      <c r="H699" s="42">
        <v>1050</v>
      </c>
      <c r="I699" s="17"/>
      <c r="J699" s="17"/>
      <c r="K699" s="17">
        <v>42500</v>
      </c>
      <c r="L699" s="17"/>
      <c r="M699" s="17">
        <v>4000</v>
      </c>
      <c r="N699" s="16"/>
      <c r="O699" s="16"/>
    </row>
    <row r="700" spans="1:15">
      <c r="A700" s="38">
        <v>45951</v>
      </c>
      <c r="B700" s="22" t="s">
        <v>17</v>
      </c>
      <c r="C700" s="22" t="s">
        <v>18</v>
      </c>
      <c r="D700" s="23" t="s">
        <v>283</v>
      </c>
      <c r="E700" s="43">
        <v>6</v>
      </c>
      <c r="F700" s="42">
        <v>4500</v>
      </c>
      <c r="G700" s="42">
        <v>3890</v>
      </c>
      <c r="H700" s="42">
        <v>610</v>
      </c>
      <c r="I700" s="17"/>
      <c r="J700" s="17"/>
      <c r="K700" s="17">
        <v>42500</v>
      </c>
      <c r="L700" s="17"/>
      <c r="M700" s="17">
        <v>7000</v>
      </c>
      <c r="N700" s="16"/>
      <c r="O700" s="16"/>
    </row>
    <row r="701" spans="1:15">
      <c r="A701" s="38">
        <v>45951</v>
      </c>
      <c r="B701" s="22" t="s">
        <v>17</v>
      </c>
      <c r="C701" s="22" t="s">
        <v>18</v>
      </c>
      <c r="D701" s="23" t="s">
        <v>68</v>
      </c>
      <c r="E701" s="43">
        <v>6</v>
      </c>
      <c r="F701" s="42">
        <v>4800</v>
      </c>
      <c r="G701" s="42">
        <v>3800</v>
      </c>
      <c r="H701" s="42">
        <v>1000</v>
      </c>
      <c r="I701" s="17"/>
      <c r="J701" s="17"/>
      <c r="K701" s="17">
        <v>42500</v>
      </c>
      <c r="L701" s="17"/>
      <c r="M701" s="17">
        <v>7000</v>
      </c>
      <c r="N701" s="16"/>
      <c r="O701" s="16"/>
    </row>
    <row r="702" spans="1:15">
      <c r="A702" s="38"/>
      <c r="B702" s="22"/>
      <c r="C702" s="22"/>
      <c r="D702" s="23"/>
      <c r="E702" s="43"/>
      <c r="F702" s="42"/>
      <c r="G702" s="42"/>
      <c r="H702" s="42"/>
      <c r="I702" s="17"/>
      <c r="J702" s="17"/>
      <c r="K702" s="17"/>
      <c r="L702" s="17"/>
      <c r="M702" s="17"/>
      <c r="N702" s="16"/>
      <c r="O702" s="16"/>
    </row>
    <row r="703" spans="1:15">
      <c r="A703" s="38"/>
      <c r="B703" s="22"/>
      <c r="C703" s="22"/>
      <c r="D703" s="23"/>
      <c r="E703" s="43"/>
      <c r="F703" s="42"/>
      <c r="G703" s="42"/>
      <c r="H703" s="42"/>
      <c r="I703" s="17"/>
      <c r="J703" s="17"/>
      <c r="K703" s="17"/>
      <c r="L703" s="17"/>
      <c r="M703" s="17"/>
      <c r="N703" s="16"/>
      <c r="O703" s="16"/>
    </row>
    <row r="704" spans="1:15">
      <c r="A704" s="38">
        <v>45952</v>
      </c>
      <c r="B704" s="22"/>
      <c r="C704" s="22"/>
      <c r="D704" s="23"/>
      <c r="E704" s="43"/>
      <c r="F704" s="42"/>
      <c r="G704" s="42"/>
      <c r="H704" s="42"/>
      <c r="I704" s="17">
        <v>1000000</v>
      </c>
      <c r="J704" s="17">
        <v>0</v>
      </c>
      <c r="K704" s="17">
        <v>825000</v>
      </c>
      <c r="L704" s="17">
        <v>0</v>
      </c>
      <c r="M704" s="17">
        <v>152000</v>
      </c>
      <c r="N704" s="16" t="s">
        <v>302</v>
      </c>
      <c r="O704" s="16" t="s">
        <v>303</v>
      </c>
    </row>
    <row r="705" spans="1:15">
      <c r="A705" s="38">
        <v>45952</v>
      </c>
      <c r="B705" s="22" t="s">
        <v>17</v>
      </c>
      <c r="C705" s="22" t="s">
        <v>18</v>
      </c>
      <c r="D705" s="23" t="s">
        <v>304</v>
      </c>
      <c r="E705" s="43">
        <v>6</v>
      </c>
      <c r="F705" s="42">
        <v>4910</v>
      </c>
      <c r="G705" s="42">
        <v>3880</v>
      </c>
      <c r="H705" s="42">
        <v>1030</v>
      </c>
      <c r="I705" s="17"/>
      <c r="J705" s="17"/>
      <c r="K705" s="17">
        <v>42500</v>
      </c>
      <c r="L705" s="17"/>
      <c r="M705" s="17">
        <v>7000</v>
      </c>
      <c r="N705" s="16"/>
      <c r="O705" s="16"/>
    </row>
    <row r="706" spans="1:15">
      <c r="A706" s="38">
        <v>45952</v>
      </c>
      <c r="B706" s="22" t="s">
        <v>17</v>
      </c>
      <c r="C706" s="22" t="s">
        <v>18</v>
      </c>
      <c r="D706" s="23" t="s">
        <v>68</v>
      </c>
      <c r="E706" s="43">
        <v>6</v>
      </c>
      <c r="F706" s="42">
        <v>4800</v>
      </c>
      <c r="G706" s="42">
        <v>3800</v>
      </c>
      <c r="H706" s="42">
        <v>1000</v>
      </c>
      <c r="I706" s="17"/>
      <c r="J706" s="17"/>
      <c r="K706" s="17">
        <v>42500</v>
      </c>
      <c r="L706" s="17"/>
      <c r="M706" s="17">
        <v>7000</v>
      </c>
      <c r="N706" s="16"/>
      <c r="O706" s="16"/>
    </row>
    <row r="707" spans="1:15">
      <c r="A707" s="38">
        <v>45953</v>
      </c>
      <c r="B707" s="22" t="s">
        <v>17</v>
      </c>
      <c r="C707" s="22" t="s">
        <v>18</v>
      </c>
      <c r="D707" s="23" t="s">
        <v>305</v>
      </c>
      <c r="E707" s="43">
        <v>6</v>
      </c>
      <c r="F707" s="42">
        <v>4690</v>
      </c>
      <c r="G707" s="42">
        <v>3910</v>
      </c>
      <c r="H707" s="42">
        <v>780</v>
      </c>
      <c r="I707" s="17"/>
      <c r="J707" s="17"/>
      <c r="K707" s="17">
        <v>16000</v>
      </c>
      <c r="L707" s="17"/>
      <c r="M707" s="17">
        <v>4000</v>
      </c>
      <c r="N707" s="16"/>
      <c r="O707" s="16"/>
    </row>
    <row r="708" spans="1:15">
      <c r="A708" s="38">
        <v>45953</v>
      </c>
      <c r="B708" s="22" t="s">
        <v>17</v>
      </c>
      <c r="C708" s="22" t="s">
        <v>18</v>
      </c>
      <c r="D708" s="23" t="s">
        <v>68</v>
      </c>
      <c r="E708" s="43">
        <v>6</v>
      </c>
      <c r="F708" s="42">
        <v>4930</v>
      </c>
      <c r="G708" s="42">
        <v>3870</v>
      </c>
      <c r="H708" s="42">
        <v>1060</v>
      </c>
      <c r="I708" s="17"/>
      <c r="J708" s="17"/>
      <c r="K708" s="17">
        <v>53000</v>
      </c>
      <c r="L708" s="17"/>
      <c r="M708" s="17">
        <v>7000</v>
      </c>
      <c r="N708" s="16"/>
      <c r="O708" s="16"/>
    </row>
    <row r="709" spans="1:15">
      <c r="A709" s="38">
        <v>45954</v>
      </c>
      <c r="B709" s="22" t="s">
        <v>17</v>
      </c>
      <c r="C709" s="22" t="s">
        <v>18</v>
      </c>
      <c r="D709" s="23" t="s">
        <v>304</v>
      </c>
      <c r="E709" s="43">
        <v>6</v>
      </c>
      <c r="F709" s="42">
        <v>5100</v>
      </c>
      <c r="G709" s="42">
        <v>3810</v>
      </c>
      <c r="H709" s="42">
        <v>1290</v>
      </c>
      <c r="I709" s="17"/>
      <c r="J709" s="17"/>
      <c r="K709" s="17">
        <v>42500</v>
      </c>
      <c r="L709" s="17"/>
      <c r="M709" s="17">
        <v>7000</v>
      </c>
      <c r="N709" s="16"/>
      <c r="O709" s="16"/>
    </row>
    <row r="710" spans="1:15">
      <c r="A710" s="38">
        <v>45954</v>
      </c>
      <c r="B710" s="22" t="s">
        <v>17</v>
      </c>
      <c r="C710" s="22" t="s">
        <v>18</v>
      </c>
      <c r="D710" s="23" t="s">
        <v>68</v>
      </c>
      <c r="E710" s="43">
        <v>6</v>
      </c>
      <c r="F710" s="42">
        <v>4900</v>
      </c>
      <c r="G710" s="42">
        <v>3870</v>
      </c>
      <c r="H710" s="42">
        <v>1030</v>
      </c>
      <c r="I710" s="17"/>
      <c r="J710" s="17"/>
      <c r="K710" s="17">
        <v>42500</v>
      </c>
      <c r="L710" s="17"/>
      <c r="M710" s="17">
        <v>7000</v>
      </c>
      <c r="N710" s="16"/>
      <c r="O710" s="16"/>
    </row>
    <row r="711" spans="1:15">
      <c r="A711" s="38">
        <v>45955</v>
      </c>
      <c r="B711" s="22" t="s">
        <v>17</v>
      </c>
      <c r="C711" s="22" t="s">
        <v>18</v>
      </c>
      <c r="D711" s="23" t="s">
        <v>306</v>
      </c>
      <c r="E711" s="43">
        <v>6</v>
      </c>
      <c r="F711" s="42">
        <v>4730</v>
      </c>
      <c r="G711" s="42">
        <v>3880</v>
      </c>
      <c r="H711" s="42">
        <v>850</v>
      </c>
      <c r="I711" s="17"/>
      <c r="J711" s="17"/>
      <c r="K711" s="17">
        <v>42500</v>
      </c>
      <c r="L711" s="17"/>
      <c r="M711" s="17">
        <v>7000</v>
      </c>
      <c r="N711" s="16"/>
      <c r="O711" s="16"/>
    </row>
    <row r="712" spans="1:15">
      <c r="A712" s="38">
        <v>45955</v>
      </c>
      <c r="B712" s="22" t="s">
        <v>17</v>
      </c>
      <c r="C712" s="22" t="s">
        <v>18</v>
      </c>
      <c r="D712" s="23" t="s">
        <v>68</v>
      </c>
      <c r="E712" s="43">
        <v>6</v>
      </c>
      <c r="F712" s="42">
        <v>4270</v>
      </c>
      <c r="G712" s="42">
        <v>3870</v>
      </c>
      <c r="H712" s="42">
        <v>400</v>
      </c>
      <c r="I712" s="17"/>
      <c r="J712" s="17"/>
      <c r="K712" s="17">
        <v>42500</v>
      </c>
      <c r="L712" s="17"/>
      <c r="M712" s="17">
        <v>7000</v>
      </c>
      <c r="N712" s="16"/>
      <c r="O712" s="16"/>
    </row>
    <row r="713" spans="1:15">
      <c r="A713" s="38">
        <v>45956</v>
      </c>
      <c r="B713" s="22" t="s">
        <v>17</v>
      </c>
      <c r="C713" s="22" t="s">
        <v>18</v>
      </c>
      <c r="D713" s="23" t="s">
        <v>284</v>
      </c>
      <c r="E713" s="43">
        <v>6</v>
      </c>
      <c r="F713" s="42">
        <v>4420</v>
      </c>
      <c r="G713" s="42">
        <v>3880</v>
      </c>
      <c r="H713" s="42">
        <v>540</v>
      </c>
      <c r="I713" s="17"/>
      <c r="J713" s="17"/>
      <c r="K713" s="17">
        <v>0</v>
      </c>
      <c r="L713" s="17"/>
      <c r="M713" s="17">
        <v>7000</v>
      </c>
      <c r="N713" s="16"/>
      <c r="O713" s="16"/>
    </row>
    <row r="714" spans="1:15">
      <c r="A714" s="38">
        <v>45956</v>
      </c>
      <c r="B714" s="22" t="s">
        <v>17</v>
      </c>
      <c r="C714" s="22" t="s">
        <v>18</v>
      </c>
      <c r="D714" s="23" t="s">
        <v>280</v>
      </c>
      <c r="E714" s="43">
        <v>6</v>
      </c>
      <c r="F714" s="42">
        <v>4220</v>
      </c>
      <c r="G714" s="42">
        <v>3780</v>
      </c>
      <c r="H714" s="42">
        <v>440</v>
      </c>
      <c r="I714" s="17"/>
      <c r="J714" s="17"/>
      <c r="K714" s="17">
        <v>16000</v>
      </c>
      <c r="L714" s="17"/>
      <c r="M714" s="17">
        <v>7000</v>
      </c>
      <c r="N714" s="16"/>
      <c r="O714" s="16"/>
    </row>
    <row r="715" spans="1:15">
      <c r="A715" s="38">
        <v>45957</v>
      </c>
      <c r="B715" s="22" t="s">
        <v>17</v>
      </c>
      <c r="C715" s="22" t="s">
        <v>18</v>
      </c>
      <c r="D715" s="23" t="s">
        <v>68</v>
      </c>
      <c r="E715" s="43">
        <v>6</v>
      </c>
      <c r="F715" s="42">
        <v>5170</v>
      </c>
      <c r="G715" s="42">
        <v>3860</v>
      </c>
      <c r="H715" s="42">
        <v>1310</v>
      </c>
      <c r="I715" s="17"/>
      <c r="J715" s="17"/>
      <c r="K715" s="17">
        <v>26500</v>
      </c>
      <c r="L715" s="17"/>
      <c r="M715" s="17">
        <v>7000</v>
      </c>
      <c r="N715" s="16"/>
      <c r="O715" s="16"/>
    </row>
    <row r="716" spans="1:15">
      <c r="A716" s="38">
        <v>45957</v>
      </c>
      <c r="B716" s="22" t="s">
        <v>17</v>
      </c>
      <c r="C716" s="22" t="s">
        <v>18</v>
      </c>
      <c r="D716" s="23" t="s">
        <v>68</v>
      </c>
      <c r="E716" s="43">
        <v>6</v>
      </c>
      <c r="F716" s="42">
        <v>4730</v>
      </c>
      <c r="G716" s="42">
        <v>3900</v>
      </c>
      <c r="H716" s="42">
        <v>830</v>
      </c>
      <c r="I716" s="17"/>
      <c r="J716" s="17"/>
      <c r="K716" s="17">
        <v>42500</v>
      </c>
      <c r="L716" s="17"/>
      <c r="M716" s="17">
        <v>7000</v>
      </c>
      <c r="N716" s="16"/>
      <c r="O716" s="16"/>
    </row>
    <row r="717" spans="1:15">
      <c r="A717" s="38">
        <v>45958</v>
      </c>
      <c r="B717" s="22" t="s">
        <v>17</v>
      </c>
      <c r="C717" s="22" t="s">
        <v>18</v>
      </c>
      <c r="D717" s="23" t="s">
        <v>304</v>
      </c>
      <c r="E717" s="43">
        <v>6</v>
      </c>
      <c r="F717" s="42">
        <v>4680</v>
      </c>
      <c r="G717" s="42">
        <v>3990</v>
      </c>
      <c r="H717" s="42">
        <v>690</v>
      </c>
      <c r="I717" s="17"/>
      <c r="J717" s="17"/>
      <c r="K717" s="17">
        <v>42500</v>
      </c>
      <c r="L717" s="17"/>
      <c r="M717" s="17">
        <v>7000</v>
      </c>
      <c r="N717" s="16"/>
      <c r="O717" s="16"/>
    </row>
    <row r="718" spans="1:15">
      <c r="A718" s="38">
        <v>45958</v>
      </c>
      <c r="B718" s="22" t="s">
        <v>17</v>
      </c>
      <c r="C718" s="22" t="s">
        <v>18</v>
      </c>
      <c r="D718" s="23" t="s">
        <v>68</v>
      </c>
      <c r="E718" s="43">
        <v>6</v>
      </c>
      <c r="F718" s="42">
        <v>4870</v>
      </c>
      <c r="G718" s="42">
        <v>3900</v>
      </c>
      <c r="H718" s="42">
        <v>970</v>
      </c>
      <c r="I718" s="17"/>
      <c r="J718" s="17"/>
      <c r="K718" s="17">
        <v>42500</v>
      </c>
      <c r="L718" s="17"/>
      <c r="M718" s="17">
        <v>7000</v>
      </c>
      <c r="N718" s="16"/>
      <c r="O718" s="16"/>
    </row>
    <row r="719" spans="1:15">
      <c r="A719" s="38">
        <v>45959</v>
      </c>
      <c r="B719" s="22" t="s">
        <v>17</v>
      </c>
      <c r="C719" s="22" t="s">
        <v>18</v>
      </c>
      <c r="D719" s="23" t="s">
        <v>305</v>
      </c>
      <c r="E719" s="43">
        <v>6</v>
      </c>
      <c r="F719" s="42">
        <v>5150</v>
      </c>
      <c r="G719" s="42">
        <v>3880</v>
      </c>
      <c r="H719" s="42">
        <v>1270</v>
      </c>
      <c r="I719" s="17"/>
      <c r="J719" s="17"/>
      <c r="K719" s="17">
        <v>33500</v>
      </c>
      <c r="L719" s="17"/>
      <c r="M719" s="17">
        <v>4000</v>
      </c>
      <c r="N719" s="16"/>
      <c r="O719" s="16"/>
    </row>
    <row r="720" spans="1:15">
      <c r="A720" s="38">
        <v>45959</v>
      </c>
      <c r="B720" s="22" t="s">
        <v>17</v>
      </c>
      <c r="C720" s="22" t="s">
        <v>18</v>
      </c>
      <c r="D720" s="23" t="s">
        <v>68</v>
      </c>
      <c r="E720" s="43">
        <v>6</v>
      </c>
      <c r="F720" s="42">
        <v>5030</v>
      </c>
      <c r="G720" s="42">
        <v>3820</v>
      </c>
      <c r="H720" s="42">
        <v>1210</v>
      </c>
      <c r="I720" s="17"/>
      <c r="J720" s="17"/>
      <c r="K720" s="17">
        <v>26500</v>
      </c>
      <c r="L720" s="17"/>
      <c r="M720" s="17">
        <v>7000</v>
      </c>
      <c r="N720" s="16"/>
      <c r="O720" s="16"/>
    </row>
    <row r="721" spans="1:15">
      <c r="A721" s="38">
        <v>45960</v>
      </c>
      <c r="B721" s="22" t="s">
        <v>17</v>
      </c>
      <c r="C721" s="22" t="s">
        <v>18</v>
      </c>
      <c r="D721" s="23" t="s">
        <v>304</v>
      </c>
      <c r="E721" s="43">
        <v>6</v>
      </c>
      <c r="F721" s="42">
        <v>4940</v>
      </c>
      <c r="G721" s="42">
        <v>3850</v>
      </c>
      <c r="H721" s="42">
        <v>1090</v>
      </c>
      <c r="I721" s="17"/>
      <c r="J721" s="17"/>
      <c r="K721" s="17">
        <v>42500</v>
      </c>
      <c r="L721" s="17"/>
      <c r="M721" s="17">
        <v>7000</v>
      </c>
      <c r="N721" s="16"/>
      <c r="O721" s="16"/>
    </row>
    <row r="722" spans="1:15">
      <c r="A722" s="38">
        <v>45960</v>
      </c>
      <c r="B722" s="22" t="s">
        <v>17</v>
      </c>
      <c r="C722" s="22" t="s">
        <v>18</v>
      </c>
      <c r="D722" s="23" t="s">
        <v>68</v>
      </c>
      <c r="E722" s="43">
        <v>6</v>
      </c>
      <c r="F722" s="42">
        <v>5030</v>
      </c>
      <c r="G722" s="42">
        <v>3870</v>
      </c>
      <c r="H722" s="42">
        <v>1160</v>
      </c>
      <c r="I722" s="17"/>
      <c r="J722" s="17"/>
      <c r="K722" s="17">
        <v>42500</v>
      </c>
      <c r="L722" s="17"/>
      <c r="M722" s="17">
        <v>7000</v>
      </c>
      <c r="N722" s="16"/>
      <c r="O722" s="16"/>
    </row>
    <row r="723" spans="1:15">
      <c r="A723" s="38">
        <v>45961</v>
      </c>
      <c r="B723" s="22" t="s">
        <v>17</v>
      </c>
      <c r="C723" s="22" t="s">
        <v>18</v>
      </c>
      <c r="D723" s="23" t="s">
        <v>68</v>
      </c>
      <c r="E723" s="43">
        <v>6</v>
      </c>
      <c r="F723" s="42">
        <v>4950</v>
      </c>
      <c r="G723" s="42">
        <v>3830</v>
      </c>
      <c r="H723" s="42">
        <v>1120</v>
      </c>
      <c r="I723" s="17"/>
      <c r="J723" s="17"/>
      <c r="K723" s="17">
        <v>42500</v>
      </c>
      <c r="L723" s="17"/>
      <c r="M723" s="17">
        <v>7000</v>
      </c>
      <c r="N723" s="16"/>
      <c r="O723" s="16"/>
    </row>
    <row r="724" spans="1:15">
      <c r="A724" s="38">
        <v>45961</v>
      </c>
      <c r="B724" s="22" t="s">
        <v>17</v>
      </c>
      <c r="C724" s="22" t="s">
        <v>18</v>
      </c>
      <c r="D724" s="23" t="s">
        <v>283</v>
      </c>
      <c r="E724" s="43">
        <v>6</v>
      </c>
      <c r="F724" s="42">
        <v>4460</v>
      </c>
      <c r="G724" s="42">
        <v>3910</v>
      </c>
      <c r="H724" s="42">
        <v>550</v>
      </c>
      <c r="I724" s="17"/>
      <c r="J724" s="17"/>
      <c r="K724" s="17">
        <v>42500</v>
      </c>
      <c r="L724" s="17"/>
      <c r="M724" s="17">
        <v>7000</v>
      </c>
      <c r="N724" s="16"/>
      <c r="O724" s="16"/>
    </row>
    <row r="725" spans="1:15">
      <c r="A725" s="38">
        <v>45962</v>
      </c>
      <c r="B725" s="22" t="s">
        <v>17</v>
      </c>
      <c r="C725" s="22" t="s">
        <v>18</v>
      </c>
      <c r="D725" s="23" t="s">
        <v>304</v>
      </c>
      <c r="E725" s="43">
        <v>6</v>
      </c>
      <c r="F725" s="42">
        <v>4820</v>
      </c>
      <c r="G725" s="42">
        <v>3820</v>
      </c>
      <c r="H725" s="42">
        <v>1000</v>
      </c>
      <c r="I725" s="17"/>
      <c r="J725" s="17"/>
      <c r="K725" s="17">
        <v>42500</v>
      </c>
      <c r="L725" s="17"/>
      <c r="M725" s="17">
        <v>4000</v>
      </c>
      <c r="N725" s="16"/>
      <c r="O725" s="16"/>
    </row>
    <row r="726" spans="1:15">
      <c r="A726" s="38">
        <v>45962</v>
      </c>
      <c r="B726" s="22" t="s">
        <v>17</v>
      </c>
      <c r="C726" s="22" t="s">
        <v>18</v>
      </c>
      <c r="D726" s="23" t="s">
        <v>68</v>
      </c>
      <c r="E726" s="43">
        <v>6</v>
      </c>
      <c r="F726" s="42">
        <v>4590</v>
      </c>
      <c r="G726" s="42">
        <v>3810</v>
      </c>
      <c r="H726" s="42">
        <v>780</v>
      </c>
      <c r="I726" s="17"/>
      <c r="J726" s="17"/>
      <c r="K726" s="17">
        <v>42500</v>
      </c>
      <c r="L726" s="17"/>
      <c r="M726" s="17">
        <v>7000</v>
      </c>
      <c r="N726" s="16"/>
      <c r="O726" s="16"/>
    </row>
    <row r="727" spans="1:15">
      <c r="A727" s="38">
        <v>45963</v>
      </c>
      <c r="B727" s="22" t="s">
        <v>17</v>
      </c>
      <c r="C727" s="22" t="s">
        <v>18</v>
      </c>
      <c r="D727" s="23" t="s">
        <v>284</v>
      </c>
      <c r="E727" s="43">
        <v>6</v>
      </c>
      <c r="F727" s="42">
        <v>4940</v>
      </c>
      <c r="G727" s="42">
        <v>3880</v>
      </c>
      <c r="H727" s="42">
        <v>1060</v>
      </c>
      <c r="I727" s="17"/>
      <c r="J727" s="17"/>
      <c r="K727" s="17">
        <v>16000</v>
      </c>
      <c r="L727" s="17"/>
      <c r="M727" s="17">
        <v>7000</v>
      </c>
      <c r="N727" s="16"/>
      <c r="O727" s="16"/>
    </row>
    <row r="728" spans="1:15">
      <c r="A728" s="38">
        <v>45963</v>
      </c>
      <c r="B728" s="22" t="s">
        <v>17</v>
      </c>
      <c r="C728" s="22" t="s">
        <v>18</v>
      </c>
      <c r="D728" s="23" t="s">
        <v>280</v>
      </c>
      <c r="E728" s="43"/>
      <c r="F728" s="42"/>
      <c r="G728" s="42"/>
      <c r="H728" s="42">
        <v>0</v>
      </c>
      <c r="I728" s="17"/>
      <c r="J728" s="17"/>
      <c r="K728" s="17"/>
      <c r="L728" s="17"/>
      <c r="M728" s="17"/>
      <c r="N728" s="16"/>
      <c r="O728" s="16"/>
    </row>
    <row r="729" spans="1:15">
      <c r="A729" s="38"/>
      <c r="B729" s="22"/>
      <c r="C729" s="22"/>
      <c r="D729" s="23"/>
      <c r="E729" s="43"/>
      <c r="F729" s="42"/>
      <c r="G729" s="42"/>
      <c r="H729" s="42"/>
      <c r="I729" s="17"/>
      <c r="J729" s="17"/>
      <c r="K729" s="17"/>
      <c r="L729" s="17"/>
      <c r="M729" s="17"/>
      <c r="N729" s="16"/>
      <c r="O729" s="16"/>
    </row>
    <row r="730" spans="1:15">
      <c r="A730" s="38">
        <v>45965</v>
      </c>
      <c r="B730" s="22"/>
      <c r="C730" s="22"/>
      <c r="D730" s="23"/>
      <c r="E730" s="43"/>
      <c r="F730" s="42"/>
      <c r="G730" s="42"/>
      <c r="H730" s="42"/>
      <c r="I730" s="17">
        <v>1000000</v>
      </c>
      <c r="J730" s="17">
        <v>0</v>
      </c>
      <c r="K730" s="17">
        <v>414000</v>
      </c>
      <c r="L730" s="17">
        <v>0</v>
      </c>
      <c r="M730" s="17">
        <v>81000</v>
      </c>
      <c r="N730" s="16" t="s">
        <v>307</v>
      </c>
      <c r="O730" s="16" t="s">
        <v>308</v>
      </c>
    </row>
    <row r="731" spans="1:15">
      <c r="A731" s="38">
        <v>45965</v>
      </c>
      <c r="B731" s="22" t="s">
        <v>17</v>
      </c>
      <c r="C731" s="22" t="s">
        <v>18</v>
      </c>
      <c r="D731" s="23" t="s">
        <v>197</v>
      </c>
      <c r="E731" s="43">
        <v>6</v>
      </c>
      <c r="F731" s="42">
        <v>4620</v>
      </c>
      <c r="G731" s="42">
        <v>3790</v>
      </c>
      <c r="H731" s="42">
        <v>830</v>
      </c>
      <c r="I731" s="17"/>
      <c r="J731" s="17"/>
      <c r="K731" s="17">
        <v>42500</v>
      </c>
      <c r="L731" s="17"/>
      <c r="M731" s="17">
        <v>7000</v>
      </c>
      <c r="N731" s="16"/>
      <c r="O731" s="16"/>
    </row>
    <row r="732" spans="1:15">
      <c r="A732" s="38">
        <v>45965</v>
      </c>
      <c r="B732" s="22" t="s">
        <v>17</v>
      </c>
      <c r="C732" s="22" t="s">
        <v>18</v>
      </c>
      <c r="D732" s="23" t="s">
        <v>68</v>
      </c>
      <c r="E732" s="43">
        <v>6</v>
      </c>
      <c r="F732" s="42">
        <v>5190</v>
      </c>
      <c r="G732" s="42">
        <v>3790</v>
      </c>
      <c r="H732" s="42">
        <v>1400</v>
      </c>
      <c r="I732" s="17"/>
      <c r="J732" s="17"/>
      <c r="K732" s="17">
        <v>26500</v>
      </c>
      <c r="L732" s="17"/>
      <c r="M732" s="17">
        <v>7000</v>
      </c>
      <c r="N732" s="16"/>
      <c r="O732" s="16"/>
    </row>
    <row r="733" spans="1:15">
      <c r="A733" s="38">
        <v>45966</v>
      </c>
      <c r="B733" s="22" t="s">
        <v>17</v>
      </c>
      <c r="C733" s="22" t="s">
        <v>18</v>
      </c>
      <c r="D733" s="23" t="s">
        <v>304</v>
      </c>
      <c r="E733" s="43">
        <v>6</v>
      </c>
      <c r="F733" s="42">
        <v>4650</v>
      </c>
      <c r="G733" s="42">
        <v>3810</v>
      </c>
      <c r="H733" s="42">
        <v>840</v>
      </c>
      <c r="I733" s="17"/>
      <c r="J733" s="17"/>
      <c r="K733" s="17">
        <v>42500</v>
      </c>
      <c r="L733" s="17"/>
      <c r="M733" s="17">
        <v>7000</v>
      </c>
      <c r="N733" s="16"/>
      <c r="O733" s="16"/>
    </row>
    <row r="734" spans="1:15">
      <c r="A734" s="38">
        <v>45966</v>
      </c>
      <c r="B734" s="22" t="s">
        <v>17</v>
      </c>
      <c r="C734" s="22" t="s">
        <v>18</v>
      </c>
      <c r="D734" s="23" t="s">
        <v>68</v>
      </c>
      <c r="E734" s="43">
        <v>6</v>
      </c>
      <c r="F734" s="42">
        <v>5490</v>
      </c>
      <c r="G734" s="42">
        <v>3920</v>
      </c>
      <c r="H734" s="42">
        <v>1570</v>
      </c>
      <c r="I734" s="17"/>
      <c r="J734" s="17"/>
      <c r="K734" s="17">
        <v>42500</v>
      </c>
      <c r="L734" s="17"/>
      <c r="M734" s="17">
        <v>7000</v>
      </c>
      <c r="N734" s="16"/>
      <c r="O734" s="16"/>
    </row>
    <row r="735" spans="1:15">
      <c r="A735" s="38">
        <v>45967</v>
      </c>
      <c r="B735" s="22" t="s">
        <v>17</v>
      </c>
      <c r="C735" s="22" t="s">
        <v>18</v>
      </c>
      <c r="D735" s="23" t="s">
        <v>68</v>
      </c>
      <c r="E735" s="43">
        <v>6</v>
      </c>
      <c r="F735" s="42">
        <v>5000</v>
      </c>
      <c r="G735" s="42">
        <v>3820</v>
      </c>
      <c r="H735" s="42">
        <v>1180</v>
      </c>
      <c r="I735" s="17"/>
      <c r="J735" s="17"/>
      <c r="K735" s="17">
        <v>42500</v>
      </c>
      <c r="L735" s="17"/>
      <c r="M735" s="17">
        <v>7000</v>
      </c>
      <c r="N735" s="16"/>
      <c r="O735" s="16"/>
    </row>
    <row r="736" spans="1:15">
      <c r="A736" s="38">
        <v>45967</v>
      </c>
      <c r="B736" s="22" t="s">
        <v>17</v>
      </c>
      <c r="C736" s="22" t="s">
        <v>18</v>
      </c>
      <c r="D736" s="23" t="s">
        <v>283</v>
      </c>
      <c r="E736" s="43">
        <v>6</v>
      </c>
      <c r="F736" s="42">
        <v>4340</v>
      </c>
      <c r="G736" s="42">
        <v>3810</v>
      </c>
      <c r="H736" s="42">
        <v>530</v>
      </c>
      <c r="I736" s="17"/>
      <c r="J736" s="17"/>
      <c r="K736" s="17">
        <v>53000</v>
      </c>
      <c r="L736" s="17"/>
      <c r="M736" s="17">
        <v>7000</v>
      </c>
      <c r="N736" s="16"/>
      <c r="O736" s="16"/>
    </row>
    <row r="737" spans="1:15">
      <c r="A737" s="38">
        <v>45968</v>
      </c>
      <c r="B737" s="22" t="s">
        <v>17</v>
      </c>
      <c r="C737" s="22" t="s">
        <v>18</v>
      </c>
      <c r="D737" s="23" t="s">
        <v>68</v>
      </c>
      <c r="E737" s="43">
        <v>6</v>
      </c>
      <c r="F737" s="42">
        <v>4660</v>
      </c>
      <c r="G737" s="42">
        <v>3890</v>
      </c>
      <c r="H737" s="42">
        <v>770</v>
      </c>
      <c r="I737" s="17"/>
      <c r="J737" s="17"/>
      <c r="K737" s="17">
        <v>42500</v>
      </c>
      <c r="L737" s="17"/>
      <c r="M737" s="17">
        <v>7000</v>
      </c>
      <c r="N737" s="16"/>
      <c r="O737" s="16"/>
    </row>
    <row r="738" spans="1:15">
      <c r="A738" s="38">
        <v>45968</v>
      </c>
      <c r="B738" s="22" t="s">
        <v>17</v>
      </c>
      <c r="C738" s="22" t="s">
        <v>18</v>
      </c>
      <c r="D738" s="23" t="s">
        <v>309</v>
      </c>
      <c r="E738" s="43">
        <v>6</v>
      </c>
      <c r="F738" s="42">
        <v>5280</v>
      </c>
      <c r="G738" s="42">
        <v>3900</v>
      </c>
      <c r="H738" s="42">
        <v>1380</v>
      </c>
      <c r="I738" s="17"/>
      <c r="J738" s="17"/>
      <c r="K738" s="17">
        <v>42500</v>
      </c>
      <c r="L738" s="17"/>
      <c r="M738" s="17">
        <v>7000</v>
      </c>
      <c r="N738" s="16"/>
      <c r="O738" s="16"/>
    </row>
    <row r="739" spans="1:15">
      <c r="A739" s="38">
        <v>45969</v>
      </c>
      <c r="B739" s="22" t="s">
        <v>17</v>
      </c>
      <c r="C739" s="22" t="s">
        <v>18</v>
      </c>
      <c r="D739" s="23" t="s">
        <v>284</v>
      </c>
      <c r="E739" s="43">
        <v>6</v>
      </c>
      <c r="F739" s="42">
        <v>4370</v>
      </c>
      <c r="G739" s="42">
        <v>3960</v>
      </c>
      <c r="H739" s="42">
        <v>410</v>
      </c>
      <c r="I739" s="17"/>
      <c r="J739" s="17"/>
      <c r="K739" s="17">
        <v>26500</v>
      </c>
      <c r="L739" s="17"/>
      <c r="M739" s="17">
        <v>7000</v>
      </c>
      <c r="N739" s="16"/>
      <c r="O739" s="16"/>
    </row>
    <row r="740" spans="1:15">
      <c r="A740" s="38">
        <v>45969</v>
      </c>
      <c r="B740" s="22" t="s">
        <v>17</v>
      </c>
      <c r="C740" s="22" t="s">
        <v>18</v>
      </c>
      <c r="D740" s="23" t="s">
        <v>68</v>
      </c>
      <c r="E740" s="43">
        <v>6</v>
      </c>
      <c r="F740" s="42">
        <v>4910</v>
      </c>
      <c r="G740" s="42">
        <v>3890</v>
      </c>
      <c r="H740" s="42">
        <v>1020</v>
      </c>
      <c r="I740" s="17"/>
      <c r="J740" s="17"/>
      <c r="K740" s="17">
        <v>26500</v>
      </c>
      <c r="L740" s="17"/>
      <c r="M740" s="17">
        <v>7000</v>
      </c>
      <c r="N740" s="16"/>
      <c r="O740" s="16"/>
    </row>
    <row r="741" spans="1:15">
      <c r="A741" s="38">
        <v>45970</v>
      </c>
      <c r="B741" s="22" t="s">
        <v>17</v>
      </c>
      <c r="C741" s="22" t="s">
        <v>18</v>
      </c>
      <c r="D741" s="23" t="s">
        <v>284</v>
      </c>
      <c r="E741" s="43">
        <v>6</v>
      </c>
      <c r="F741" s="42">
        <v>4140</v>
      </c>
      <c r="G741" s="42">
        <v>3810</v>
      </c>
      <c r="H741" s="42">
        <v>330</v>
      </c>
      <c r="I741" s="17"/>
      <c r="J741" s="17"/>
      <c r="K741" s="17">
        <v>26500</v>
      </c>
      <c r="L741" s="17"/>
      <c r="M741" s="17">
        <v>7000</v>
      </c>
      <c r="N741" s="16"/>
      <c r="O741" s="16"/>
    </row>
    <row r="742" spans="1:15">
      <c r="A742" s="38">
        <v>45970</v>
      </c>
      <c r="B742" s="22" t="s">
        <v>17</v>
      </c>
      <c r="C742" s="22" t="s">
        <v>18</v>
      </c>
      <c r="D742" s="23" t="s">
        <v>284</v>
      </c>
      <c r="E742" s="43"/>
      <c r="F742" s="42"/>
      <c r="G742" s="42"/>
      <c r="H742" s="42">
        <v>0</v>
      </c>
      <c r="I742" s="17"/>
      <c r="J742" s="17"/>
      <c r="K742" s="17"/>
      <c r="L742" s="17"/>
      <c r="M742" s="17"/>
      <c r="N742" s="16"/>
      <c r="O742" s="16"/>
    </row>
    <row r="743" spans="1:15">
      <c r="A743" s="38">
        <v>45970</v>
      </c>
      <c r="B743" s="22" t="s">
        <v>17</v>
      </c>
      <c r="C743" s="22" t="s">
        <v>18</v>
      </c>
      <c r="D743" s="23" t="s">
        <v>52</v>
      </c>
      <c r="E743" s="43">
        <v>6</v>
      </c>
      <c r="F743" s="42">
        <v>4300</v>
      </c>
      <c r="G743" s="42">
        <v>3920</v>
      </c>
      <c r="H743" s="42">
        <v>380</v>
      </c>
      <c r="I743" s="17"/>
      <c r="J743" s="17"/>
      <c r="K743" s="17"/>
      <c r="L743" s="17"/>
      <c r="M743" s="17">
        <v>4000</v>
      </c>
      <c r="N743" s="16"/>
      <c r="O743" s="16"/>
    </row>
    <row r="744" spans="1:15">
      <c r="A744" s="38"/>
      <c r="B744" s="22"/>
      <c r="C744" s="22"/>
      <c r="D744" s="23"/>
      <c r="E744" s="43"/>
      <c r="F744" s="42"/>
      <c r="G744" s="42"/>
      <c r="H744" s="42"/>
      <c r="I744" s="17"/>
      <c r="J744" s="17"/>
      <c r="K744" s="17"/>
      <c r="L744" s="17"/>
      <c r="M744" s="17"/>
      <c r="N744" s="16"/>
      <c r="O744" s="16"/>
    </row>
    <row r="745" spans="1:15">
      <c r="A745" s="38">
        <v>45970</v>
      </c>
      <c r="B745" s="22"/>
      <c r="C745" s="22"/>
      <c r="D745" s="23"/>
      <c r="E745" s="43"/>
      <c r="F745" s="42"/>
      <c r="G745" s="42"/>
      <c r="H745" s="42"/>
      <c r="I745" s="17">
        <v>1000000</v>
      </c>
      <c r="J745" s="17">
        <v>0</v>
      </c>
      <c r="K745" s="17">
        <v>421500</v>
      </c>
      <c r="L745" s="17">
        <v>0</v>
      </c>
      <c r="M745" s="17">
        <v>92000</v>
      </c>
      <c r="N745" s="16" t="s">
        <v>310</v>
      </c>
      <c r="O745" s="16" t="s">
        <v>311</v>
      </c>
    </row>
    <row r="746" spans="1:15">
      <c r="A746" s="38">
        <v>45971</v>
      </c>
      <c r="B746" s="22" t="s">
        <v>17</v>
      </c>
      <c r="C746" s="22" t="s">
        <v>18</v>
      </c>
      <c r="D746" s="23" t="s">
        <v>197</v>
      </c>
      <c r="E746" s="43">
        <v>6</v>
      </c>
      <c r="F746" s="42">
        <v>5060</v>
      </c>
      <c r="G746" s="42">
        <v>3830</v>
      </c>
      <c r="H746" s="42">
        <v>1230</v>
      </c>
      <c r="I746" s="17"/>
      <c r="J746" s="17"/>
      <c r="K746" s="17">
        <v>85000</v>
      </c>
      <c r="L746" s="17"/>
      <c r="M746" s="17">
        <v>7000</v>
      </c>
      <c r="N746" s="16"/>
      <c r="O746" s="16"/>
    </row>
    <row r="747" spans="1:15">
      <c r="A747" s="38">
        <v>45971</v>
      </c>
      <c r="B747" s="22" t="s">
        <v>17</v>
      </c>
      <c r="C747" s="22" t="s">
        <v>18</v>
      </c>
      <c r="D747" s="23" t="s">
        <v>68</v>
      </c>
      <c r="E747" s="43">
        <v>6</v>
      </c>
      <c r="F747" s="42">
        <v>5030</v>
      </c>
      <c r="G747" s="42">
        <v>3910</v>
      </c>
      <c r="H747" s="42">
        <v>1120</v>
      </c>
      <c r="I747" s="17"/>
      <c r="J747" s="17"/>
      <c r="K747" s="17"/>
      <c r="L747" s="17"/>
      <c r="M747" s="17">
        <v>7000</v>
      </c>
      <c r="N747" s="16"/>
      <c r="O747" s="16"/>
    </row>
    <row r="748" spans="1:15">
      <c r="A748" s="38">
        <v>45972</v>
      </c>
      <c r="B748" s="22" t="s">
        <v>17</v>
      </c>
      <c r="C748" s="22" t="s">
        <v>18</v>
      </c>
      <c r="D748" s="23" t="s">
        <v>304</v>
      </c>
      <c r="E748" s="43">
        <v>6</v>
      </c>
      <c r="F748" s="42">
        <v>5550</v>
      </c>
      <c r="G748" s="42">
        <v>3810</v>
      </c>
      <c r="H748" s="42">
        <v>1740</v>
      </c>
      <c r="I748" s="17"/>
      <c r="J748" s="17"/>
      <c r="K748" s="17">
        <v>85000</v>
      </c>
      <c r="L748" s="17"/>
      <c r="M748" s="17">
        <v>7000</v>
      </c>
      <c r="N748" s="16"/>
      <c r="O748" s="16"/>
    </row>
    <row r="749" spans="1:15">
      <c r="A749" s="38">
        <v>45972</v>
      </c>
      <c r="B749" s="22" t="s">
        <v>17</v>
      </c>
      <c r="C749" s="22" t="s">
        <v>18</v>
      </c>
      <c r="D749" s="23" t="s">
        <v>52</v>
      </c>
      <c r="E749" s="43">
        <v>6</v>
      </c>
      <c r="F749" s="42">
        <v>4190</v>
      </c>
      <c r="G749" s="42">
        <v>3800</v>
      </c>
      <c r="H749" s="42">
        <v>390</v>
      </c>
      <c r="I749" s="17"/>
      <c r="J749" s="17"/>
      <c r="K749" s="17"/>
      <c r="L749" s="17"/>
      <c r="M749" s="17">
        <v>7000</v>
      </c>
      <c r="N749" s="16"/>
      <c r="O749" s="16"/>
    </row>
    <row r="750" spans="1:15">
      <c r="A750" s="38">
        <v>45972</v>
      </c>
      <c r="B750" s="22" t="s">
        <v>17</v>
      </c>
      <c r="C750" s="22" t="s">
        <v>18</v>
      </c>
      <c r="D750" s="23" t="s">
        <v>68</v>
      </c>
      <c r="E750" s="43">
        <v>6</v>
      </c>
      <c r="F750" s="42">
        <v>4750</v>
      </c>
      <c r="G750" s="42">
        <v>3900</v>
      </c>
      <c r="H750" s="42">
        <v>850</v>
      </c>
      <c r="I750" s="17"/>
      <c r="J750" s="17"/>
      <c r="K750" s="17"/>
      <c r="L750" s="17"/>
      <c r="M750" s="17">
        <v>4000</v>
      </c>
      <c r="N750" s="16"/>
      <c r="O750" s="16"/>
    </row>
    <row r="751" spans="1:15">
      <c r="A751" s="38">
        <v>45973</v>
      </c>
      <c r="B751" s="22" t="s">
        <v>17</v>
      </c>
      <c r="C751" s="22" t="s">
        <v>18</v>
      </c>
      <c r="D751" s="23" t="s">
        <v>304</v>
      </c>
      <c r="E751" s="43">
        <v>6</v>
      </c>
      <c r="F751" s="42">
        <v>5540</v>
      </c>
      <c r="G751" s="42">
        <v>3880</v>
      </c>
      <c r="H751" s="42">
        <v>1660</v>
      </c>
      <c r="I751" s="17"/>
      <c r="J751" s="17"/>
      <c r="K751" s="17">
        <v>69000</v>
      </c>
      <c r="L751" s="17"/>
      <c r="M751" s="17">
        <v>7000</v>
      </c>
      <c r="N751" s="16"/>
      <c r="O751" s="16"/>
    </row>
    <row r="752" spans="1:15">
      <c r="A752" s="38">
        <v>45973</v>
      </c>
      <c r="B752" s="22" t="s">
        <v>17</v>
      </c>
      <c r="C752" s="22" t="s">
        <v>18</v>
      </c>
      <c r="D752" s="23" t="s">
        <v>68</v>
      </c>
      <c r="E752" s="43">
        <v>6</v>
      </c>
      <c r="F752" s="42">
        <v>5010</v>
      </c>
      <c r="G752" s="42">
        <v>3880</v>
      </c>
      <c r="H752" s="42">
        <v>1130</v>
      </c>
      <c r="I752" s="17"/>
      <c r="J752" s="17"/>
      <c r="K752" s="17"/>
      <c r="L752" s="17"/>
      <c r="M752" s="17">
        <v>7000</v>
      </c>
      <c r="N752" s="16"/>
      <c r="O752" s="16"/>
    </row>
    <row r="753" spans="1:15">
      <c r="A753" s="38">
        <v>45974</v>
      </c>
      <c r="B753" s="22" t="s">
        <v>17</v>
      </c>
      <c r="C753" s="22" t="s">
        <v>18</v>
      </c>
      <c r="D753" s="23" t="s">
        <v>283</v>
      </c>
      <c r="E753" s="43">
        <v>6</v>
      </c>
      <c r="F753" s="42">
        <v>4910</v>
      </c>
      <c r="G753" s="42">
        <v>4000</v>
      </c>
      <c r="H753" s="42">
        <v>910</v>
      </c>
      <c r="I753" s="17"/>
      <c r="J753" s="17"/>
      <c r="K753" s="17">
        <v>71000</v>
      </c>
      <c r="L753" s="17"/>
      <c r="M753" s="17">
        <v>7000</v>
      </c>
      <c r="N753" s="16"/>
      <c r="O753" s="16"/>
    </row>
    <row r="754" spans="1:15">
      <c r="A754" s="38">
        <v>45974</v>
      </c>
      <c r="B754" s="22" t="s">
        <v>17</v>
      </c>
      <c r="C754" s="22" t="s">
        <v>18</v>
      </c>
      <c r="D754" s="23" t="s">
        <v>68</v>
      </c>
      <c r="E754" s="43">
        <v>6</v>
      </c>
      <c r="F754" s="42">
        <v>4730</v>
      </c>
      <c r="G754" s="42">
        <v>3930</v>
      </c>
      <c r="H754" s="42">
        <v>800</v>
      </c>
      <c r="I754" s="17"/>
      <c r="J754" s="17"/>
      <c r="K754" s="17"/>
      <c r="L754" s="17"/>
      <c r="M754" s="17">
        <v>7000</v>
      </c>
      <c r="N754" s="16"/>
      <c r="O754" s="16"/>
    </row>
    <row r="755" spans="1:15">
      <c r="A755" s="38">
        <v>45975</v>
      </c>
      <c r="B755" s="22" t="s">
        <v>17</v>
      </c>
      <c r="C755" s="22" t="s">
        <v>18</v>
      </c>
      <c r="D755" s="23" t="s">
        <v>304</v>
      </c>
      <c r="E755" s="43">
        <v>6</v>
      </c>
      <c r="F755" s="42">
        <v>5180</v>
      </c>
      <c r="G755" s="42">
        <v>3890</v>
      </c>
      <c r="H755" s="42">
        <v>1290</v>
      </c>
      <c r="I755" s="17"/>
      <c r="J755" s="17"/>
      <c r="K755" s="17">
        <v>42500</v>
      </c>
      <c r="L755" s="17"/>
      <c r="M755" s="17">
        <v>4000</v>
      </c>
      <c r="N755" s="16"/>
      <c r="O755" s="16"/>
    </row>
    <row r="756" spans="1:15">
      <c r="A756" s="38">
        <v>45976</v>
      </c>
      <c r="B756" s="22" t="s">
        <v>17</v>
      </c>
      <c r="C756" s="22" t="s">
        <v>18</v>
      </c>
      <c r="D756" s="23" t="s">
        <v>68</v>
      </c>
      <c r="E756" s="43">
        <v>6</v>
      </c>
      <c r="F756" s="42">
        <v>4460</v>
      </c>
      <c r="G756" s="42">
        <v>3870</v>
      </c>
      <c r="H756" s="42">
        <v>590</v>
      </c>
      <c r="I756" s="17"/>
      <c r="J756" s="17"/>
      <c r="K756" s="17">
        <v>53000</v>
      </c>
      <c r="L756" s="17"/>
      <c r="M756" s="17">
        <v>7000</v>
      </c>
      <c r="N756" s="16"/>
      <c r="O756" s="16"/>
    </row>
    <row r="757" spans="1:15">
      <c r="A757" s="38">
        <v>45976</v>
      </c>
      <c r="B757" s="22" t="s">
        <v>17</v>
      </c>
      <c r="C757" s="22" t="s">
        <v>18</v>
      </c>
      <c r="D757" s="23" t="s">
        <v>284</v>
      </c>
      <c r="E757" s="43">
        <v>6</v>
      </c>
      <c r="F757" s="42">
        <v>5080</v>
      </c>
      <c r="G757" s="42">
        <v>3920</v>
      </c>
      <c r="H757" s="42">
        <v>1160</v>
      </c>
      <c r="I757" s="17"/>
      <c r="J757" s="17"/>
      <c r="K757" s="17"/>
      <c r="L757" s="17"/>
      <c r="M757" s="17">
        <v>7000</v>
      </c>
      <c r="N757" s="16"/>
      <c r="O757" s="16"/>
    </row>
    <row r="758" spans="1:15">
      <c r="A758" s="38">
        <v>45977</v>
      </c>
      <c r="B758" s="22" t="s">
        <v>17</v>
      </c>
      <c r="C758" s="22" t="s">
        <v>18</v>
      </c>
      <c r="D758" s="23" t="s">
        <v>284</v>
      </c>
      <c r="E758" s="43">
        <v>6</v>
      </c>
      <c r="F758" s="42">
        <v>4280</v>
      </c>
      <c r="G758" s="42">
        <v>3830</v>
      </c>
      <c r="H758" s="42">
        <v>450</v>
      </c>
      <c r="I758" s="17"/>
      <c r="J758" s="17"/>
      <c r="K758" s="17">
        <v>16000</v>
      </c>
      <c r="L758" s="17"/>
      <c r="M758" s="17">
        <v>7000</v>
      </c>
      <c r="N758" s="16"/>
      <c r="O758" s="16"/>
    </row>
    <row r="759" spans="1:15">
      <c r="A759" s="38">
        <v>45977</v>
      </c>
      <c r="B759" s="22" t="s">
        <v>17</v>
      </c>
      <c r="C759" s="22" t="s">
        <v>18</v>
      </c>
      <c r="D759" s="23" t="s">
        <v>284</v>
      </c>
      <c r="E759" s="43">
        <v>6</v>
      </c>
      <c r="F759" s="42">
        <v>4480</v>
      </c>
      <c r="G759" s="42">
        <v>3790</v>
      </c>
      <c r="H759" s="42">
        <v>690</v>
      </c>
      <c r="I759" s="17"/>
      <c r="J759" s="17"/>
      <c r="K759" s="17"/>
      <c r="L759" s="17"/>
      <c r="M759" s="17">
        <v>7000</v>
      </c>
      <c r="N759" s="16"/>
      <c r="O759" s="16"/>
    </row>
    <row r="760" spans="1:15">
      <c r="A760" s="38"/>
      <c r="B760" s="22"/>
      <c r="C760" s="22"/>
      <c r="D760" s="23"/>
      <c r="E760" s="43"/>
      <c r="F760" s="42"/>
      <c r="G760" s="42"/>
      <c r="H760" s="42"/>
      <c r="I760" s="17"/>
      <c r="J760" s="17"/>
      <c r="K760" s="17"/>
      <c r="L760" s="17"/>
      <c r="M760" s="17"/>
      <c r="N760" s="16"/>
      <c r="O760" s="16"/>
    </row>
    <row r="761" spans="1:15">
      <c r="A761" s="38">
        <v>45978</v>
      </c>
      <c r="B761" s="22"/>
      <c r="C761" s="22"/>
      <c r="D761" s="23"/>
      <c r="E761" s="43"/>
      <c r="F761" s="42"/>
      <c r="G761" s="42"/>
      <c r="H761" s="42"/>
      <c r="I761" s="17">
        <v>1000000</v>
      </c>
      <c r="J761" s="17">
        <v>0</v>
      </c>
      <c r="K761" s="17">
        <v>361000</v>
      </c>
      <c r="L761" s="17">
        <v>0</v>
      </c>
      <c r="M761" s="17">
        <v>78000</v>
      </c>
      <c r="N761" s="16" t="s">
        <v>312</v>
      </c>
      <c r="O761" s="16" t="s">
        <v>313</v>
      </c>
    </row>
    <row r="762" spans="1:15">
      <c r="A762" s="38">
        <v>45978</v>
      </c>
      <c r="B762" s="22" t="s">
        <v>17</v>
      </c>
      <c r="C762" s="22" t="s">
        <v>18</v>
      </c>
      <c r="D762" s="23" t="s">
        <v>304</v>
      </c>
      <c r="E762" s="43">
        <v>6</v>
      </c>
      <c r="F762" s="42">
        <v>4310</v>
      </c>
      <c r="G762" s="42">
        <v>3800</v>
      </c>
      <c r="H762" s="42">
        <v>510</v>
      </c>
      <c r="I762" s="17"/>
      <c r="J762" s="17"/>
      <c r="K762" s="17">
        <v>79500</v>
      </c>
      <c r="L762" s="17"/>
      <c r="M762" s="17">
        <v>7000</v>
      </c>
      <c r="N762" s="16"/>
      <c r="O762" s="16"/>
    </row>
    <row r="763" spans="1:15">
      <c r="A763" s="38">
        <v>45978</v>
      </c>
      <c r="B763" s="22" t="s">
        <v>17</v>
      </c>
      <c r="C763" s="22" t="s">
        <v>18</v>
      </c>
      <c r="D763" s="23" t="s">
        <v>68</v>
      </c>
      <c r="E763" s="43">
        <v>6</v>
      </c>
      <c r="F763" s="42">
        <v>4400</v>
      </c>
      <c r="G763" s="42">
        <v>3800</v>
      </c>
      <c r="H763" s="42">
        <v>600</v>
      </c>
      <c r="I763" s="17"/>
      <c r="J763" s="17"/>
      <c r="K763" s="17"/>
      <c r="L763" s="17"/>
      <c r="M763" s="17">
        <v>7000</v>
      </c>
      <c r="N763" s="16"/>
      <c r="O763" s="16"/>
    </row>
    <row r="764" spans="1:15">
      <c r="A764" s="38">
        <v>45979</v>
      </c>
      <c r="B764" s="22" t="s">
        <v>17</v>
      </c>
      <c r="C764" s="22" t="s">
        <v>18</v>
      </c>
      <c r="D764" s="23" t="s">
        <v>197</v>
      </c>
      <c r="E764" s="43">
        <v>6</v>
      </c>
      <c r="F764" s="42">
        <v>5510</v>
      </c>
      <c r="G764" s="42">
        <v>3770</v>
      </c>
      <c r="H764" s="42">
        <v>1740</v>
      </c>
      <c r="I764" s="17"/>
      <c r="J764" s="17"/>
      <c r="K764" s="17">
        <v>42500</v>
      </c>
      <c r="L764" s="17"/>
      <c r="M764" s="17">
        <v>4000</v>
      </c>
      <c r="N764" s="16"/>
      <c r="O764" s="16"/>
    </row>
    <row r="765" spans="1:15">
      <c r="A765" s="38">
        <v>45979</v>
      </c>
      <c r="B765" s="22" t="s">
        <v>17</v>
      </c>
      <c r="C765" s="22" t="s">
        <v>18</v>
      </c>
      <c r="D765" s="23" t="s">
        <v>52</v>
      </c>
      <c r="E765" s="43">
        <v>6</v>
      </c>
      <c r="F765" s="42">
        <v>4250</v>
      </c>
      <c r="G765" s="42">
        <v>3760</v>
      </c>
      <c r="H765" s="42">
        <v>490</v>
      </c>
      <c r="I765" s="17"/>
      <c r="J765" s="17"/>
      <c r="K765" s="17"/>
      <c r="L765" s="17"/>
      <c r="M765" s="17">
        <v>7000</v>
      </c>
      <c r="N765" s="16"/>
      <c r="O765" s="16"/>
    </row>
    <row r="766" spans="1:15">
      <c r="A766" s="38">
        <v>45980</v>
      </c>
      <c r="B766" s="22" t="s">
        <v>17</v>
      </c>
      <c r="C766" s="22" t="s">
        <v>18</v>
      </c>
      <c r="D766" s="23" t="s">
        <v>304</v>
      </c>
      <c r="E766" s="43">
        <v>6</v>
      </c>
      <c r="F766" s="42">
        <v>5300</v>
      </c>
      <c r="G766" s="42">
        <v>3660</v>
      </c>
      <c r="H766" s="42">
        <v>1640</v>
      </c>
      <c r="I766" s="17"/>
      <c r="J766" s="17"/>
      <c r="K766" s="17">
        <v>85000</v>
      </c>
      <c r="L766" s="17"/>
      <c r="M766" s="17">
        <v>4000</v>
      </c>
      <c r="N766" s="16"/>
      <c r="O766" s="16"/>
    </row>
    <row r="767" spans="1:15">
      <c r="A767" s="38">
        <v>45980</v>
      </c>
      <c r="B767" s="22" t="s">
        <v>17</v>
      </c>
      <c r="C767" s="22" t="s">
        <v>18</v>
      </c>
      <c r="D767" s="23" t="s">
        <v>68</v>
      </c>
      <c r="E767" s="43">
        <v>6</v>
      </c>
      <c r="F767" s="42">
        <v>5600</v>
      </c>
      <c r="G767" s="42">
        <v>3850</v>
      </c>
      <c r="H767" s="42">
        <v>1750</v>
      </c>
      <c r="I767" s="17"/>
      <c r="J767" s="17"/>
      <c r="K767" s="17"/>
      <c r="L767" s="17"/>
      <c r="M767" s="17">
        <v>7000</v>
      </c>
      <c r="N767" s="16"/>
      <c r="O767" s="16"/>
    </row>
    <row r="768" spans="1:15">
      <c r="A768" s="38">
        <v>45981</v>
      </c>
      <c r="B768" s="22" t="s">
        <v>17</v>
      </c>
      <c r="C768" s="22" t="s">
        <v>18</v>
      </c>
      <c r="D768" s="23" t="s">
        <v>304</v>
      </c>
      <c r="E768" s="43">
        <v>6</v>
      </c>
      <c r="F768" s="42">
        <v>5280</v>
      </c>
      <c r="G768" s="42">
        <v>3820</v>
      </c>
      <c r="H768" s="42">
        <v>1460</v>
      </c>
      <c r="I768" s="17"/>
      <c r="J768" s="17"/>
      <c r="K768" s="17">
        <v>69000</v>
      </c>
      <c r="L768" s="17"/>
      <c r="M768" s="17">
        <v>7000</v>
      </c>
      <c r="N768" s="16"/>
      <c r="O768" s="16"/>
    </row>
    <row r="769" spans="1:15">
      <c r="A769" s="38">
        <v>45981</v>
      </c>
      <c r="B769" s="22" t="s">
        <v>17</v>
      </c>
      <c r="C769" s="22" t="s">
        <v>18</v>
      </c>
      <c r="D769" s="23" t="s">
        <v>68</v>
      </c>
      <c r="E769" s="43">
        <v>6</v>
      </c>
      <c r="F769" s="42">
        <v>4790</v>
      </c>
      <c r="G769" s="42">
        <v>3770</v>
      </c>
      <c r="H769" s="42">
        <v>1020</v>
      </c>
      <c r="I769" s="17"/>
      <c r="J769" s="17"/>
      <c r="K769" s="17"/>
      <c r="L769" s="17"/>
      <c r="M769" s="17">
        <v>7000</v>
      </c>
      <c r="N769" s="16"/>
      <c r="O769" s="16"/>
    </row>
    <row r="770" spans="1:15">
      <c r="A770" s="38">
        <v>45982</v>
      </c>
      <c r="B770" s="22" t="s">
        <v>17</v>
      </c>
      <c r="C770" s="22" t="s">
        <v>18</v>
      </c>
      <c r="D770" s="23" t="s">
        <v>304</v>
      </c>
      <c r="E770" s="43">
        <v>6</v>
      </c>
      <c r="F770" s="42">
        <v>4980</v>
      </c>
      <c r="G770" s="42">
        <v>3800</v>
      </c>
      <c r="H770" s="42">
        <v>1180</v>
      </c>
      <c r="I770" s="17"/>
      <c r="J770" s="17"/>
      <c r="K770" s="17">
        <v>85000</v>
      </c>
      <c r="L770" s="17"/>
      <c r="M770" s="17">
        <v>7000</v>
      </c>
      <c r="N770" s="16"/>
      <c r="O770" s="16"/>
    </row>
    <row r="771" spans="1:15">
      <c r="A771" s="38">
        <v>45982</v>
      </c>
      <c r="B771" s="22" t="s">
        <v>17</v>
      </c>
      <c r="C771" s="22" t="s">
        <v>18</v>
      </c>
      <c r="D771" s="23" t="s">
        <v>68</v>
      </c>
      <c r="E771" s="43">
        <v>6</v>
      </c>
      <c r="F771" s="42">
        <v>4410</v>
      </c>
      <c r="G771" s="42">
        <v>3900</v>
      </c>
      <c r="H771" s="42">
        <v>510</v>
      </c>
      <c r="I771" s="17"/>
      <c r="J771" s="17"/>
      <c r="K771" s="17"/>
      <c r="L771" s="17"/>
      <c r="M771" s="17">
        <v>7000</v>
      </c>
      <c r="N771" s="16"/>
      <c r="O771" s="16"/>
    </row>
    <row r="772" spans="1:15">
      <c r="A772" s="38">
        <v>45984</v>
      </c>
      <c r="B772" s="22" t="s">
        <v>17</v>
      </c>
      <c r="C772" s="22" t="s">
        <v>18</v>
      </c>
      <c r="D772" s="23" t="s">
        <v>284</v>
      </c>
      <c r="E772" s="43">
        <v>6</v>
      </c>
      <c r="F772" s="42">
        <v>4750</v>
      </c>
      <c r="G772" s="42">
        <v>3850</v>
      </c>
      <c r="H772" s="42">
        <v>900</v>
      </c>
      <c r="I772" s="17"/>
      <c r="J772" s="17"/>
      <c r="K772" s="17"/>
      <c r="L772" s="17"/>
      <c r="M772" s="17">
        <v>7000</v>
      </c>
      <c r="N772" s="16"/>
      <c r="O772" s="16"/>
    </row>
    <row r="773" spans="1:15">
      <c r="A773" s="38">
        <v>45984</v>
      </c>
      <c r="B773" s="22" t="s">
        <v>17</v>
      </c>
      <c r="C773" s="22" t="s">
        <v>18</v>
      </c>
      <c r="D773" s="23" t="s">
        <v>284</v>
      </c>
      <c r="E773" s="43">
        <v>6</v>
      </c>
      <c r="F773" s="42">
        <v>4520</v>
      </c>
      <c r="G773" s="42">
        <v>3850</v>
      </c>
      <c r="H773" s="42">
        <v>670</v>
      </c>
      <c r="I773" s="17"/>
      <c r="J773" s="17"/>
      <c r="K773" s="17"/>
      <c r="L773" s="17"/>
      <c r="M773" s="17">
        <v>7000</v>
      </c>
      <c r="N773" s="16"/>
      <c r="O773" s="16"/>
    </row>
    <row r="774" spans="1:15">
      <c r="A774" s="38"/>
      <c r="B774" s="22"/>
      <c r="C774" s="22"/>
      <c r="D774" s="23"/>
      <c r="E774" s="43"/>
      <c r="F774" s="42"/>
      <c r="G774" s="42"/>
      <c r="H774" s="42"/>
      <c r="I774" s="17"/>
      <c r="J774" s="17"/>
      <c r="K774" s="17"/>
      <c r="L774" s="17"/>
      <c r="M774" s="17"/>
      <c r="N774" s="16"/>
      <c r="O774" s="16"/>
    </row>
    <row r="775" spans="1:15">
      <c r="A775" s="38">
        <v>45985</v>
      </c>
      <c r="B775" s="22"/>
      <c r="C775" s="22"/>
      <c r="D775" s="23"/>
      <c r="E775" s="43"/>
      <c r="F775" s="42"/>
      <c r="G775" s="42"/>
      <c r="H775" s="42"/>
      <c r="I775" s="17">
        <v>1000000</v>
      </c>
      <c r="J775" s="17">
        <v>0</v>
      </c>
      <c r="K775" s="17">
        <v>460500</v>
      </c>
      <c r="L775" s="17">
        <v>0</v>
      </c>
      <c r="M775" s="17">
        <v>88000</v>
      </c>
      <c r="N775" s="16" t="s">
        <v>314</v>
      </c>
      <c r="O775" s="16" t="s">
        <v>315</v>
      </c>
    </row>
    <row r="776" spans="1:15">
      <c r="A776" s="38">
        <v>45985</v>
      </c>
      <c r="B776" s="22" t="s">
        <v>316</v>
      </c>
      <c r="C776" s="22" t="s">
        <v>18</v>
      </c>
      <c r="D776" s="23" t="s">
        <v>304</v>
      </c>
      <c r="E776" s="43">
        <v>6</v>
      </c>
      <c r="F776" s="42">
        <v>5010</v>
      </c>
      <c r="G776" s="42">
        <v>3990</v>
      </c>
      <c r="H776" s="42">
        <v>1020</v>
      </c>
      <c r="I776" s="17"/>
      <c r="J776" s="17"/>
      <c r="K776" s="17">
        <v>78000</v>
      </c>
      <c r="L776" s="17"/>
      <c r="M776" s="17">
        <v>7000</v>
      </c>
      <c r="N776" s="16"/>
      <c r="O776" s="16"/>
    </row>
    <row r="777" spans="1:15">
      <c r="A777" s="38">
        <v>45985</v>
      </c>
      <c r="B777" s="22" t="s">
        <v>316</v>
      </c>
      <c r="C777" s="22" t="s">
        <v>18</v>
      </c>
      <c r="D777" s="23" t="s">
        <v>68</v>
      </c>
      <c r="E777" s="43">
        <v>6</v>
      </c>
      <c r="F777" s="42">
        <v>5240</v>
      </c>
      <c r="G777" s="42">
        <v>3930</v>
      </c>
      <c r="H777" s="42">
        <v>1310</v>
      </c>
      <c r="I777" s="17"/>
      <c r="J777" s="17"/>
      <c r="K777" s="17"/>
      <c r="L777" s="17"/>
      <c r="M777" s="17">
        <v>7000</v>
      </c>
      <c r="N777" s="16"/>
      <c r="O777" s="16"/>
    </row>
    <row r="778" spans="1:15">
      <c r="A778" s="38">
        <v>45986</v>
      </c>
      <c r="B778" s="22" t="s">
        <v>316</v>
      </c>
      <c r="C778" s="22" t="s">
        <v>18</v>
      </c>
      <c r="D778" s="23" t="s">
        <v>68</v>
      </c>
      <c r="E778" s="43">
        <v>6</v>
      </c>
      <c r="F778" s="42">
        <v>5040</v>
      </c>
      <c r="G778" s="42">
        <v>3930</v>
      </c>
      <c r="H778" s="42">
        <v>1110</v>
      </c>
      <c r="I778" s="17"/>
      <c r="J778" s="17"/>
      <c r="K778" s="17">
        <v>42500</v>
      </c>
      <c r="L778" s="17"/>
      <c r="M778" s="17">
        <v>7000</v>
      </c>
      <c r="N778" s="16"/>
      <c r="O778" s="16"/>
    </row>
    <row r="779" spans="1:15">
      <c r="A779" s="38">
        <v>45986</v>
      </c>
      <c r="B779" s="22" t="s">
        <v>316</v>
      </c>
      <c r="C779" s="22" t="s">
        <v>18</v>
      </c>
      <c r="D779" s="23" t="s">
        <v>52</v>
      </c>
      <c r="E779" s="43">
        <v>6</v>
      </c>
      <c r="F779" s="42">
        <v>4720</v>
      </c>
      <c r="G779" s="42">
        <v>3870</v>
      </c>
      <c r="H779" s="42">
        <v>850</v>
      </c>
      <c r="I779" s="17"/>
      <c r="J779" s="17"/>
      <c r="K779" s="17"/>
      <c r="L779" s="17"/>
      <c r="M779" s="17">
        <v>7000</v>
      </c>
      <c r="N779" s="16"/>
      <c r="O779" s="16"/>
    </row>
    <row r="780" spans="1:15">
      <c r="A780" s="38">
        <v>45987</v>
      </c>
      <c r="B780" s="22" t="s">
        <v>316</v>
      </c>
      <c r="C780" s="22" t="s">
        <v>18</v>
      </c>
      <c r="D780" s="23" t="s">
        <v>283</v>
      </c>
      <c r="E780" s="43">
        <v>6</v>
      </c>
      <c r="F780" s="42">
        <v>4930</v>
      </c>
      <c r="G780" s="42">
        <v>3810</v>
      </c>
      <c r="H780" s="42">
        <v>1120</v>
      </c>
      <c r="I780" s="17"/>
      <c r="J780" s="17"/>
      <c r="K780" s="17">
        <v>85000</v>
      </c>
      <c r="L780" s="17"/>
      <c r="M780" s="17">
        <v>7000</v>
      </c>
      <c r="N780" s="16"/>
      <c r="O780" s="16"/>
    </row>
    <row r="781" spans="1:15">
      <c r="A781" s="38">
        <v>45987</v>
      </c>
      <c r="B781" s="22" t="s">
        <v>316</v>
      </c>
      <c r="C781" s="22" t="s">
        <v>18</v>
      </c>
      <c r="D781" s="23" t="s">
        <v>68</v>
      </c>
      <c r="E781" s="43">
        <v>6</v>
      </c>
      <c r="F781" s="42">
        <v>4980</v>
      </c>
      <c r="G781" s="42">
        <v>3820</v>
      </c>
      <c r="H781" s="42">
        <v>1160</v>
      </c>
      <c r="I781" s="17"/>
      <c r="J781" s="17"/>
      <c r="K781" s="17"/>
      <c r="L781" s="17"/>
      <c r="M781" s="17">
        <v>7000</v>
      </c>
      <c r="N781" s="16"/>
      <c r="O781" s="16"/>
    </row>
    <row r="782" spans="1:15">
      <c r="A782" s="38">
        <v>45988</v>
      </c>
      <c r="B782" s="22" t="s">
        <v>316</v>
      </c>
      <c r="C782" s="22" t="s">
        <v>18</v>
      </c>
      <c r="D782" s="23" t="s">
        <v>304</v>
      </c>
      <c r="E782" s="43">
        <v>6</v>
      </c>
      <c r="F782" s="42">
        <v>5190</v>
      </c>
      <c r="G782" s="42">
        <v>3910</v>
      </c>
      <c r="H782" s="42">
        <v>1280</v>
      </c>
      <c r="I782" s="17"/>
      <c r="J782" s="17"/>
      <c r="K782" s="17">
        <v>69000</v>
      </c>
      <c r="L782" s="17"/>
      <c r="M782" s="17">
        <v>7000</v>
      </c>
      <c r="N782" s="16"/>
      <c r="O782" s="16"/>
    </row>
    <row r="783" spans="1:15">
      <c r="A783" s="38">
        <v>45988</v>
      </c>
      <c r="B783" s="22" t="s">
        <v>316</v>
      </c>
      <c r="C783" s="22" t="s">
        <v>18</v>
      </c>
      <c r="D783" s="23" t="s">
        <v>68</v>
      </c>
      <c r="E783" s="43">
        <v>6</v>
      </c>
      <c r="F783" s="42">
        <v>4950</v>
      </c>
      <c r="G783" s="42">
        <v>3780</v>
      </c>
      <c r="H783" s="42">
        <v>1170</v>
      </c>
      <c r="I783" s="17"/>
      <c r="J783" s="17"/>
      <c r="K783" s="17"/>
      <c r="L783" s="17"/>
      <c r="M783" s="17">
        <v>7000</v>
      </c>
      <c r="N783" s="16"/>
      <c r="O783" s="16"/>
    </row>
    <row r="784" spans="1:15">
      <c r="A784" s="38">
        <v>45989</v>
      </c>
      <c r="B784" s="22" t="s">
        <v>316</v>
      </c>
      <c r="C784" s="22" t="s">
        <v>18</v>
      </c>
      <c r="D784" s="23" t="s">
        <v>197</v>
      </c>
      <c r="E784" s="43">
        <v>6</v>
      </c>
      <c r="F784" s="42">
        <v>5960</v>
      </c>
      <c r="G784" s="42">
        <v>3920</v>
      </c>
      <c r="H784" s="42">
        <v>2040</v>
      </c>
      <c r="I784" s="17"/>
      <c r="J784" s="17"/>
      <c r="K784" s="17">
        <v>85000</v>
      </c>
      <c r="L784" s="17"/>
      <c r="M784" s="17">
        <v>4000</v>
      </c>
      <c r="N784" s="16"/>
      <c r="O784" s="16"/>
    </row>
    <row r="785" spans="1:15">
      <c r="A785" s="38">
        <v>45989</v>
      </c>
      <c r="B785" s="22" t="s">
        <v>316</v>
      </c>
      <c r="C785" s="22" t="s">
        <v>18</v>
      </c>
      <c r="D785" s="23" t="s">
        <v>68</v>
      </c>
      <c r="E785" s="43">
        <v>6</v>
      </c>
      <c r="F785" s="42">
        <v>4860</v>
      </c>
      <c r="G785" s="42">
        <v>3900</v>
      </c>
      <c r="H785" s="42">
        <v>960</v>
      </c>
      <c r="I785" s="17"/>
      <c r="J785" s="17"/>
      <c r="K785" s="17"/>
      <c r="L785" s="17"/>
      <c r="M785" s="17">
        <v>7000</v>
      </c>
      <c r="N785" s="16"/>
      <c r="O785" s="16"/>
    </row>
    <row r="786" spans="1:15">
      <c r="A786" s="38">
        <v>45990</v>
      </c>
      <c r="B786" s="22" t="s">
        <v>316</v>
      </c>
      <c r="C786" s="22" t="s">
        <v>18</v>
      </c>
      <c r="D786" s="23" t="s">
        <v>304</v>
      </c>
      <c r="E786" s="43">
        <v>6</v>
      </c>
      <c r="F786" s="42">
        <v>5080</v>
      </c>
      <c r="G786" s="42">
        <v>3910</v>
      </c>
      <c r="H786" s="42">
        <v>1170</v>
      </c>
      <c r="I786" s="17"/>
      <c r="J786" s="17"/>
      <c r="K786" s="17">
        <v>85000</v>
      </c>
      <c r="L786" s="17"/>
      <c r="M786" s="17">
        <v>7000</v>
      </c>
      <c r="N786" s="16"/>
      <c r="O786" s="16"/>
    </row>
    <row r="787" spans="1:15">
      <c r="A787" s="38">
        <v>45990</v>
      </c>
      <c r="B787" s="22" t="s">
        <v>316</v>
      </c>
      <c r="C787" s="22" t="s">
        <v>18</v>
      </c>
      <c r="D787" s="23" t="s">
        <v>68</v>
      </c>
      <c r="E787" s="43">
        <v>6</v>
      </c>
      <c r="F787" s="42">
        <v>5430</v>
      </c>
      <c r="G787" s="42">
        <v>3900</v>
      </c>
      <c r="H787" s="42">
        <v>1530</v>
      </c>
      <c r="I787" s="17"/>
      <c r="J787" s="17"/>
      <c r="K787" s="17"/>
      <c r="L787" s="17"/>
      <c r="M787" s="17">
        <v>7000</v>
      </c>
      <c r="N787" s="16"/>
      <c r="O787" s="16"/>
    </row>
    <row r="788" spans="1:15">
      <c r="A788" s="38">
        <v>45991</v>
      </c>
      <c r="B788" s="22" t="s">
        <v>316</v>
      </c>
      <c r="C788" s="22" t="s">
        <v>18</v>
      </c>
      <c r="D788" s="23" t="s">
        <v>284</v>
      </c>
      <c r="E788" s="43">
        <v>6</v>
      </c>
      <c r="F788" s="42">
        <v>4230</v>
      </c>
      <c r="G788" s="42">
        <v>3860</v>
      </c>
      <c r="H788" s="42">
        <v>370</v>
      </c>
      <c r="I788" s="17"/>
      <c r="J788" s="17"/>
      <c r="K788" s="17">
        <v>16000</v>
      </c>
      <c r="L788" s="17"/>
      <c r="M788" s="17">
        <v>7000</v>
      </c>
      <c r="N788" s="16"/>
      <c r="O788" s="16"/>
    </row>
    <row r="789" spans="1:15">
      <c r="A789" s="38"/>
      <c r="B789" s="22"/>
      <c r="C789" s="22"/>
      <c r="D789" s="23"/>
      <c r="E789" s="43"/>
      <c r="F789" s="42"/>
      <c r="G789" s="42"/>
      <c r="H789" s="42"/>
      <c r="I789" s="17"/>
      <c r="J789" s="17"/>
      <c r="K789" s="17"/>
      <c r="L789" s="17"/>
      <c r="M789" s="17"/>
      <c r="N789" s="16"/>
      <c r="O789" s="16"/>
    </row>
    <row r="790" spans="1:15">
      <c r="A790" s="38">
        <v>45998</v>
      </c>
      <c r="B790" s="22"/>
      <c r="C790" s="22"/>
      <c r="D790" s="23"/>
      <c r="E790" s="43"/>
      <c r="F790" s="42"/>
      <c r="G790" s="42"/>
      <c r="H790" s="42"/>
      <c r="I790" s="17">
        <v>1000000</v>
      </c>
      <c r="J790" s="17">
        <v>0</v>
      </c>
      <c r="K790" s="17">
        <v>428500</v>
      </c>
      <c r="L790" s="17">
        <v>60000</v>
      </c>
      <c r="M790" s="17">
        <v>98000</v>
      </c>
      <c r="N790" s="16" t="s">
        <v>317</v>
      </c>
      <c r="O790" s="16" t="s">
        <v>318</v>
      </c>
    </row>
    <row r="791" spans="1:15">
      <c r="A791" s="38">
        <v>45992</v>
      </c>
      <c r="B791" s="22" t="s">
        <v>316</v>
      </c>
      <c r="C791" s="22" t="s">
        <v>18</v>
      </c>
      <c r="D791" s="23" t="s">
        <v>304</v>
      </c>
      <c r="E791" s="43">
        <v>6</v>
      </c>
      <c r="F791" s="42">
        <v>5130</v>
      </c>
      <c r="G791" s="42">
        <v>3790</v>
      </c>
      <c r="H791" s="42">
        <v>1340</v>
      </c>
      <c r="I791" s="17"/>
      <c r="J791" s="17"/>
      <c r="K791" s="17">
        <v>85000</v>
      </c>
      <c r="L791" s="17"/>
      <c r="M791" s="17">
        <v>7000</v>
      </c>
      <c r="N791" s="16"/>
      <c r="O791" s="16"/>
    </row>
    <row r="792" spans="1:15">
      <c r="A792" s="38">
        <v>45992</v>
      </c>
      <c r="B792" s="22" t="s">
        <v>316</v>
      </c>
      <c r="C792" s="22" t="s">
        <v>18</v>
      </c>
      <c r="D792" s="23" t="s">
        <v>68</v>
      </c>
      <c r="E792" s="43">
        <v>6</v>
      </c>
      <c r="F792" s="42">
        <v>4880</v>
      </c>
      <c r="G792" s="42">
        <v>3880</v>
      </c>
      <c r="H792" s="42">
        <v>1000</v>
      </c>
      <c r="I792" s="17"/>
      <c r="J792" s="17"/>
      <c r="K792" s="17"/>
      <c r="L792" s="17"/>
      <c r="M792" s="17">
        <v>7000</v>
      </c>
      <c r="N792" s="16"/>
      <c r="O792" s="16"/>
    </row>
    <row r="793" spans="1:15">
      <c r="A793" s="38">
        <v>45993</v>
      </c>
      <c r="B793" s="22" t="s">
        <v>316</v>
      </c>
      <c r="C793" s="22" t="s">
        <v>18</v>
      </c>
      <c r="D793" s="23" t="s">
        <v>197</v>
      </c>
      <c r="E793" s="43">
        <v>6</v>
      </c>
      <c r="F793" s="42">
        <v>5660</v>
      </c>
      <c r="G793" s="42">
        <v>3950</v>
      </c>
      <c r="H793" s="42">
        <v>1710</v>
      </c>
      <c r="I793" s="17"/>
      <c r="J793" s="17"/>
      <c r="K793" s="17">
        <v>35500</v>
      </c>
      <c r="L793" s="17"/>
      <c r="M793" s="17">
        <v>7000</v>
      </c>
      <c r="N793" s="16"/>
      <c r="O793" s="16"/>
    </row>
    <row r="794" spans="1:15">
      <c r="A794" s="38">
        <v>45993</v>
      </c>
      <c r="B794" s="22" t="s">
        <v>316</v>
      </c>
      <c r="C794" s="22" t="s">
        <v>18</v>
      </c>
      <c r="D794" s="23" t="s">
        <v>52</v>
      </c>
      <c r="E794" s="43">
        <v>6</v>
      </c>
      <c r="F794" s="42">
        <v>4350</v>
      </c>
      <c r="G794" s="42">
        <v>3870</v>
      </c>
      <c r="H794" s="42">
        <v>480</v>
      </c>
      <c r="I794" s="17"/>
      <c r="J794" s="17"/>
      <c r="K794" s="17"/>
      <c r="L794" s="17"/>
      <c r="M794" s="17">
        <v>7000</v>
      </c>
      <c r="N794" s="16"/>
      <c r="O794" s="16"/>
    </row>
    <row r="795" spans="1:15">
      <c r="A795" s="38">
        <v>45994</v>
      </c>
      <c r="B795" s="22" t="s">
        <v>316</v>
      </c>
      <c r="C795" s="22" t="s">
        <v>18</v>
      </c>
      <c r="D795" s="23" t="s">
        <v>304</v>
      </c>
      <c r="E795" s="43">
        <v>6</v>
      </c>
      <c r="F795" s="42">
        <v>5110</v>
      </c>
      <c r="G795" s="42">
        <v>3880</v>
      </c>
      <c r="H795" s="42">
        <v>1230</v>
      </c>
      <c r="I795" s="17"/>
      <c r="J795" s="17"/>
      <c r="K795" s="17">
        <v>95500</v>
      </c>
      <c r="L795" s="17">
        <v>60000</v>
      </c>
      <c r="M795" s="17">
        <v>7000</v>
      </c>
      <c r="N795" s="16"/>
      <c r="O795" s="16"/>
    </row>
    <row r="796" spans="1:15">
      <c r="A796" s="38">
        <v>45994</v>
      </c>
      <c r="B796" s="22" t="s">
        <v>316</v>
      </c>
      <c r="C796" s="22" t="s">
        <v>18</v>
      </c>
      <c r="D796" s="23" t="s">
        <v>68</v>
      </c>
      <c r="E796" s="43">
        <v>6</v>
      </c>
      <c r="F796" s="42">
        <v>5100</v>
      </c>
      <c r="G796" s="42">
        <v>3900</v>
      </c>
      <c r="H796" s="42">
        <v>1200</v>
      </c>
      <c r="I796" s="17"/>
      <c r="J796" s="17"/>
      <c r="K796" s="17"/>
      <c r="L796" s="17"/>
      <c r="M796" s="17">
        <v>7000</v>
      </c>
      <c r="N796" s="16"/>
      <c r="O796" s="16"/>
    </row>
    <row r="797" spans="1:15">
      <c r="A797" s="38">
        <v>45995</v>
      </c>
      <c r="B797" s="22" t="s">
        <v>316</v>
      </c>
      <c r="C797" s="22" t="s">
        <v>18</v>
      </c>
      <c r="D797" s="23" t="s">
        <v>304</v>
      </c>
      <c r="E797" s="43">
        <v>6</v>
      </c>
      <c r="F797" s="42">
        <v>4520</v>
      </c>
      <c r="G797" s="42">
        <v>3810</v>
      </c>
      <c r="H797" s="42">
        <v>710</v>
      </c>
      <c r="I797" s="17"/>
      <c r="J797" s="17"/>
      <c r="K797" s="17">
        <v>85000</v>
      </c>
      <c r="L797" s="17"/>
      <c r="M797" s="17">
        <v>7000</v>
      </c>
      <c r="N797" s="16"/>
      <c r="O797" s="16"/>
    </row>
    <row r="798" spans="1:15">
      <c r="A798" s="38">
        <v>45995</v>
      </c>
      <c r="B798" s="22" t="s">
        <v>316</v>
      </c>
      <c r="C798" s="22" t="s">
        <v>18</v>
      </c>
      <c r="D798" s="23" t="s">
        <v>68</v>
      </c>
      <c r="E798" s="43">
        <v>6</v>
      </c>
      <c r="F798" s="42">
        <v>5100</v>
      </c>
      <c r="G798" s="42">
        <v>3790</v>
      </c>
      <c r="H798" s="42">
        <v>1310</v>
      </c>
      <c r="I798" s="17"/>
      <c r="J798" s="17"/>
      <c r="K798" s="17"/>
      <c r="L798" s="17"/>
      <c r="M798" s="17">
        <v>7000</v>
      </c>
      <c r="N798" s="16"/>
      <c r="O798" s="16"/>
    </row>
    <row r="799" spans="1:15">
      <c r="A799" s="38">
        <v>45996</v>
      </c>
      <c r="B799" s="22" t="s">
        <v>316</v>
      </c>
      <c r="C799" s="22" t="s">
        <v>18</v>
      </c>
      <c r="D799" s="23" t="s">
        <v>68</v>
      </c>
      <c r="E799" s="43">
        <v>6</v>
      </c>
      <c r="F799" s="42">
        <v>4790</v>
      </c>
      <c r="G799" s="42">
        <v>3880</v>
      </c>
      <c r="H799" s="42">
        <v>910</v>
      </c>
      <c r="I799" s="17"/>
      <c r="J799" s="17"/>
      <c r="K799" s="17">
        <v>69000</v>
      </c>
      <c r="L799" s="17"/>
      <c r="M799" s="17">
        <v>7000</v>
      </c>
      <c r="N799" s="16"/>
      <c r="O799" s="16"/>
    </row>
    <row r="800" spans="1:15">
      <c r="A800" s="38">
        <v>45996</v>
      </c>
      <c r="B800" s="22" t="s">
        <v>316</v>
      </c>
      <c r="C800" s="22" t="s">
        <v>18</v>
      </c>
      <c r="D800" s="23" t="s">
        <v>68</v>
      </c>
      <c r="E800" s="43">
        <v>6</v>
      </c>
      <c r="F800" s="42">
        <v>4820</v>
      </c>
      <c r="G800" s="42">
        <v>3830</v>
      </c>
      <c r="H800" s="42">
        <v>990</v>
      </c>
      <c r="I800" s="17"/>
      <c r="J800" s="17"/>
      <c r="K800" s="17"/>
      <c r="L800" s="17"/>
      <c r="M800" s="17">
        <v>7000</v>
      </c>
      <c r="N800" s="16"/>
      <c r="O800" s="16"/>
    </row>
    <row r="801" spans="1:15">
      <c r="A801" s="38">
        <v>45997</v>
      </c>
      <c r="B801" s="22" t="s">
        <v>316</v>
      </c>
      <c r="C801" s="22" t="s">
        <v>18</v>
      </c>
      <c r="D801" s="23" t="s">
        <v>283</v>
      </c>
      <c r="E801" s="43">
        <v>6</v>
      </c>
      <c r="F801" s="42">
        <v>4250</v>
      </c>
      <c r="G801" s="42">
        <v>3820</v>
      </c>
      <c r="H801" s="42">
        <v>430</v>
      </c>
      <c r="I801" s="17"/>
      <c r="J801" s="17"/>
      <c r="K801" s="17">
        <v>42500</v>
      </c>
      <c r="L801" s="17"/>
      <c r="M801" s="17">
        <v>7000</v>
      </c>
      <c r="N801" s="16"/>
      <c r="O801" s="16"/>
    </row>
    <row r="802" spans="1:15">
      <c r="A802" s="38">
        <v>45997</v>
      </c>
      <c r="B802" s="22" t="s">
        <v>316</v>
      </c>
      <c r="C802" s="22" t="s">
        <v>18</v>
      </c>
      <c r="D802" s="23" t="s">
        <v>284</v>
      </c>
      <c r="E802" s="43">
        <v>6</v>
      </c>
      <c r="F802" s="42">
        <v>4690</v>
      </c>
      <c r="G802" s="42">
        <v>3920</v>
      </c>
      <c r="H802" s="42">
        <v>770</v>
      </c>
      <c r="I802" s="17"/>
      <c r="J802" s="17"/>
      <c r="K802" s="17"/>
      <c r="L802" s="17"/>
      <c r="M802" s="17">
        <v>7000</v>
      </c>
      <c r="N802" s="16"/>
      <c r="O802" s="16"/>
    </row>
    <row r="803" spans="1:15">
      <c r="A803" s="38">
        <v>45998</v>
      </c>
      <c r="B803" s="22" t="s">
        <v>316</v>
      </c>
      <c r="C803" s="22" t="s">
        <v>18</v>
      </c>
      <c r="D803" s="23" t="s">
        <v>284</v>
      </c>
      <c r="E803" s="43">
        <v>6</v>
      </c>
      <c r="F803" s="42">
        <v>4650</v>
      </c>
      <c r="G803" s="42">
        <v>3880</v>
      </c>
      <c r="H803" s="42">
        <v>770</v>
      </c>
      <c r="I803" s="17"/>
      <c r="J803" s="17"/>
      <c r="K803" s="17">
        <v>16000</v>
      </c>
      <c r="L803" s="17"/>
      <c r="M803" s="17">
        <v>7000</v>
      </c>
      <c r="N803" s="16"/>
      <c r="O803" s="16"/>
    </row>
    <row r="804" spans="1:15">
      <c r="A804" s="38">
        <v>45998</v>
      </c>
      <c r="B804" s="22" t="s">
        <v>316</v>
      </c>
      <c r="C804" s="22" t="s">
        <v>18</v>
      </c>
      <c r="D804" s="23" t="s">
        <v>284</v>
      </c>
      <c r="E804" s="43">
        <v>6</v>
      </c>
      <c r="F804" s="42">
        <v>4580</v>
      </c>
      <c r="G804" s="42">
        <v>3810</v>
      </c>
      <c r="H804" s="42">
        <v>770</v>
      </c>
      <c r="I804" s="17"/>
      <c r="J804" s="17"/>
      <c r="K804" s="17"/>
      <c r="L804" s="17"/>
      <c r="M804" s="17">
        <v>7000</v>
      </c>
      <c r="N804" s="16"/>
      <c r="O804" s="16"/>
    </row>
    <row r="805" spans="1:15">
      <c r="A805" s="38"/>
      <c r="B805" s="22"/>
      <c r="C805" s="22"/>
      <c r="D805" s="23"/>
      <c r="E805" s="43"/>
      <c r="F805" s="42"/>
      <c r="G805" s="42"/>
      <c r="H805" s="42"/>
      <c r="I805" s="17"/>
      <c r="J805" s="17"/>
      <c r="K805" s="17"/>
      <c r="L805" s="17"/>
      <c r="M805" s="17"/>
      <c r="N805" s="16"/>
      <c r="O805" s="16"/>
    </row>
    <row r="806" spans="1:15">
      <c r="A806" s="38">
        <v>46004</v>
      </c>
      <c r="B806" s="22"/>
      <c r="C806" s="22"/>
      <c r="D806" s="23"/>
      <c r="E806" s="43"/>
      <c r="F806" s="42"/>
      <c r="G806" s="42"/>
      <c r="H806" s="42"/>
      <c r="I806" s="17">
        <v>1000000</v>
      </c>
      <c r="J806" s="17">
        <v>0</v>
      </c>
      <c r="K806" s="17">
        <v>414000</v>
      </c>
      <c r="L806" s="17">
        <v>135000</v>
      </c>
      <c r="M806" s="17">
        <v>81000</v>
      </c>
      <c r="N806" s="16" t="s">
        <v>319</v>
      </c>
      <c r="O806" s="16" t="s">
        <v>320</v>
      </c>
    </row>
    <row r="807" spans="1:15">
      <c r="A807" s="38">
        <v>45999</v>
      </c>
      <c r="B807" s="22" t="s">
        <v>316</v>
      </c>
      <c r="C807" s="22" t="s">
        <v>18</v>
      </c>
      <c r="D807" s="23" t="s">
        <v>304</v>
      </c>
      <c r="E807" s="43">
        <v>6</v>
      </c>
      <c r="F807" s="42">
        <v>4520</v>
      </c>
      <c r="G807" s="42">
        <v>3780</v>
      </c>
      <c r="H807" s="42">
        <v>740</v>
      </c>
      <c r="I807" s="17"/>
      <c r="J807" s="17"/>
      <c r="K807" s="17">
        <v>85000</v>
      </c>
      <c r="L807" s="17"/>
      <c r="M807" s="17">
        <v>7000</v>
      </c>
      <c r="N807" s="16"/>
      <c r="O807" s="16"/>
    </row>
    <row r="808" spans="1:15">
      <c r="A808" s="38">
        <v>45999</v>
      </c>
      <c r="B808" s="22" t="s">
        <v>316</v>
      </c>
      <c r="C808" s="22" t="s">
        <v>18</v>
      </c>
      <c r="D808" s="23" t="s">
        <v>68</v>
      </c>
      <c r="E808" s="43">
        <v>6</v>
      </c>
      <c r="F808" s="42">
        <v>5290</v>
      </c>
      <c r="G808" s="42">
        <v>3800</v>
      </c>
      <c r="H808" s="42">
        <v>1490</v>
      </c>
      <c r="I808" s="17"/>
      <c r="J808" s="17"/>
      <c r="K808" s="17"/>
      <c r="L808" s="17"/>
      <c r="M808" s="17">
        <v>7000</v>
      </c>
      <c r="N808" s="16"/>
      <c r="O808" s="16"/>
    </row>
    <row r="809" spans="1:15">
      <c r="A809" s="38">
        <v>46000</v>
      </c>
      <c r="B809" s="22" t="s">
        <v>316</v>
      </c>
      <c r="C809" s="22" t="s">
        <v>18</v>
      </c>
      <c r="D809" s="23" t="s">
        <v>197</v>
      </c>
      <c r="E809" s="43">
        <v>6</v>
      </c>
      <c r="F809" s="42">
        <v>5470</v>
      </c>
      <c r="G809" s="42">
        <v>3820</v>
      </c>
      <c r="H809" s="42">
        <v>1650</v>
      </c>
      <c r="I809" s="17"/>
      <c r="J809" s="17"/>
      <c r="K809" s="17">
        <v>69000</v>
      </c>
      <c r="L809" s="17"/>
      <c r="M809" s="17">
        <v>7000</v>
      </c>
      <c r="N809" s="16"/>
      <c r="O809" s="16"/>
    </row>
    <row r="810" spans="1:15">
      <c r="A810" s="38">
        <v>46000</v>
      </c>
      <c r="B810" s="22" t="s">
        <v>316</v>
      </c>
      <c r="C810" s="22" t="s">
        <v>18</v>
      </c>
      <c r="D810" s="23" t="s">
        <v>68</v>
      </c>
      <c r="E810" s="43">
        <v>6</v>
      </c>
      <c r="F810" s="42">
        <v>5600</v>
      </c>
      <c r="G810" s="42">
        <v>3770</v>
      </c>
      <c r="H810" s="42">
        <v>1830</v>
      </c>
      <c r="I810" s="17"/>
      <c r="J810" s="17"/>
      <c r="K810" s="17"/>
      <c r="L810" s="17"/>
      <c r="M810" s="17">
        <v>7000</v>
      </c>
      <c r="N810" s="16"/>
      <c r="O810" s="16"/>
    </row>
    <row r="811" spans="1:15">
      <c r="A811" s="38">
        <v>46001</v>
      </c>
      <c r="B811" s="22" t="s">
        <v>316</v>
      </c>
      <c r="C811" s="22" t="s">
        <v>18</v>
      </c>
      <c r="D811" s="23" t="s">
        <v>304</v>
      </c>
      <c r="E811" s="43">
        <v>6</v>
      </c>
      <c r="F811" s="42">
        <v>4720</v>
      </c>
      <c r="G811" s="42">
        <v>3900</v>
      </c>
      <c r="H811" s="42">
        <v>820</v>
      </c>
      <c r="I811" s="17"/>
      <c r="J811" s="17"/>
      <c r="K811" s="17">
        <v>42500</v>
      </c>
      <c r="L811" s="17"/>
      <c r="M811" s="17">
        <v>4000</v>
      </c>
      <c r="N811" s="16"/>
      <c r="O811" s="16"/>
    </row>
    <row r="812" spans="1:15">
      <c r="A812" s="38">
        <v>46001</v>
      </c>
      <c r="B812" s="22" t="s">
        <v>316</v>
      </c>
      <c r="C812" s="22" t="s">
        <v>18</v>
      </c>
      <c r="D812" s="23" t="s">
        <v>134</v>
      </c>
      <c r="E812" s="43">
        <v>6</v>
      </c>
      <c r="F812" s="42">
        <v>4970</v>
      </c>
      <c r="G812" s="42">
        <v>3840</v>
      </c>
      <c r="H812" s="42">
        <v>1130</v>
      </c>
      <c r="I812" s="17"/>
      <c r="J812" s="17"/>
      <c r="K812" s="17"/>
      <c r="L812" s="17"/>
      <c r="M812" s="17">
        <v>7000</v>
      </c>
      <c r="N812" s="16"/>
      <c r="O812" s="16"/>
    </row>
    <row r="813" spans="1:15">
      <c r="A813" s="38">
        <v>46002</v>
      </c>
      <c r="B813" s="22" t="s">
        <v>316</v>
      </c>
      <c r="C813" s="22" t="s">
        <v>18</v>
      </c>
      <c r="D813" s="23" t="s">
        <v>68</v>
      </c>
      <c r="E813" s="43">
        <v>6</v>
      </c>
      <c r="F813" s="42">
        <v>4560</v>
      </c>
      <c r="G813" s="42">
        <v>3810</v>
      </c>
      <c r="H813" s="42">
        <v>750</v>
      </c>
      <c r="I813" s="17"/>
      <c r="J813" s="17"/>
      <c r="K813" s="17">
        <v>85000</v>
      </c>
      <c r="L813" s="17"/>
      <c r="M813" s="17">
        <v>7000</v>
      </c>
      <c r="N813" s="16"/>
      <c r="O813" s="16"/>
    </row>
    <row r="814" spans="1:15">
      <c r="A814" s="38">
        <v>46002</v>
      </c>
      <c r="B814" s="22" t="s">
        <v>316</v>
      </c>
      <c r="C814" s="22" t="s">
        <v>18</v>
      </c>
      <c r="D814" s="23" t="s">
        <v>68</v>
      </c>
      <c r="E814" s="43">
        <v>6</v>
      </c>
      <c r="F814" s="42">
        <v>4650</v>
      </c>
      <c r="G814" s="42">
        <v>3910</v>
      </c>
      <c r="H814" s="42">
        <v>740</v>
      </c>
      <c r="I814" s="17"/>
      <c r="J814" s="17"/>
      <c r="K814" s="17"/>
      <c r="L814" s="17"/>
      <c r="M814" s="17">
        <v>7000</v>
      </c>
      <c r="N814" s="16"/>
      <c r="O814" s="16"/>
    </row>
    <row r="815" spans="1:15">
      <c r="A815" s="38">
        <v>46003</v>
      </c>
      <c r="B815" s="22" t="s">
        <v>316</v>
      </c>
      <c r="C815" s="22" t="s">
        <v>18</v>
      </c>
      <c r="D815" s="23" t="s">
        <v>304</v>
      </c>
      <c r="E815" s="43">
        <v>6</v>
      </c>
      <c r="F815" s="42">
        <v>4700</v>
      </c>
      <c r="G815" s="42">
        <v>3830</v>
      </c>
      <c r="H815" s="42">
        <v>870</v>
      </c>
      <c r="I815" s="17"/>
      <c r="J815" s="17"/>
      <c r="K815" s="17">
        <v>53000</v>
      </c>
      <c r="L815" s="17"/>
      <c r="M815" s="17">
        <v>7000</v>
      </c>
      <c r="N815" s="16"/>
      <c r="O815" s="16"/>
    </row>
    <row r="816" spans="1:15">
      <c r="A816" s="38">
        <v>46003</v>
      </c>
      <c r="B816" s="22" t="s">
        <v>316</v>
      </c>
      <c r="C816" s="22" t="s">
        <v>18</v>
      </c>
      <c r="D816" s="23" t="s">
        <v>284</v>
      </c>
      <c r="E816" s="43">
        <v>6</v>
      </c>
      <c r="F816" s="42">
        <v>5120</v>
      </c>
      <c r="G816" s="42">
        <v>3880</v>
      </c>
      <c r="H816" s="42">
        <v>1240</v>
      </c>
      <c r="I816" s="17"/>
      <c r="J816" s="17"/>
      <c r="K816" s="17"/>
      <c r="L816" s="17"/>
      <c r="M816" s="17">
        <v>7000</v>
      </c>
      <c r="N816" s="16"/>
      <c r="O816" s="16"/>
    </row>
    <row r="817" spans="1:15">
      <c r="A817" s="38">
        <v>46004</v>
      </c>
      <c r="B817" s="22" t="s">
        <v>316</v>
      </c>
      <c r="C817" s="22" t="s">
        <v>18</v>
      </c>
      <c r="D817" s="23" t="s">
        <v>304</v>
      </c>
      <c r="E817" s="43">
        <v>6</v>
      </c>
      <c r="F817" s="42">
        <v>4630</v>
      </c>
      <c r="G817" s="42">
        <v>3850</v>
      </c>
      <c r="H817" s="42">
        <v>780</v>
      </c>
      <c r="I817" s="17"/>
      <c r="J817" s="17"/>
      <c r="K817" s="17">
        <v>79500</v>
      </c>
      <c r="L817" s="17">
        <v>135000</v>
      </c>
      <c r="M817" s="17">
        <v>7000</v>
      </c>
      <c r="N817" s="16"/>
      <c r="O817" s="16"/>
    </row>
    <row r="818" spans="1:15">
      <c r="A818" s="38">
        <v>46004</v>
      </c>
      <c r="B818" s="22" t="s">
        <v>316</v>
      </c>
      <c r="C818" s="22" t="s">
        <v>18</v>
      </c>
      <c r="D818" s="23" t="s">
        <v>68</v>
      </c>
      <c r="E818" s="43">
        <v>6</v>
      </c>
      <c r="F818" s="42">
        <v>5230</v>
      </c>
      <c r="G818" s="42">
        <v>3770</v>
      </c>
      <c r="H818" s="42">
        <v>1460</v>
      </c>
      <c r="I818" s="17"/>
      <c r="J818" s="17"/>
      <c r="K818" s="17"/>
      <c r="L818" s="17"/>
      <c r="M818" s="17">
        <v>7000</v>
      </c>
      <c r="N818" s="16"/>
      <c r="O818" s="16"/>
    </row>
    <row r="819" spans="1:15">
      <c r="A819" s="38"/>
      <c r="B819" s="22"/>
      <c r="C819" s="22"/>
      <c r="D819" s="23"/>
      <c r="E819" s="43"/>
      <c r="F819" s="42"/>
      <c r="G819" s="42"/>
      <c r="H819" s="42"/>
      <c r="I819" s="17"/>
      <c r="J819" s="17"/>
      <c r="K819" s="17"/>
      <c r="L819" s="17"/>
      <c r="M819" s="17"/>
      <c r="N819" s="16"/>
      <c r="O819" s="16"/>
    </row>
    <row r="820" spans="1:15">
      <c r="A820" s="38">
        <v>46012</v>
      </c>
      <c r="B820" s="22"/>
      <c r="C820" s="22"/>
      <c r="D820" s="23"/>
      <c r="E820" s="43"/>
      <c r="F820" s="42"/>
      <c r="G820" s="42"/>
      <c r="H820" s="42"/>
      <c r="I820" s="17">
        <v>1000000</v>
      </c>
      <c r="J820" s="17">
        <v>0</v>
      </c>
      <c r="K820" s="17">
        <v>435500</v>
      </c>
      <c r="L820" s="17">
        <v>0</v>
      </c>
      <c r="M820" s="17">
        <v>81000</v>
      </c>
      <c r="N820" s="16" t="s">
        <v>321</v>
      </c>
      <c r="O820" s="16" t="s">
        <v>322</v>
      </c>
    </row>
    <row r="821" spans="1:15">
      <c r="A821" s="38">
        <v>46006</v>
      </c>
      <c r="B821" s="22" t="s">
        <v>316</v>
      </c>
      <c r="C821" s="22" t="s">
        <v>18</v>
      </c>
      <c r="D821" s="23" t="s">
        <v>283</v>
      </c>
      <c r="E821" s="43">
        <v>6</v>
      </c>
      <c r="F821" s="42">
        <v>4760</v>
      </c>
      <c r="G821" s="42">
        <v>3890</v>
      </c>
      <c r="H821" s="42">
        <v>870</v>
      </c>
      <c r="I821" s="17"/>
      <c r="J821" s="17"/>
      <c r="K821" s="17">
        <v>85000</v>
      </c>
      <c r="L821" s="17"/>
      <c r="M821" s="17">
        <v>7000</v>
      </c>
      <c r="N821" s="16"/>
      <c r="O821" s="16"/>
    </row>
    <row r="822" spans="1:15">
      <c r="A822" s="38">
        <v>46006</v>
      </c>
      <c r="B822" s="22" t="s">
        <v>316</v>
      </c>
      <c r="C822" s="22" t="s">
        <v>18</v>
      </c>
      <c r="D822" s="23" t="s">
        <v>68</v>
      </c>
      <c r="E822" s="43">
        <v>6</v>
      </c>
      <c r="F822" s="42">
        <v>5430</v>
      </c>
      <c r="G822" s="42">
        <v>3920</v>
      </c>
      <c r="H822" s="42">
        <v>1510</v>
      </c>
      <c r="I822" s="17"/>
      <c r="J822" s="17"/>
      <c r="K822" s="17"/>
      <c r="L822" s="17"/>
      <c r="M822" s="17">
        <v>7000</v>
      </c>
      <c r="N822" s="16"/>
      <c r="O822" s="16"/>
    </row>
    <row r="823" spans="1:15">
      <c r="A823" s="38">
        <v>46007</v>
      </c>
      <c r="B823" s="22" t="s">
        <v>316</v>
      </c>
      <c r="C823" s="22" t="s">
        <v>18</v>
      </c>
      <c r="D823" s="23" t="s">
        <v>304</v>
      </c>
      <c r="E823" s="43">
        <v>6</v>
      </c>
      <c r="F823" s="42">
        <v>4850</v>
      </c>
      <c r="G823" s="42">
        <v>3820</v>
      </c>
      <c r="H823" s="42">
        <v>1030</v>
      </c>
      <c r="I823" s="17"/>
      <c r="J823" s="17"/>
      <c r="K823" s="17">
        <v>42500</v>
      </c>
      <c r="L823" s="17"/>
      <c r="M823" s="17">
        <v>7000</v>
      </c>
      <c r="N823" s="16"/>
      <c r="O823" s="16"/>
    </row>
    <row r="824" spans="1:15">
      <c r="A824" s="38">
        <v>46007</v>
      </c>
      <c r="B824" s="22" t="s">
        <v>316</v>
      </c>
      <c r="C824" s="22" t="s">
        <v>18</v>
      </c>
      <c r="D824" s="23" t="s">
        <v>134</v>
      </c>
      <c r="E824" s="43">
        <v>6</v>
      </c>
      <c r="F824" s="42">
        <v>4950</v>
      </c>
      <c r="G824" s="42">
        <v>3950</v>
      </c>
      <c r="H824" s="42">
        <v>1000</v>
      </c>
      <c r="I824" s="17"/>
      <c r="J824" s="17"/>
      <c r="K824" s="17"/>
      <c r="L824" s="17"/>
      <c r="M824" s="17">
        <v>7000</v>
      </c>
      <c r="N824" s="16"/>
      <c r="O824" s="16"/>
    </row>
    <row r="825" spans="1:15">
      <c r="A825" s="38">
        <v>46008</v>
      </c>
      <c r="B825" s="22" t="s">
        <v>316</v>
      </c>
      <c r="C825" s="22" t="s">
        <v>18</v>
      </c>
      <c r="D825" s="23" t="s">
        <v>304</v>
      </c>
      <c r="E825" s="43">
        <v>6</v>
      </c>
      <c r="F825" s="42">
        <v>5420</v>
      </c>
      <c r="G825" s="42">
        <v>3900</v>
      </c>
      <c r="H825" s="42">
        <v>1520</v>
      </c>
      <c r="I825" s="17"/>
      <c r="J825" s="17"/>
      <c r="K825" s="17">
        <v>85000</v>
      </c>
      <c r="L825" s="17"/>
      <c r="M825" s="17">
        <v>7000</v>
      </c>
      <c r="N825" s="16"/>
      <c r="O825" s="16"/>
    </row>
    <row r="826" spans="1:15">
      <c r="A826" s="38">
        <v>46008</v>
      </c>
      <c r="B826" s="22" t="s">
        <v>316</v>
      </c>
      <c r="C826" s="22" t="s">
        <v>18</v>
      </c>
      <c r="D826" s="23" t="s">
        <v>68</v>
      </c>
      <c r="E826" s="43">
        <v>6</v>
      </c>
      <c r="F826" s="42">
        <v>5930</v>
      </c>
      <c r="G826" s="42">
        <v>3790</v>
      </c>
      <c r="H826" s="42">
        <v>2140</v>
      </c>
      <c r="I826" s="17"/>
      <c r="J826" s="17"/>
      <c r="K826" s="17"/>
      <c r="L826" s="17"/>
      <c r="M826" s="17">
        <v>7000</v>
      </c>
      <c r="N826" s="16"/>
      <c r="O826" s="16"/>
    </row>
    <row r="827" spans="1:15">
      <c r="A827" s="38">
        <v>46009</v>
      </c>
      <c r="B827" s="22" t="s">
        <v>316</v>
      </c>
      <c r="C827" s="22" t="s">
        <v>18</v>
      </c>
      <c r="D827" s="23" t="s">
        <v>197</v>
      </c>
      <c r="E827" s="43">
        <v>6</v>
      </c>
      <c r="F827" s="42">
        <v>4920</v>
      </c>
      <c r="G827" s="42">
        <v>3950</v>
      </c>
      <c r="H827" s="42">
        <v>970</v>
      </c>
      <c r="I827" s="17"/>
      <c r="J827" s="17"/>
      <c r="K827" s="17">
        <v>69000</v>
      </c>
      <c r="L827" s="17"/>
      <c r="M827" s="17">
        <v>7000</v>
      </c>
      <c r="N827" s="16"/>
      <c r="O827" s="16"/>
    </row>
    <row r="828" spans="1:15">
      <c r="A828" s="38">
        <v>46009</v>
      </c>
      <c r="B828" s="22" t="s">
        <v>316</v>
      </c>
      <c r="C828" s="22" t="s">
        <v>18</v>
      </c>
      <c r="D828" s="23" t="s">
        <v>68</v>
      </c>
      <c r="E828" s="43">
        <v>6</v>
      </c>
      <c r="F828" s="42">
        <v>6330</v>
      </c>
      <c r="G828" s="42">
        <v>3790</v>
      </c>
      <c r="H828" s="42">
        <v>2540</v>
      </c>
      <c r="I828" s="17"/>
      <c r="J828" s="17"/>
      <c r="K828" s="17"/>
      <c r="L828" s="17"/>
      <c r="M828" s="17">
        <v>7000</v>
      </c>
      <c r="N828" s="16"/>
      <c r="O828" s="16"/>
    </row>
    <row r="829" spans="1:15">
      <c r="A829" s="38">
        <v>46010</v>
      </c>
      <c r="B829" s="22" t="s">
        <v>316</v>
      </c>
      <c r="C829" s="22" t="s">
        <v>18</v>
      </c>
      <c r="D829" s="23" t="s">
        <v>304</v>
      </c>
      <c r="E829" s="43">
        <v>6</v>
      </c>
      <c r="F829" s="42">
        <v>5480</v>
      </c>
      <c r="G829" s="42">
        <v>3930</v>
      </c>
      <c r="H829" s="42">
        <v>1550</v>
      </c>
      <c r="I829" s="17"/>
      <c r="J829" s="17"/>
      <c r="K829" s="17">
        <v>85000</v>
      </c>
      <c r="L829" s="17"/>
      <c r="M829" s="17">
        <v>4000</v>
      </c>
      <c r="N829" s="16"/>
      <c r="O829" s="16"/>
    </row>
    <row r="830" spans="1:15">
      <c r="A830" s="38">
        <v>46010</v>
      </c>
      <c r="B830" s="22" t="s">
        <v>316</v>
      </c>
      <c r="C830" s="22" t="s">
        <v>18</v>
      </c>
      <c r="D830" s="23" t="s">
        <v>68</v>
      </c>
      <c r="E830" s="43">
        <v>6</v>
      </c>
      <c r="F830" s="42">
        <v>5160</v>
      </c>
      <c r="G830" s="42">
        <v>3800</v>
      </c>
      <c r="H830" s="42">
        <v>1360</v>
      </c>
      <c r="I830" s="17"/>
      <c r="J830" s="17"/>
      <c r="K830" s="17"/>
      <c r="L830" s="17"/>
      <c r="M830" s="17">
        <v>7000</v>
      </c>
      <c r="N830" s="16"/>
      <c r="O830" s="16"/>
    </row>
    <row r="831" spans="1:15">
      <c r="A831" s="38">
        <v>46011</v>
      </c>
      <c r="B831" s="22" t="s">
        <v>316</v>
      </c>
      <c r="C831" s="22" t="s">
        <v>18</v>
      </c>
      <c r="D831" s="23" t="s">
        <v>304</v>
      </c>
      <c r="E831" s="43">
        <v>6</v>
      </c>
      <c r="F831" s="42">
        <v>4650</v>
      </c>
      <c r="G831" s="42">
        <v>3870</v>
      </c>
      <c r="H831" s="42">
        <v>780</v>
      </c>
      <c r="I831" s="17"/>
      <c r="J831" s="17"/>
      <c r="K831" s="17">
        <v>53000</v>
      </c>
      <c r="L831" s="17"/>
      <c r="M831" s="17">
        <v>7000</v>
      </c>
      <c r="N831" s="16"/>
      <c r="O831" s="16"/>
    </row>
    <row r="832" spans="1:15">
      <c r="A832" s="38">
        <v>46011</v>
      </c>
      <c r="B832" s="22" t="s">
        <v>316</v>
      </c>
      <c r="C832" s="22" t="s">
        <v>18</v>
      </c>
      <c r="D832" s="23" t="s">
        <v>284</v>
      </c>
      <c r="E832" s="43"/>
      <c r="F832" s="42"/>
      <c r="G832" s="42"/>
      <c r="H832" s="42">
        <v>0</v>
      </c>
      <c r="I832" s="17"/>
      <c r="J832" s="17"/>
      <c r="K832" s="17"/>
      <c r="L832" s="17"/>
      <c r="M832" s="17"/>
      <c r="N832" s="16"/>
      <c r="O832" s="16"/>
    </row>
    <row r="833" spans="1:15">
      <c r="A833" s="38">
        <v>46012</v>
      </c>
      <c r="B833" s="22" t="s">
        <v>316</v>
      </c>
      <c r="C833" s="22" t="s">
        <v>18</v>
      </c>
      <c r="D833" s="23" t="s">
        <v>284</v>
      </c>
      <c r="E833" s="43">
        <v>6</v>
      </c>
      <c r="F833" s="42">
        <v>5110</v>
      </c>
      <c r="G833" s="42">
        <v>3900</v>
      </c>
      <c r="H833" s="42">
        <v>1210</v>
      </c>
      <c r="I833" s="17"/>
      <c r="J833" s="17"/>
      <c r="K833" s="17">
        <v>16000</v>
      </c>
      <c r="L833" s="17"/>
      <c r="M833" s="17">
        <v>7000</v>
      </c>
      <c r="N833" s="16"/>
      <c r="O833" s="16"/>
    </row>
    <row r="834" spans="1:15">
      <c r="A834" s="38"/>
      <c r="B834" s="22"/>
      <c r="C834" s="22"/>
      <c r="D834" s="23"/>
      <c r="E834" s="43"/>
      <c r="F834" s="42"/>
      <c r="G834" s="42"/>
      <c r="H834" s="42"/>
      <c r="I834" s="17"/>
      <c r="J834" s="17"/>
      <c r="K834" s="17"/>
      <c r="L834" s="17"/>
      <c r="M834" s="17"/>
      <c r="N834" s="16"/>
      <c r="O834" s="16"/>
    </row>
    <row r="835" spans="1:15">
      <c r="A835" s="38">
        <v>46018</v>
      </c>
      <c r="B835" s="22"/>
      <c r="C835" s="22"/>
      <c r="D835" s="23"/>
      <c r="E835" s="43"/>
      <c r="F835" s="42"/>
      <c r="G835" s="42"/>
      <c r="H835" s="42"/>
      <c r="I835" s="17">
        <v>1000000</v>
      </c>
      <c r="J835" s="17">
        <v>0</v>
      </c>
      <c r="K835" s="17">
        <v>416500</v>
      </c>
      <c r="L835" s="17">
        <v>0</v>
      </c>
      <c r="M835" s="17">
        <v>74000</v>
      </c>
      <c r="N835" s="16" t="s">
        <v>323</v>
      </c>
      <c r="O835" s="16" t="s">
        <v>324</v>
      </c>
    </row>
    <row r="836" spans="1:15">
      <c r="A836" s="38">
        <v>46013</v>
      </c>
      <c r="B836" s="22" t="s">
        <v>316</v>
      </c>
      <c r="C836" s="22" t="s">
        <v>18</v>
      </c>
      <c r="D836" s="23" t="s">
        <v>304</v>
      </c>
      <c r="E836" s="43">
        <v>6</v>
      </c>
      <c r="F836" s="42">
        <v>5300</v>
      </c>
      <c r="G836" s="42">
        <v>3840</v>
      </c>
      <c r="H836" s="42">
        <v>1460</v>
      </c>
      <c r="I836" s="17"/>
      <c r="J836" s="17"/>
      <c r="K836" s="17">
        <v>69000</v>
      </c>
      <c r="L836" s="17"/>
      <c r="M836" s="17">
        <v>7000</v>
      </c>
      <c r="N836" s="16"/>
      <c r="O836" s="16"/>
    </row>
    <row r="837" spans="1:15">
      <c r="A837" s="38">
        <v>46013</v>
      </c>
      <c r="B837" s="22" t="s">
        <v>316</v>
      </c>
      <c r="C837" s="22" t="s">
        <v>18</v>
      </c>
      <c r="D837" s="23" t="s">
        <v>68</v>
      </c>
      <c r="E837" s="43">
        <v>6</v>
      </c>
      <c r="F837" s="42">
        <v>4780</v>
      </c>
      <c r="G837" s="42">
        <v>3870</v>
      </c>
      <c r="H837" s="42">
        <v>910</v>
      </c>
      <c r="I837" s="17"/>
      <c r="J837" s="17"/>
      <c r="K837" s="17"/>
      <c r="L837" s="17"/>
      <c r="M837" s="17">
        <v>7000</v>
      </c>
      <c r="N837" s="16"/>
      <c r="O837" s="16"/>
    </row>
    <row r="838" spans="1:15">
      <c r="A838" s="38">
        <v>46014</v>
      </c>
      <c r="B838" s="22" t="s">
        <v>316</v>
      </c>
      <c r="C838" s="22" t="s">
        <v>18</v>
      </c>
      <c r="D838" s="23" t="s">
        <v>283</v>
      </c>
      <c r="E838" s="43">
        <v>6</v>
      </c>
      <c r="F838" s="42">
        <v>4850</v>
      </c>
      <c r="G838" s="42">
        <v>4250</v>
      </c>
      <c r="H838" s="42">
        <v>600</v>
      </c>
      <c r="I838" s="17"/>
      <c r="J838" s="17"/>
      <c r="K838" s="17">
        <v>85000</v>
      </c>
      <c r="L838" s="17"/>
      <c r="M838" s="17">
        <v>4000</v>
      </c>
      <c r="N838" s="16"/>
      <c r="O838" s="16"/>
    </row>
    <row r="839" spans="1:15">
      <c r="A839" s="38">
        <v>46014</v>
      </c>
      <c r="B839" s="22" t="s">
        <v>316</v>
      </c>
      <c r="C839" s="22" t="s">
        <v>18</v>
      </c>
      <c r="D839" s="23" t="s">
        <v>68</v>
      </c>
      <c r="E839" s="43">
        <v>6</v>
      </c>
      <c r="F839" s="42">
        <v>4420</v>
      </c>
      <c r="G839" s="42">
        <v>3850</v>
      </c>
      <c r="H839" s="42">
        <v>570</v>
      </c>
      <c r="I839" s="17"/>
      <c r="J839" s="17"/>
      <c r="K839" s="17"/>
      <c r="L839" s="17"/>
      <c r="M839" s="17">
        <v>7000</v>
      </c>
      <c r="N839" s="16"/>
      <c r="O839" s="16"/>
    </row>
    <row r="840" spans="1:15">
      <c r="A840" s="38">
        <v>46015</v>
      </c>
      <c r="B840" s="22" t="s">
        <v>316</v>
      </c>
      <c r="C840" s="22" t="s">
        <v>18</v>
      </c>
      <c r="D840" s="23" t="s">
        <v>304</v>
      </c>
      <c r="E840" s="43">
        <v>6</v>
      </c>
      <c r="F840" s="42">
        <v>4760</v>
      </c>
      <c r="G840" s="42">
        <v>3830</v>
      </c>
      <c r="H840" s="42">
        <v>930</v>
      </c>
      <c r="I840" s="17"/>
      <c r="J840" s="17"/>
      <c r="K840" s="17">
        <v>95500</v>
      </c>
      <c r="L840" s="17"/>
      <c r="M840" s="17">
        <v>7000</v>
      </c>
      <c r="N840" s="16"/>
      <c r="O840" s="16"/>
    </row>
    <row r="841" spans="1:15">
      <c r="A841" s="38">
        <v>46015</v>
      </c>
      <c r="B841" s="22" t="s">
        <v>316</v>
      </c>
      <c r="C841" s="22" t="s">
        <v>18</v>
      </c>
      <c r="D841" s="23" t="s">
        <v>68</v>
      </c>
      <c r="E841" s="43">
        <v>6</v>
      </c>
      <c r="F841" s="42">
        <v>4750</v>
      </c>
      <c r="G841" s="42">
        <v>3830</v>
      </c>
      <c r="H841" s="42">
        <v>920</v>
      </c>
      <c r="I841" s="17"/>
      <c r="J841" s="17"/>
      <c r="K841" s="17"/>
      <c r="L841" s="17"/>
      <c r="M841" s="17">
        <v>7000</v>
      </c>
      <c r="N841" s="16"/>
      <c r="O841" s="16"/>
    </row>
    <row r="842" spans="1:15">
      <c r="A842" s="38">
        <v>46016</v>
      </c>
      <c r="B842" s="22" t="s">
        <v>316</v>
      </c>
      <c r="C842" s="22" t="s">
        <v>18</v>
      </c>
      <c r="D842" s="23" t="s">
        <v>52</v>
      </c>
      <c r="E842" s="43">
        <v>6</v>
      </c>
      <c r="F842" s="42">
        <v>4680</v>
      </c>
      <c r="G842" s="42">
        <v>3950</v>
      </c>
      <c r="H842" s="42">
        <v>730</v>
      </c>
      <c r="I842" s="17"/>
      <c r="J842" s="17"/>
      <c r="K842" s="17">
        <v>16000</v>
      </c>
      <c r="L842" s="17"/>
      <c r="M842" s="17">
        <v>7000</v>
      </c>
      <c r="N842" s="16"/>
      <c r="O842" s="16"/>
    </row>
    <row r="843" spans="1:15">
      <c r="A843" s="38">
        <v>46017</v>
      </c>
      <c r="B843" s="22" t="s">
        <v>316</v>
      </c>
      <c r="C843" s="22" t="s">
        <v>18</v>
      </c>
      <c r="D843" s="23" t="s">
        <v>283</v>
      </c>
      <c r="E843" s="43">
        <v>6</v>
      </c>
      <c r="F843" s="42">
        <v>4590</v>
      </c>
      <c r="G843" s="42">
        <v>3900</v>
      </c>
      <c r="H843" s="42">
        <v>690</v>
      </c>
      <c r="I843" s="17"/>
      <c r="J843" s="17"/>
      <c r="K843" s="17">
        <v>69000</v>
      </c>
      <c r="L843" s="17"/>
      <c r="M843" s="17">
        <v>7000</v>
      </c>
      <c r="N843" s="16"/>
      <c r="O843" s="16"/>
    </row>
    <row r="844" spans="1:15">
      <c r="A844" s="38">
        <v>46017</v>
      </c>
      <c r="B844" s="22" t="s">
        <v>316</v>
      </c>
      <c r="C844" s="22" t="s">
        <v>18</v>
      </c>
      <c r="D844" s="23" t="s">
        <v>68</v>
      </c>
      <c r="E844" s="43">
        <v>6</v>
      </c>
      <c r="F844" s="42">
        <v>5160</v>
      </c>
      <c r="G844" s="42">
        <v>3940</v>
      </c>
      <c r="H844" s="42">
        <v>1220</v>
      </c>
      <c r="I844" s="17"/>
      <c r="J844" s="17"/>
      <c r="K844" s="17"/>
      <c r="L844" s="17"/>
      <c r="M844" s="17">
        <v>7000</v>
      </c>
      <c r="N844" s="16"/>
      <c r="O844" s="16"/>
    </row>
    <row r="845" spans="1:15">
      <c r="A845" s="38">
        <v>46018</v>
      </c>
      <c r="B845" s="22" t="s">
        <v>316</v>
      </c>
      <c r="C845" s="22" t="s">
        <v>18</v>
      </c>
      <c r="D845" s="23" t="s">
        <v>304</v>
      </c>
      <c r="E845" s="43">
        <v>6</v>
      </c>
      <c r="F845" s="42">
        <v>5030</v>
      </c>
      <c r="G845" s="42">
        <v>3820</v>
      </c>
      <c r="H845" s="42">
        <v>1210</v>
      </c>
      <c r="I845" s="17"/>
      <c r="J845" s="17"/>
      <c r="K845" s="17">
        <v>82000</v>
      </c>
      <c r="L845" s="17"/>
      <c r="M845" s="17">
        <v>7000</v>
      </c>
      <c r="N845" s="16"/>
      <c r="O845" s="16"/>
    </row>
    <row r="846" spans="1:15">
      <c r="A846" s="38">
        <v>46018</v>
      </c>
      <c r="B846" s="22" t="s">
        <v>316</v>
      </c>
      <c r="C846" s="22" t="s">
        <v>18</v>
      </c>
      <c r="D846" s="23" t="s">
        <v>68</v>
      </c>
      <c r="E846" s="43">
        <v>6</v>
      </c>
      <c r="F846" s="42">
        <v>5150</v>
      </c>
      <c r="G846" s="42">
        <v>3840</v>
      </c>
      <c r="H846" s="42">
        <v>1310</v>
      </c>
      <c r="I846" s="17"/>
      <c r="J846" s="17"/>
      <c r="K846" s="17"/>
      <c r="L846" s="17"/>
      <c r="M846" s="17">
        <v>7000</v>
      </c>
      <c r="N846" s="16"/>
      <c r="O846" s="16"/>
    </row>
    <row r="847" spans="1:15">
      <c r="A847" s="38"/>
      <c r="B847" s="22"/>
      <c r="C847" s="22"/>
      <c r="D847" s="23"/>
      <c r="E847" s="43"/>
      <c r="F847" s="42"/>
      <c r="G847" s="42"/>
      <c r="H847" s="42"/>
      <c r="I847" s="17"/>
      <c r="J847" s="17"/>
      <c r="K847" s="17"/>
      <c r="L847" s="17"/>
      <c r="M847" s="17"/>
      <c r="N847" s="16"/>
      <c r="O847" s="16"/>
    </row>
    <row r="848" spans="1:15">
      <c r="A848" s="38"/>
      <c r="B848" s="22"/>
      <c r="C848" s="22"/>
      <c r="D848" s="23"/>
      <c r="E848" s="43"/>
      <c r="F848" s="42"/>
      <c r="G848" s="42"/>
      <c r="H848" s="42"/>
      <c r="I848" s="17">
        <v>1000000</v>
      </c>
      <c r="J848" s="17">
        <v>0</v>
      </c>
      <c r="K848" s="17">
        <v>441000</v>
      </c>
      <c r="L848" s="17">
        <v>120000</v>
      </c>
      <c r="M848" s="17">
        <v>88000</v>
      </c>
      <c r="N848" s="16" t="s">
        <v>325</v>
      </c>
      <c r="O848" s="16" t="s">
        <v>326</v>
      </c>
    </row>
    <row r="849" spans="1:15">
      <c r="A849" s="38">
        <v>46020</v>
      </c>
      <c r="B849" s="22" t="s">
        <v>316</v>
      </c>
      <c r="C849" s="22" t="s">
        <v>18</v>
      </c>
      <c r="D849" s="23" t="s">
        <v>68</v>
      </c>
      <c r="E849" s="43">
        <v>6</v>
      </c>
      <c r="F849" s="42">
        <v>5070</v>
      </c>
      <c r="G849" s="42">
        <v>3910</v>
      </c>
      <c r="H849" s="42">
        <v>1160</v>
      </c>
      <c r="I849" s="17"/>
      <c r="J849" s="17"/>
      <c r="K849" s="17">
        <v>127500</v>
      </c>
      <c r="L849" s="17"/>
      <c r="M849" s="17">
        <v>7000</v>
      </c>
      <c r="N849" s="16"/>
      <c r="O849" s="16"/>
    </row>
    <row r="850" spans="1:15">
      <c r="A850" s="38">
        <v>46020</v>
      </c>
      <c r="B850" s="22" t="s">
        <v>316</v>
      </c>
      <c r="C850" s="22" t="s">
        <v>18</v>
      </c>
      <c r="D850" s="23" t="s">
        <v>68</v>
      </c>
      <c r="E850" s="43">
        <v>6</v>
      </c>
      <c r="F850" s="42">
        <v>5960</v>
      </c>
      <c r="G850" s="42">
        <v>3910</v>
      </c>
      <c r="H850" s="42">
        <v>2050</v>
      </c>
      <c r="I850" s="17"/>
      <c r="J850" s="17"/>
      <c r="K850" s="17"/>
      <c r="L850" s="17"/>
      <c r="M850" s="17">
        <v>7000</v>
      </c>
      <c r="N850" s="16"/>
      <c r="O850" s="16"/>
    </row>
    <row r="851" spans="1:15">
      <c r="A851" s="38">
        <v>46020</v>
      </c>
      <c r="B851" s="22" t="s">
        <v>316</v>
      </c>
      <c r="C851" s="22" t="s">
        <v>18</v>
      </c>
      <c r="D851" s="23" t="s">
        <v>68</v>
      </c>
      <c r="E851" s="43">
        <v>6</v>
      </c>
      <c r="F851" s="42">
        <v>5040</v>
      </c>
      <c r="G851" s="42">
        <v>3840</v>
      </c>
      <c r="H851" s="42">
        <v>1200</v>
      </c>
      <c r="I851" s="17"/>
      <c r="J851" s="17"/>
      <c r="K851" s="17"/>
      <c r="L851" s="17"/>
      <c r="M851" s="17">
        <v>7000</v>
      </c>
      <c r="N851" s="16"/>
      <c r="O851" s="16"/>
    </row>
    <row r="852" spans="1:15">
      <c r="A852" s="38">
        <v>46021</v>
      </c>
      <c r="B852" s="22" t="s">
        <v>316</v>
      </c>
      <c r="C852" s="22" t="s">
        <v>18</v>
      </c>
      <c r="D852" s="23" t="s">
        <v>197</v>
      </c>
      <c r="E852" s="43">
        <v>6</v>
      </c>
      <c r="F852" s="42">
        <v>5440</v>
      </c>
      <c r="G852" s="42">
        <v>3900</v>
      </c>
      <c r="H852" s="42">
        <v>1540</v>
      </c>
      <c r="I852" s="17"/>
      <c r="J852" s="17"/>
      <c r="K852" s="17">
        <v>69000</v>
      </c>
      <c r="L852" s="17"/>
      <c r="M852" s="17">
        <v>7000</v>
      </c>
      <c r="N852" s="16"/>
      <c r="O852" s="16"/>
    </row>
    <row r="853" spans="1:15">
      <c r="A853" s="38">
        <v>46021</v>
      </c>
      <c r="B853" s="22" t="s">
        <v>316</v>
      </c>
      <c r="C853" s="22" t="s">
        <v>18</v>
      </c>
      <c r="D853" s="23" t="s">
        <v>68</v>
      </c>
      <c r="E853" s="43">
        <v>6</v>
      </c>
      <c r="F853" s="42">
        <v>6090</v>
      </c>
      <c r="G853" s="42">
        <v>3820</v>
      </c>
      <c r="H853" s="42">
        <v>2270</v>
      </c>
      <c r="I853" s="17"/>
      <c r="J853" s="17"/>
      <c r="K853" s="17"/>
      <c r="L853" s="17"/>
      <c r="M853" s="17">
        <v>7000</v>
      </c>
      <c r="N853" s="16"/>
      <c r="O853" s="16"/>
    </row>
    <row r="854" spans="1:15">
      <c r="A854" s="38">
        <v>46022</v>
      </c>
      <c r="B854" s="22" t="s">
        <v>316</v>
      </c>
      <c r="C854" s="22" t="s">
        <v>18</v>
      </c>
      <c r="D854" s="23" t="s">
        <v>304</v>
      </c>
      <c r="E854" s="43">
        <v>6</v>
      </c>
      <c r="F854" s="42">
        <v>5590</v>
      </c>
      <c r="G854" s="42">
        <v>3820</v>
      </c>
      <c r="H854" s="42">
        <v>1770</v>
      </c>
      <c r="I854" s="17"/>
      <c r="J854" s="17"/>
      <c r="K854" s="17">
        <v>85000</v>
      </c>
      <c r="L854" s="17"/>
      <c r="M854" s="17">
        <v>7000</v>
      </c>
      <c r="N854" s="16"/>
      <c r="O854" s="16"/>
    </row>
    <row r="855" spans="1:15">
      <c r="A855" s="38">
        <v>46022</v>
      </c>
      <c r="B855" s="22" t="s">
        <v>316</v>
      </c>
      <c r="C855" s="22" t="s">
        <v>18</v>
      </c>
      <c r="D855" s="23" t="s">
        <v>68</v>
      </c>
      <c r="E855" s="43"/>
      <c r="F855" s="42"/>
      <c r="G855" s="42"/>
      <c r="H855" s="42">
        <v>0</v>
      </c>
      <c r="I855" s="17"/>
      <c r="J855" s="17"/>
      <c r="K855" s="17"/>
      <c r="L855" s="17"/>
      <c r="M855" s="17">
        <v>7000</v>
      </c>
      <c r="N855" s="16"/>
      <c r="O855" s="16"/>
    </row>
    <row r="856" spans="1:15">
      <c r="A856" s="38">
        <v>46023</v>
      </c>
      <c r="B856" s="22" t="s">
        <v>316</v>
      </c>
      <c r="C856" s="22" t="s">
        <v>18</v>
      </c>
      <c r="D856" s="23" t="s">
        <v>284</v>
      </c>
      <c r="E856" s="43">
        <v>6</v>
      </c>
      <c r="F856" s="42">
        <v>5240</v>
      </c>
      <c r="G856" s="42">
        <v>3840</v>
      </c>
      <c r="H856" s="42">
        <v>1400</v>
      </c>
      <c r="I856" s="17"/>
      <c r="J856" s="17"/>
      <c r="K856" s="17">
        <v>16000</v>
      </c>
      <c r="L856" s="17">
        <v>120000</v>
      </c>
      <c r="M856" s="17">
        <v>7000</v>
      </c>
      <c r="N856" s="16"/>
      <c r="O856" s="16"/>
    </row>
    <row r="857" spans="1:15">
      <c r="A857" s="38">
        <v>46024</v>
      </c>
      <c r="B857" s="22" t="s">
        <v>316</v>
      </c>
      <c r="C857" s="22" t="s">
        <v>18</v>
      </c>
      <c r="D857" s="23" t="s">
        <v>68</v>
      </c>
      <c r="E857" s="43">
        <v>6</v>
      </c>
      <c r="F857" s="42">
        <v>5600</v>
      </c>
      <c r="G857" s="42">
        <v>3680</v>
      </c>
      <c r="H857" s="42">
        <v>1920</v>
      </c>
      <c r="I857" s="17"/>
      <c r="J857" s="17"/>
      <c r="K857" s="17">
        <v>42500</v>
      </c>
      <c r="L857" s="17"/>
      <c r="M857" s="17">
        <v>7000</v>
      </c>
      <c r="N857" s="16"/>
      <c r="O857" s="16"/>
    </row>
    <row r="858" spans="1:15">
      <c r="A858" s="38">
        <v>46024</v>
      </c>
      <c r="B858" s="22" t="s">
        <v>316</v>
      </c>
      <c r="C858" s="22" t="s">
        <v>18</v>
      </c>
      <c r="D858" s="23" t="s">
        <v>52</v>
      </c>
      <c r="E858" s="43">
        <v>6</v>
      </c>
      <c r="F858" s="42">
        <v>5420</v>
      </c>
      <c r="G858" s="42">
        <v>3900</v>
      </c>
      <c r="H858" s="42">
        <v>1520</v>
      </c>
      <c r="I858" s="17"/>
      <c r="J858" s="17"/>
      <c r="K858" s="17"/>
      <c r="L858" s="17"/>
      <c r="M858" s="17">
        <v>7000</v>
      </c>
      <c r="N858" s="16"/>
      <c r="O858" s="16"/>
    </row>
    <row r="859" spans="1:15">
      <c r="A859" s="38">
        <v>46025</v>
      </c>
      <c r="B859" s="22" t="s">
        <v>316</v>
      </c>
      <c r="C859" s="22" t="s">
        <v>18</v>
      </c>
      <c r="D859" s="23" t="s">
        <v>304</v>
      </c>
      <c r="E859" s="43">
        <v>6</v>
      </c>
      <c r="F859" s="42">
        <v>4640</v>
      </c>
      <c r="G859" s="42">
        <v>3810</v>
      </c>
      <c r="H859" s="42">
        <v>830</v>
      </c>
      <c r="I859" s="17"/>
      <c r="J859" s="17"/>
      <c r="K859" s="17">
        <v>85000</v>
      </c>
      <c r="L859" s="17"/>
      <c r="M859" s="17">
        <v>4000</v>
      </c>
      <c r="N859" s="16"/>
      <c r="O859" s="16"/>
    </row>
    <row r="860" spans="1:15">
      <c r="A860" s="38">
        <v>46025</v>
      </c>
      <c r="B860" s="22" t="s">
        <v>316</v>
      </c>
      <c r="C860" s="22" t="s">
        <v>18</v>
      </c>
      <c r="D860" s="23" t="s">
        <v>68</v>
      </c>
      <c r="E860" s="43">
        <v>6</v>
      </c>
      <c r="F860" s="42">
        <v>5240</v>
      </c>
      <c r="G860" s="42">
        <v>3910</v>
      </c>
      <c r="H860" s="42">
        <v>1330</v>
      </c>
      <c r="I860" s="17"/>
      <c r="J860" s="17"/>
      <c r="K860" s="17"/>
      <c r="L860" s="17"/>
      <c r="M860" s="17">
        <v>7000</v>
      </c>
      <c r="N860" s="16"/>
      <c r="O860" s="16"/>
    </row>
    <row r="861" spans="1:15">
      <c r="A861" s="38">
        <v>46026</v>
      </c>
      <c r="B861" s="22" t="s">
        <v>316</v>
      </c>
      <c r="C861" s="22" t="s">
        <v>18</v>
      </c>
      <c r="D861" s="23" t="s">
        <v>284</v>
      </c>
      <c r="E861" s="43">
        <v>6</v>
      </c>
      <c r="F861" s="42">
        <v>4930</v>
      </c>
      <c r="G861" s="42">
        <v>3880</v>
      </c>
      <c r="H861" s="42">
        <v>1050</v>
      </c>
      <c r="I861" s="17"/>
      <c r="J861" s="17"/>
      <c r="K861" s="17">
        <v>16000</v>
      </c>
      <c r="L861" s="17"/>
      <c r="M861" s="17">
        <v>7000</v>
      </c>
      <c r="N861" s="16"/>
      <c r="O861" s="16"/>
    </row>
  </sheetData>
  <dataValidations count="3">
    <dataValidation type="list" sqref="D596:D610" xr:uid="{7B2D4D69-B8E5-4215-A8B0-F08AA7A806F1}">
      <formula1>"Depo Yonif,Depo Japfa,Depo T. Langon 5,Depo T. Bayur,BKA,Depo 4"</formula1>
    </dataValidation>
    <dataValidation type="list" sqref="D611:D624" xr:uid="{C68DEE30-A0D1-4BA4-A2A5-0327E46AE579}">
      <formula1>"Depo Yonif,Depo Japfa,Depo T. Langon 5 (MBB),Depo T. Bayur,BKA,Depo 4"</formula1>
    </dataValidation>
    <dataValidation type="list" sqref="D625:D861" xr:uid="{28F403F5-3CB3-4116-89E0-8821F678D547}">
      <formula1>"Depo Yonif,Depo Japfa,Depo T. Langon,Depo T. Langon 5 (MBB),Depo T. Bayur,BKA,Depo 4,Karet 71"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B849-5214-4CB9-8F8B-1E36E6183F57}">
  <dimension ref="A1:O32"/>
  <sheetViews>
    <sheetView workbookViewId="0">
      <selection activeCell="E14" sqref="E14"/>
    </sheetView>
  </sheetViews>
  <sheetFormatPr defaultColWidth="12.140625" defaultRowHeight="12"/>
  <cols>
    <col min="1" max="12" width="12.140625" style="7" customWidth="1"/>
    <col min="13" max="13" width="14.5703125" style="7" customWidth="1"/>
    <col min="14" max="14" width="12.140625" style="7" customWidth="1"/>
    <col min="15" max="16384" width="12.140625" style="7"/>
  </cols>
  <sheetData>
    <row r="1" spans="1:15" ht="24">
      <c r="A1" s="45" t="s">
        <v>327</v>
      </c>
      <c r="B1" s="45" t="s">
        <v>328</v>
      </c>
      <c r="C1" s="45" t="s">
        <v>329</v>
      </c>
      <c r="D1" s="45"/>
      <c r="E1" s="46" t="s">
        <v>330</v>
      </c>
      <c r="F1" s="45" t="s">
        <v>331</v>
      </c>
      <c r="G1" s="45" t="s">
        <v>332</v>
      </c>
      <c r="H1" s="45" t="s">
        <v>333</v>
      </c>
      <c r="I1" s="47" t="s">
        <v>334</v>
      </c>
      <c r="J1" s="48" t="s">
        <v>335</v>
      </c>
      <c r="K1" s="48" t="s">
        <v>336</v>
      </c>
      <c r="L1" s="48" t="s">
        <v>337</v>
      </c>
      <c r="M1" s="48" t="s">
        <v>338</v>
      </c>
      <c r="N1" s="48" t="s">
        <v>339</v>
      </c>
      <c r="O1" s="45" t="s">
        <v>340</v>
      </c>
    </row>
    <row r="2" spans="1:15">
      <c r="A2" s="49">
        <v>237</v>
      </c>
      <c r="B2" s="50">
        <v>9</v>
      </c>
      <c r="C2" s="50">
        <v>1</v>
      </c>
      <c r="D2" s="49" t="s">
        <v>341</v>
      </c>
      <c r="E2" s="51">
        <v>45903.745868055557</v>
      </c>
      <c r="F2" s="52" t="s">
        <v>342</v>
      </c>
      <c r="G2" s="11" t="s">
        <v>342</v>
      </c>
      <c r="H2" s="53" t="s">
        <v>343</v>
      </c>
      <c r="I2" s="54">
        <v>60</v>
      </c>
      <c r="J2" s="55">
        <v>6800</v>
      </c>
      <c r="K2" s="55">
        <v>408000</v>
      </c>
      <c r="L2" s="12">
        <v>196959</v>
      </c>
      <c r="M2" s="56">
        <v>196557</v>
      </c>
      <c r="N2" s="11" t="s">
        <v>344</v>
      </c>
      <c r="O2" s="50" t="s">
        <v>345</v>
      </c>
    </row>
    <row r="3" spans="1:15">
      <c r="A3" s="49">
        <v>264</v>
      </c>
      <c r="B3" s="50">
        <v>9</v>
      </c>
      <c r="C3" s="50">
        <v>1</v>
      </c>
      <c r="D3" s="49" t="s">
        <v>341</v>
      </c>
      <c r="E3" s="51">
        <v>45909.449201388888</v>
      </c>
      <c r="F3" s="52" t="s">
        <v>342</v>
      </c>
      <c r="G3" s="11" t="s">
        <v>342</v>
      </c>
      <c r="H3" s="53" t="s">
        <v>343</v>
      </c>
      <c r="I3" s="54">
        <v>60</v>
      </c>
      <c r="J3" s="55">
        <v>6800</v>
      </c>
      <c r="K3" s="55">
        <v>408000</v>
      </c>
      <c r="L3" s="12">
        <v>97301</v>
      </c>
      <c r="M3" s="56">
        <v>196959</v>
      </c>
      <c r="N3" s="11" t="s">
        <v>344</v>
      </c>
      <c r="O3" s="50" t="s">
        <v>345</v>
      </c>
    </row>
    <row r="4" spans="1:15">
      <c r="A4" s="49">
        <v>289</v>
      </c>
      <c r="B4" s="50">
        <v>9</v>
      </c>
      <c r="C4" s="50">
        <v>1</v>
      </c>
      <c r="D4" s="49" t="s">
        <v>341</v>
      </c>
      <c r="E4" s="51">
        <v>45913.430567129632</v>
      </c>
      <c r="F4" s="52" t="s">
        <v>342</v>
      </c>
      <c r="G4" s="11" t="s">
        <v>342</v>
      </c>
      <c r="H4" s="53" t="s">
        <v>343</v>
      </c>
      <c r="I4" s="54">
        <v>60</v>
      </c>
      <c r="J4" s="55">
        <v>6800</v>
      </c>
      <c r="K4" s="55">
        <v>408000</v>
      </c>
      <c r="L4" s="12">
        <v>197706</v>
      </c>
      <c r="M4" s="56">
        <v>97301</v>
      </c>
      <c r="N4" s="11" t="s">
        <v>344</v>
      </c>
      <c r="O4" s="50" t="s">
        <v>345</v>
      </c>
    </row>
    <row r="5" spans="1:15">
      <c r="A5" s="49">
        <v>32</v>
      </c>
      <c r="B5" s="50">
        <v>9</v>
      </c>
      <c r="C5" s="50">
        <v>2</v>
      </c>
      <c r="D5" s="49" t="s">
        <v>346</v>
      </c>
      <c r="E5" s="51">
        <v>45917</v>
      </c>
      <c r="F5" s="52" t="s">
        <v>342</v>
      </c>
      <c r="G5" s="11" t="s">
        <v>342</v>
      </c>
      <c r="H5" s="53" t="s">
        <v>343</v>
      </c>
      <c r="I5" s="54">
        <v>33.729999999999997</v>
      </c>
      <c r="J5" s="55">
        <v>6800</v>
      </c>
      <c r="K5" s="55">
        <v>229364</v>
      </c>
      <c r="L5" s="12">
        <v>143661</v>
      </c>
      <c r="M5" s="56">
        <v>197706</v>
      </c>
      <c r="N5" s="11" t="s">
        <v>347</v>
      </c>
      <c r="O5" s="50" t="s">
        <v>348</v>
      </c>
    </row>
    <row r="6" spans="1:15">
      <c r="A6" s="49">
        <v>169</v>
      </c>
      <c r="B6" s="50">
        <v>10</v>
      </c>
      <c r="C6" s="50">
        <v>1</v>
      </c>
      <c r="D6" s="49" t="s">
        <v>349</v>
      </c>
      <c r="E6" s="51">
        <v>45941</v>
      </c>
      <c r="F6" s="52" t="s">
        <v>342</v>
      </c>
      <c r="G6" s="11" t="s">
        <v>342</v>
      </c>
      <c r="H6" s="53" t="s">
        <v>343</v>
      </c>
      <c r="I6" s="54">
        <v>60</v>
      </c>
      <c r="J6" s="55">
        <v>6800</v>
      </c>
      <c r="K6" s="55">
        <v>408000</v>
      </c>
      <c r="L6" s="12">
        <v>200338</v>
      </c>
      <c r="M6" s="56">
        <v>143661</v>
      </c>
      <c r="N6" s="11" t="s">
        <v>347</v>
      </c>
      <c r="O6" s="50" t="s">
        <v>350</v>
      </c>
    </row>
    <row r="7" spans="1:15">
      <c r="A7" s="49">
        <v>256</v>
      </c>
      <c r="B7" s="50">
        <v>9</v>
      </c>
      <c r="C7" s="50">
        <v>2</v>
      </c>
      <c r="D7" s="49" t="s">
        <v>346</v>
      </c>
      <c r="E7" s="51">
        <v>45917.690092592595</v>
      </c>
      <c r="F7" s="52" t="s">
        <v>342</v>
      </c>
      <c r="G7" s="11" t="s">
        <v>342</v>
      </c>
      <c r="H7" s="53" t="s">
        <v>343</v>
      </c>
      <c r="I7" s="54">
        <v>60</v>
      </c>
      <c r="J7" s="55">
        <v>6800</v>
      </c>
      <c r="K7" s="55">
        <v>408000</v>
      </c>
      <c r="L7" s="12">
        <v>198108</v>
      </c>
      <c r="M7" s="56">
        <v>200338</v>
      </c>
      <c r="N7" s="11" t="s">
        <v>344</v>
      </c>
      <c r="O7" s="50" t="s">
        <v>351</v>
      </c>
    </row>
    <row r="8" spans="1:15">
      <c r="A8" s="49">
        <v>271</v>
      </c>
      <c r="B8" s="50">
        <v>9</v>
      </c>
      <c r="C8" s="50">
        <v>2</v>
      </c>
      <c r="D8" s="49" t="s">
        <v>346</v>
      </c>
      <c r="E8" s="51">
        <v>45921.383703703701</v>
      </c>
      <c r="F8" s="52" t="s">
        <v>342</v>
      </c>
      <c r="G8" s="11" t="s">
        <v>342</v>
      </c>
      <c r="H8" s="53" t="s">
        <v>343</v>
      </c>
      <c r="I8" s="54">
        <v>60</v>
      </c>
      <c r="J8" s="55">
        <v>6800</v>
      </c>
      <c r="K8" s="55">
        <v>408000</v>
      </c>
      <c r="L8" s="12">
        <v>198477</v>
      </c>
      <c r="M8" s="56">
        <v>198108</v>
      </c>
      <c r="N8" s="11" t="s">
        <v>344</v>
      </c>
      <c r="O8" s="50" t="s">
        <v>351</v>
      </c>
    </row>
    <row r="9" spans="1:15">
      <c r="A9" s="49">
        <v>292</v>
      </c>
      <c r="B9" s="50">
        <v>9</v>
      </c>
      <c r="C9" s="50">
        <v>2</v>
      </c>
      <c r="D9" s="49" t="s">
        <v>346</v>
      </c>
      <c r="E9" s="51">
        <v>45925.495833217596</v>
      </c>
      <c r="F9" s="52" t="s">
        <v>342</v>
      </c>
      <c r="G9" s="11" t="s">
        <v>342</v>
      </c>
      <c r="H9" s="53" t="s">
        <v>343</v>
      </c>
      <c r="I9" s="54">
        <v>60</v>
      </c>
      <c r="J9" s="55">
        <v>6800</v>
      </c>
      <c r="K9" s="55">
        <v>408000</v>
      </c>
      <c r="L9" s="12">
        <v>198869</v>
      </c>
      <c r="M9" s="56">
        <v>198477</v>
      </c>
      <c r="N9" s="11" t="s">
        <v>344</v>
      </c>
      <c r="O9" s="50" t="s">
        <v>351</v>
      </c>
    </row>
    <row r="10" spans="1:15">
      <c r="A10" s="49">
        <v>316</v>
      </c>
      <c r="B10" s="50">
        <v>9</v>
      </c>
      <c r="C10" s="50">
        <v>2</v>
      </c>
      <c r="D10" s="49" t="s">
        <v>346</v>
      </c>
      <c r="E10" s="51">
        <v>45929.687696643516</v>
      </c>
      <c r="F10" s="52" t="s">
        <v>342</v>
      </c>
      <c r="G10" s="11" t="s">
        <v>342</v>
      </c>
      <c r="H10" s="53" t="s">
        <v>343</v>
      </c>
      <c r="I10" s="54">
        <v>60</v>
      </c>
      <c r="J10" s="55">
        <v>6800</v>
      </c>
      <c r="K10" s="55">
        <v>408000</v>
      </c>
      <c r="L10" s="12">
        <v>199284</v>
      </c>
      <c r="M10" s="56">
        <v>198869</v>
      </c>
      <c r="N10" s="11" t="s">
        <v>344</v>
      </c>
      <c r="O10" s="50" t="s">
        <v>351</v>
      </c>
    </row>
    <row r="11" spans="1:15">
      <c r="A11" s="49">
        <v>249</v>
      </c>
      <c r="B11" s="50">
        <v>10</v>
      </c>
      <c r="C11" s="50">
        <v>1</v>
      </c>
      <c r="D11" s="49" t="s">
        <v>349</v>
      </c>
      <c r="E11" s="51">
        <v>45932.655497569445</v>
      </c>
      <c r="F11" s="52" t="s">
        <v>342</v>
      </c>
      <c r="G11" s="11" t="s">
        <v>342</v>
      </c>
      <c r="H11" s="53" t="s">
        <v>343</v>
      </c>
      <c r="I11" s="54">
        <v>60</v>
      </c>
      <c r="J11" s="55">
        <v>6800</v>
      </c>
      <c r="K11" s="55">
        <v>408000</v>
      </c>
      <c r="L11" s="12">
        <v>199551</v>
      </c>
      <c r="M11" s="56">
        <v>199284</v>
      </c>
      <c r="N11" s="11" t="s">
        <v>344</v>
      </c>
      <c r="O11" s="50" t="s">
        <v>352</v>
      </c>
    </row>
    <row r="12" spans="1:15">
      <c r="A12" s="49">
        <v>264</v>
      </c>
      <c r="B12" s="50">
        <v>10</v>
      </c>
      <c r="C12" s="50">
        <v>1</v>
      </c>
      <c r="D12" s="49" t="s">
        <v>349</v>
      </c>
      <c r="E12" s="51">
        <v>45936.658854166664</v>
      </c>
      <c r="F12" s="52" t="s">
        <v>342</v>
      </c>
      <c r="G12" s="11" t="s">
        <v>342</v>
      </c>
      <c r="H12" s="53" t="s">
        <v>343</v>
      </c>
      <c r="I12" s="54">
        <v>60</v>
      </c>
      <c r="J12" s="55">
        <v>6800</v>
      </c>
      <c r="K12" s="55">
        <v>408000</v>
      </c>
      <c r="L12" s="12">
        <v>199926</v>
      </c>
      <c r="M12" s="56">
        <v>199551</v>
      </c>
      <c r="N12" s="11" t="s">
        <v>344</v>
      </c>
      <c r="O12" s="50" t="s">
        <v>352</v>
      </c>
    </row>
    <row r="13" spans="1:15">
      <c r="A13" s="49">
        <v>322</v>
      </c>
      <c r="B13" s="50">
        <v>10</v>
      </c>
      <c r="C13" s="50">
        <v>1</v>
      </c>
      <c r="D13" s="49" t="s">
        <v>349</v>
      </c>
      <c r="E13" s="51">
        <v>45945.499351851853</v>
      </c>
      <c r="F13" s="52" t="s">
        <v>342</v>
      </c>
      <c r="G13" s="11" t="s">
        <v>342</v>
      </c>
      <c r="H13" s="53" t="s">
        <v>343</v>
      </c>
      <c r="I13" s="54">
        <v>60</v>
      </c>
      <c r="J13" s="55">
        <v>6800</v>
      </c>
      <c r="K13" s="55">
        <v>408000</v>
      </c>
      <c r="L13" s="12">
        <v>200713</v>
      </c>
      <c r="M13" s="56">
        <v>199926</v>
      </c>
      <c r="N13" s="11" t="s">
        <v>344</v>
      </c>
      <c r="O13" s="50" t="s">
        <v>352</v>
      </c>
    </row>
    <row r="14" spans="1:15">
      <c r="A14" s="49">
        <v>275</v>
      </c>
      <c r="B14" s="50">
        <v>10</v>
      </c>
      <c r="C14" s="50">
        <v>2</v>
      </c>
      <c r="D14" s="49" t="s">
        <v>353</v>
      </c>
      <c r="E14" s="51">
        <v>45949.687291640628</v>
      </c>
      <c r="F14" s="52" t="s">
        <v>342</v>
      </c>
      <c r="G14" s="11" t="s">
        <v>342</v>
      </c>
      <c r="H14" s="53" t="s">
        <v>343</v>
      </c>
      <c r="I14" s="54">
        <v>60</v>
      </c>
      <c r="J14" s="55">
        <v>6800</v>
      </c>
      <c r="K14" s="55">
        <v>408000</v>
      </c>
      <c r="L14" s="12">
        <v>201031</v>
      </c>
      <c r="M14" s="56">
        <v>200713</v>
      </c>
      <c r="N14" s="11" t="s">
        <v>344</v>
      </c>
      <c r="O14" s="50" t="s">
        <v>354</v>
      </c>
    </row>
    <row r="15" spans="1:15">
      <c r="A15" s="49">
        <v>303</v>
      </c>
      <c r="B15" s="50">
        <v>10</v>
      </c>
      <c r="C15" s="50">
        <v>2</v>
      </c>
      <c r="D15" s="49" t="s">
        <v>353</v>
      </c>
      <c r="E15" s="51">
        <v>45953.484814765623</v>
      </c>
      <c r="F15" s="52" t="s">
        <v>342</v>
      </c>
      <c r="G15" s="11" t="s">
        <v>342</v>
      </c>
      <c r="H15" s="53" t="s">
        <v>343</v>
      </c>
      <c r="I15" s="54">
        <v>60</v>
      </c>
      <c r="J15" s="55">
        <v>6800</v>
      </c>
      <c r="K15" s="55">
        <v>408000</v>
      </c>
      <c r="L15" s="12">
        <v>201368</v>
      </c>
      <c r="M15" s="56">
        <v>201031</v>
      </c>
      <c r="N15" s="11" t="s">
        <v>344</v>
      </c>
      <c r="O15" s="50" t="s">
        <v>354</v>
      </c>
    </row>
    <row r="16" spans="1:15">
      <c r="A16" s="49">
        <v>320</v>
      </c>
      <c r="B16" s="50">
        <v>10</v>
      </c>
      <c r="C16" s="50">
        <v>2</v>
      </c>
      <c r="D16" s="49" t="s">
        <v>353</v>
      </c>
      <c r="E16" s="51">
        <v>45957.459571718748</v>
      </c>
      <c r="F16" s="52" t="s">
        <v>342</v>
      </c>
      <c r="G16" s="11" t="s">
        <v>342</v>
      </c>
      <c r="H16" s="53" t="s">
        <v>343</v>
      </c>
      <c r="I16" s="54">
        <v>58.4</v>
      </c>
      <c r="J16" s="55">
        <v>6800</v>
      </c>
      <c r="K16" s="55">
        <v>397120</v>
      </c>
      <c r="L16" s="12">
        <v>201739</v>
      </c>
      <c r="M16" s="56">
        <v>201368</v>
      </c>
      <c r="N16" s="11" t="s">
        <v>344</v>
      </c>
      <c r="O16" s="50" t="s">
        <v>354</v>
      </c>
    </row>
    <row r="17" spans="1:15">
      <c r="A17" s="49">
        <v>345</v>
      </c>
      <c r="B17" s="50">
        <v>10</v>
      </c>
      <c r="C17" s="50">
        <v>2</v>
      </c>
      <c r="D17" s="49" t="s">
        <v>353</v>
      </c>
      <c r="E17" s="51">
        <v>45960.803634218748</v>
      </c>
      <c r="F17" s="52" t="s">
        <v>342</v>
      </c>
      <c r="G17" s="11" t="s">
        <v>342</v>
      </c>
      <c r="H17" s="53" t="s">
        <v>343</v>
      </c>
      <c r="I17" s="54">
        <v>56.76</v>
      </c>
      <c r="J17" s="55">
        <v>6800</v>
      </c>
      <c r="K17" s="55">
        <v>385968</v>
      </c>
      <c r="L17" s="12">
        <v>202092</v>
      </c>
      <c r="M17" s="56">
        <v>201739</v>
      </c>
      <c r="N17" s="11" t="s">
        <v>344</v>
      </c>
      <c r="O17" s="50" t="s">
        <v>354</v>
      </c>
    </row>
    <row r="18" spans="1:15">
      <c r="A18" s="49">
        <v>250</v>
      </c>
      <c r="B18" s="50">
        <v>11</v>
      </c>
      <c r="C18" s="50">
        <v>1</v>
      </c>
      <c r="D18" s="49" t="s">
        <v>355</v>
      </c>
      <c r="E18" s="51">
        <v>45965.662881875003</v>
      </c>
      <c r="F18" s="52" t="s">
        <v>342</v>
      </c>
      <c r="G18" s="11" t="s">
        <v>342</v>
      </c>
      <c r="H18" s="53" t="s">
        <v>343</v>
      </c>
      <c r="I18" s="54">
        <v>56.6</v>
      </c>
      <c r="J18" s="55">
        <v>6800</v>
      </c>
      <c r="K18" s="55">
        <v>384880</v>
      </c>
      <c r="L18" s="12">
        <v>202465</v>
      </c>
      <c r="M18" s="57">
        <v>202092</v>
      </c>
      <c r="N18" s="11" t="s">
        <v>344</v>
      </c>
      <c r="O18" s="50" t="s">
        <v>356</v>
      </c>
    </row>
    <row r="19" spans="1:15">
      <c r="A19" s="49">
        <v>276</v>
      </c>
      <c r="B19" s="50">
        <v>11</v>
      </c>
      <c r="C19" s="50">
        <v>1</v>
      </c>
      <c r="D19" s="49" t="s">
        <v>355</v>
      </c>
      <c r="E19" s="51">
        <v>45970.579155078121</v>
      </c>
      <c r="F19" s="52" t="s">
        <v>342</v>
      </c>
      <c r="G19" s="11" t="s">
        <v>342</v>
      </c>
      <c r="H19" s="53" t="s">
        <v>343</v>
      </c>
      <c r="I19" s="54">
        <v>70.760000000000005</v>
      </c>
      <c r="J19" s="55">
        <v>6800</v>
      </c>
      <c r="K19" s="55">
        <v>481168</v>
      </c>
      <c r="L19" s="12">
        <v>202888</v>
      </c>
      <c r="M19" s="57">
        <v>202465</v>
      </c>
      <c r="N19" s="11" t="s">
        <v>344</v>
      </c>
      <c r="O19" s="50" t="s">
        <v>356</v>
      </c>
    </row>
    <row r="20" spans="1:15">
      <c r="A20" s="49">
        <v>301</v>
      </c>
      <c r="B20" s="50">
        <v>11</v>
      </c>
      <c r="C20" s="50">
        <v>1</v>
      </c>
      <c r="D20" s="49" t="s">
        <v>355</v>
      </c>
      <c r="E20" s="51">
        <v>45973.693217578126</v>
      </c>
      <c r="F20" s="52" t="s">
        <v>342</v>
      </c>
      <c r="G20" s="11" t="s">
        <v>342</v>
      </c>
      <c r="H20" s="53" t="s">
        <v>343</v>
      </c>
      <c r="I20" s="54">
        <v>61.82</v>
      </c>
      <c r="J20" s="55">
        <v>6800</v>
      </c>
      <c r="K20" s="55">
        <v>420376</v>
      </c>
      <c r="L20" s="12">
        <v>303265</v>
      </c>
      <c r="M20" s="57">
        <v>202888</v>
      </c>
      <c r="N20" s="11" t="s">
        <v>344</v>
      </c>
      <c r="O20" s="50" t="s">
        <v>356</v>
      </c>
    </row>
    <row r="21" spans="1:15">
      <c r="A21" s="49">
        <v>230</v>
      </c>
      <c r="B21" s="50">
        <v>11</v>
      </c>
      <c r="C21" s="50">
        <v>2</v>
      </c>
      <c r="D21" s="49" t="s">
        <v>357</v>
      </c>
      <c r="E21" s="51">
        <v>45978.531238359377</v>
      </c>
      <c r="F21" s="52" t="s">
        <v>342</v>
      </c>
      <c r="G21" s="11" t="s">
        <v>342</v>
      </c>
      <c r="H21" s="53" t="s">
        <v>343</v>
      </c>
      <c r="I21" s="54">
        <v>62.81</v>
      </c>
      <c r="J21" s="55">
        <v>6800</v>
      </c>
      <c r="K21" s="55">
        <v>427108</v>
      </c>
      <c r="L21" s="12">
        <v>203639</v>
      </c>
      <c r="M21" s="57">
        <v>303265</v>
      </c>
      <c r="N21" s="11" t="s">
        <v>344</v>
      </c>
      <c r="O21" s="50" t="s">
        <v>358</v>
      </c>
    </row>
    <row r="22" spans="1:15">
      <c r="A22" s="49">
        <v>246</v>
      </c>
      <c r="B22" s="50">
        <v>11</v>
      </c>
      <c r="C22" s="50">
        <v>2</v>
      </c>
      <c r="D22" s="49" t="s">
        <v>357</v>
      </c>
      <c r="E22" s="51">
        <v>45981.506342578126</v>
      </c>
      <c r="F22" s="52" t="s">
        <v>342</v>
      </c>
      <c r="G22" s="11" t="s">
        <v>342</v>
      </c>
      <c r="H22" s="53" t="s">
        <v>343</v>
      </c>
      <c r="I22" s="54">
        <v>63.69</v>
      </c>
      <c r="J22" s="55">
        <v>6800</v>
      </c>
      <c r="K22" s="55">
        <v>433092</v>
      </c>
      <c r="L22" s="12">
        <v>203910</v>
      </c>
      <c r="M22" s="57">
        <v>203639</v>
      </c>
      <c r="N22" s="11" t="s">
        <v>344</v>
      </c>
      <c r="O22" s="50" t="s">
        <v>358</v>
      </c>
    </row>
    <row r="23" spans="1:15">
      <c r="A23" s="49">
        <v>262</v>
      </c>
      <c r="B23" s="50">
        <v>11</v>
      </c>
      <c r="C23" s="50">
        <v>2</v>
      </c>
      <c r="D23" s="49" t="s">
        <v>357</v>
      </c>
      <c r="E23" s="51">
        <v>45984.70921296296</v>
      </c>
      <c r="F23" s="52" t="s">
        <v>342</v>
      </c>
      <c r="G23" s="11" t="s">
        <v>342</v>
      </c>
      <c r="H23" s="53" t="s">
        <v>343</v>
      </c>
      <c r="I23" s="54">
        <v>62.41</v>
      </c>
      <c r="J23" s="55">
        <v>6800</v>
      </c>
      <c r="K23" s="55">
        <v>424388</v>
      </c>
      <c r="L23" s="12">
        <v>204141</v>
      </c>
      <c r="M23" s="57">
        <v>203910</v>
      </c>
      <c r="N23" s="11" t="s">
        <v>344</v>
      </c>
      <c r="O23" s="50" t="s">
        <v>358</v>
      </c>
    </row>
    <row r="24" spans="1:15">
      <c r="A24" s="49">
        <v>288</v>
      </c>
      <c r="B24" s="50">
        <v>11</v>
      </c>
      <c r="C24" s="50">
        <v>2</v>
      </c>
      <c r="D24" s="49" t="s">
        <v>357</v>
      </c>
      <c r="E24" s="51">
        <v>45988.657650462963</v>
      </c>
      <c r="F24" s="52" t="s">
        <v>342</v>
      </c>
      <c r="G24" s="11" t="s">
        <v>342</v>
      </c>
      <c r="H24" s="53" t="s">
        <v>343</v>
      </c>
      <c r="I24" s="54">
        <v>61.26</v>
      </c>
      <c r="J24" s="55">
        <v>6800</v>
      </c>
      <c r="K24" s="55">
        <v>416568</v>
      </c>
      <c r="L24" s="12">
        <v>204505</v>
      </c>
      <c r="M24" s="57">
        <v>204141</v>
      </c>
      <c r="N24" s="11" t="s">
        <v>344</v>
      </c>
      <c r="O24" s="50" t="s">
        <v>358</v>
      </c>
    </row>
    <row r="25" spans="1:15">
      <c r="A25" s="49">
        <v>145</v>
      </c>
      <c r="B25" s="50">
        <v>12</v>
      </c>
      <c r="C25" s="50">
        <v>1</v>
      </c>
      <c r="D25" s="49" t="s">
        <v>359</v>
      </c>
      <c r="E25" s="51">
        <v>46000</v>
      </c>
      <c r="F25" s="52" t="s">
        <v>342</v>
      </c>
      <c r="G25" s="11" t="s">
        <v>342</v>
      </c>
      <c r="H25" s="53" t="s">
        <v>343</v>
      </c>
      <c r="I25" s="54">
        <v>60</v>
      </c>
      <c r="J25" s="55">
        <v>6800</v>
      </c>
      <c r="K25" s="55">
        <v>408000</v>
      </c>
      <c r="L25" s="58" t="s">
        <v>360</v>
      </c>
      <c r="M25" s="57">
        <v>204505</v>
      </c>
      <c r="N25" s="11" t="s">
        <v>347</v>
      </c>
      <c r="O25" s="50" t="s">
        <v>361</v>
      </c>
    </row>
    <row r="26" spans="1:15">
      <c r="A26" s="49">
        <v>266</v>
      </c>
      <c r="B26" s="50">
        <v>12</v>
      </c>
      <c r="C26" s="50">
        <v>1</v>
      </c>
      <c r="D26" s="49" t="s">
        <v>359</v>
      </c>
      <c r="E26" s="51">
        <v>45993.503287037034</v>
      </c>
      <c r="F26" s="52" t="s">
        <v>342</v>
      </c>
      <c r="G26" s="11" t="s">
        <v>342</v>
      </c>
      <c r="H26" s="53" t="s">
        <v>343</v>
      </c>
      <c r="I26" s="54">
        <v>61.19</v>
      </c>
      <c r="J26" s="55">
        <v>6800</v>
      </c>
      <c r="K26" s="55">
        <v>416092</v>
      </c>
      <c r="L26" s="12">
        <v>204903</v>
      </c>
      <c r="M26" s="57" t="s">
        <v>360</v>
      </c>
      <c r="N26" s="11" t="s">
        <v>344</v>
      </c>
      <c r="O26" s="50" t="s">
        <v>362</v>
      </c>
    </row>
    <row r="27" spans="1:15">
      <c r="A27" s="49">
        <v>286</v>
      </c>
      <c r="B27" s="50">
        <v>12</v>
      </c>
      <c r="C27" s="50">
        <v>1</v>
      </c>
      <c r="D27" s="49" t="s">
        <v>359</v>
      </c>
      <c r="E27" s="51">
        <v>45996.484965234376</v>
      </c>
      <c r="F27" s="52" t="s">
        <v>342</v>
      </c>
      <c r="G27" s="11" t="s">
        <v>342</v>
      </c>
      <c r="H27" s="53" t="s">
        <v>343</v>
      </c>
      <c r="I27" s="54">
        <v>61.38</v>
      </c>
      <c r="J27" s="55">
        <v>6800</v>
      </c>
      <c r="K27" s="55">
        <v>417384</v>
      </c>
      <c r="L27" s="12">
        <v>205175</v>
      </c>
      <c r="M27" s="57">
        <v>204903</v>
      </c>
      <c r="N27" s="11" t="s">
        <v>344</v>
      </c>
      <c r="O27" s="50" t="s">
        <v>362</v>
      </c>
    </row>
    <row r="28" spans="1:15">
      <c r="A28" s="49">
        <v>331</v>
      </c>
      <c r="B28" s="50">
        <v>12</v>
      </c>
      <c r="C28" s="50">
        <v>1</v>
      </c>
      <c r="D28" s="49" t="s">
        <v>359</v>
      </c>
      <c r="E28" s="51">
        <v>46004.690578671878</v>
      </c>
      <c r="F28" s="52" t="s">
        <v>342</v>
      </c>
      <c r="G28" s="11" t="s">
        <v>342</v>
      </c>
      <c r="H28" s="53" t="s">
        <v>343</v>
      </c>
      <c r="I28" s="54">
        <v>69.17</v>
      </c>
      <c r="J28" s="55">
        <v>6800</v>
      </c>
      <c r="K28" s="55">
        <v>470356</v>
      </c>
      <c r="L28" s="12">
        <v>205964</v>
      </c>
      <c r="M28" s="57">
        <v>205175</v>
      </c>
      <c r="N28" s="11" t="s">
        <v>344</v>
      </c>
      <c r="O28" s="50" t="s">
        <v>362</v>
      </c>
    </row>
    <row r="29" spans="1:15">
      <c r="A29" s="49">
        <v>249</v>
      </c>
      <c r="B29" s="50">
        <v>12</v>
      </c>
      <c r="C29" s="50">
        <v>2</v>
      </c>
      <c r="D29" s="49" t="s">
        <v>363</v>
      </c>
      <c r="E29" s="51">
        <v>46009.658506874999</v>
      </c>
      <c r="F29" s="52" t="s">
        <v>342</v>
      </c>
      <c r="G29" s="11" t="s">
        <v>342</v>
      </c>
      <c r="H29" s="53" t="s">
        <v>343</v>
      </c>
      <c r="I29" s="54">
        <v>59.56</v>
      </c>
      <c r="J29" s="55">
        <v>6800</v>
      </c>
      <c r="K29" s="55">
        <v>405008</v>
      </c>
      <c r="L29" s="12">
        <v>206332</v>
      </c>
      <c r="M29" s="57">
        <v>205964</v>
      </c>
      <c r="N29" s="11" t="s">
        <v>344</v>
      </c>
      <c r="O29" s="50" t="s">
        <v>364</v>
      </c>
    </row>
    <row r="30" spans="1:15">
      <c r="A30" s="49">
        <v>275</v>
      </c>
      <c r="B30" s="50">
        <v>12</v>
      </c>
      <c r="C30" s="50">
        <v>2</v>
      </c>
      <c r="D30" s="49" t="s">
        <v>363</v>
      </c>
      <c r="E30" s="51">
        <v>46013.506863359376</v>
      </c>
      <c r="F30" s="52" t="s">
        <v>342</v>
      </c>
      <c r="G30" s="11" t="s">
        <v>342</v>
      </c>
      <c r="H30" s="53" t="s">
        <v>343</v>
      </c>
      <c r="I30" s="54">
        <v>64.930000000000007</v>
      </c>
      <c r="J30" s="55">
        <v>6800</v>
      </c>
      <c r="K30" s="55">
        <v>441524</v>
      </c>
      <c r="L30" s="12">
        <v>206653</v>
      </c>
      <c r="M30" s="57">
        <v>206332</v>
      </c>
      <c r="N30" s="11" t="s">
        <v>344</v>
      </c>
      <c r="O30" s="50" t="s">
        <v>364</v>
      </c>
    </row>
    <row r="31" spans="1:15">
      <c r="A31" s="49">
        <v>291</v>
      </c>
      <c r="B31" s="50">
        <v>12</v>
      </c>
      <c r="C31" s="50">
        <v>2</v>
      </c>
      <c r="D31" s="49" t="s">
        <v>363</v>
      </c>
      <c r="E31" s="51">
        <v>46017.504988359375</v>
      </c>
      <c r="F31" s="52" t="s">
        <v>342</v>
      </c>
      <c r="G31" s="11" t="s">
        <v>342</v>
      </c>
      <c r="H31" s="53" t="s">
        <v>343</v>
      </c>
      <c r="I31" s="54">
        <v>58.47</v>
      </c>
      <c r="J31" s="55">
        <v>6800</v>
      </c>
      <c r="K31" s="55">
        <v>397596</v>
      </c>
      <c r="L31" s="12">
        <v>207018</v>
      </c>
      <c r="M31" s="57">
        <v>206653</v>
      </c>
      <c r="N31" s="11" t="s">
        <v>344</v>
      </c>
      <c r="O31" s="50" t="s">
        <v>364</v>
      </c>
    </row>
    <row r="32" spans="1:15">
      <c r="A32" s="49">
        <v>309</v>
      </c>
      <c r="B32" s="50">
        <v>12</v>
      </c>
      <c r="C32" s="50">
        <v>2</v>
      </c>
      <c r="D32" s="49" t="s">
        <v>363</v>
      </c>
      <c r="E32" s="51">
        <v>46021.68986109375</v>
      </c>
      <c r="F32" s="52" t="s">
        <v>342</v>
      </c>
      <c r="G32" s="11" t="s">
        <v>342</v>
      </c>
      <c r="H32" s="53" t="s">
        <v>343</v>
      </c>
      <c r="I32" s="54">
        <v>58.97</v>
      </c>
      <c r="J32" s="55">
        <v>6800</v>
      </c>
      <c r="K32" s="55">
        <v>400996</v>
      </c>
      <c r="L32" s="12">
        <v>207397</v>
      </c>
      <c r="M32" s="57">
        <v>207018</v>
      </c>
      <c r="N32" s="11" t="s">
        <v>344</v>
      </c>
      <c r="O32" s="50" t="s">
        <v>364</v>
      </c>
    </row>
  </sheetData>
  <dataValidations count="1">
    <dataValidation type="list" showErrorMessage="1" sqref="N2:N32" xr:uid="{12084E23-2DFB-404D-8CA8-83ED9A9FEF67}">
      <formula1>"SPBU BKA,SPBU RAJAWALI"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1CF5-70F5-4200-80C5-A8B26BE180E4}">
  <dimension ref="A1:P6"/>
  <sheetViews>
    <sheetView workbookViewId="0"/>
  </sheetViews>
  <sheetFormatPr defaultRowHeight="12.75"/>
  <cols>
    <col min="1" max="1" width="14.140625" customWidth="1"/>
    <col min="2" max="2" width="16" customWidth="1"/>
    <col min="3" max="3" width="14.7109375" customWidth="1"/>
    <col min="4" max="4" width="18.140625" customWidth="1"/>
    <col min="5" max="5" width="19.42578125" customWidth="1"/>
    <col min="6" max="6" width="14.28515625" customWidth="1"/>
    <col min="7" max="7" width="21.85546875" customWidth="1"/>
    <col min="8" max="8" width="21.7109375" customWidth="1"/>
    <col min="9" max="9" width="25.5703125" customWidth="1"/>
    <col min="10" max="10" width="37.85546875" customWidth="1"/>
    <col min="11" max="11" width="26.42578125" customWidth="1"/>
    <col min="12" max="12" width="17.28515625" customWidth="1"/>
    <col min="13" max="13" width="13.7109375" customWidth="1"/>
    <col min="14" max="14" width="15.42578125" customWidth="1"/>
    <col min="15" max="15" width="15.5703125" customWidth="1"/>
    <col min="16" max="16" width="12.85546875" customWidth="1"/>
  </cols>
  <sheetData>
    <row r="1" spans="1:16" ht="30">
      <c r="A1" s="59" t="s">
        <v>365</v>
      </c>
      <c r="B1" s="59" t="s">
        <v>340</v>
      </c>
      <c r="C1" s="60" t="s">
        <v>366</v>
      </c>
      <c r="D1" s="59" t="s">
        <v>367</v>
      </c>
      <c r="E1" s="59" t="s">
        <v>368</v>
      </c>
      <c r="F1" s="59" t="s">
        <v>369</v>
      </c>
      <c r="G1" s="59" t="s">
        <v>370</v>
      </c>
      <c r="H1" s="59" t="s">
        <v>371</v>
      </c>
      <c r="I1" s="59" t="s">
        <v>372</v>
      </c>
      <c r="J1" s="61" t="s">
        <v>373</v>
      </c>
      <c r="K1" s="59" t="s">
        <v>374</v>
      </c>
      <c r="L1" s="59" t="s">
        <v>375</v>
      </c>
      <c r="M1" s="62" t="s">
        <v>376</v>
      </c>
      <c r="N1" s="63" t="s">
        <v>377</v>
      </c>
      <c r="O1" s="63" t="s">
        <v>378</v>
      </c>
      <c r="P1" s="63" t="s">
        <v>379</v>
      </c>
    </row>
    <row r="2" spans="1:16" ht="28.5">
      <c r="A2" s="64" t="s">
        <v>342</v>
      </c>
      <c r="B2" s="65" t="s">
        <v>380</v>
      </c>
      <c r="C2" s="66">
        <v>44441</v>
      </c>
      <c r="D2" s="64" t="s">
        <v>381</v>
      </c>
      <c r="E2" s="67" t="s">
        <v>382</v>
      </c>
      <c r="F2" s="68" t="s">
        <v>383</v>
      </c>
      <c r="G2" s="68" t="s">
        <v>384</v>
      </c>
      <c r="H2" s="65" t="s">
        <v>385</v>
      </c>
      <c r="I2" s="69" t="s">
        <v>386</v>
      </c>
      <c r="J2" s="70" t="s">
        <v>387</v>
      </c>
      <c r="K2" s="71" t="s">
        <v>388</v>
      </c>
      <c r="L2" s="72" t="s">
        <v>389</v>
      </c>
      <c r="M2" s="73">
        <v>250000</v>
      </c>
      <c r="N2" s="74">
        <v>191719</v>
      </c>
      <c r="O2" s="74">
        <v>196381</v>
      </c>
      <c r="P2" s="74">
        <v>4662</v>
      </c>
    </row>
    <row r="3" spans="1:16" ht="28.5">
      <c r="A3" s="64" t="s">
        <v>342</v>
      </c>
      <c r="B3" s="65" t="s">
        <v>390</v>
      </c>
      <c r="C3" s="66">
        <v>44453</v>
      </c>
      <c r="D3" s="64" t="s">
        <v>391</v>
      </c>
      <c r="E3" s="67" t="s">
        <v>382</v>
      </c>
      <c r="F3" s="68" t="s">
        <v>383</v>
      </c>
      <c r="G3" s="68" t="s">
        <v>384</v>
      </c>
      <c r="H3" s="65" t="s">
        <v>392</v>
      </c>
      <c r="I3" s="69" t="s">
        <v>393</v>
      </c>
      <c r="J3" s="70" t="s">
        <v>394</v>
      </c>
      <c r="K3" s="71" t="s">
        <v>395</v>
      </c>
      <c r="L3" s="72" t="s">
        <v>389</v>
      </c>
      <c r="M3" s="73">
        <v>7245000</v>
      </c>
      <c r="N3" s="74">
        <v>196381</v>
      </c>
      <c r="O3" s="74">
        <v>197246</v>
      </c>
      <c r="P3" s="74">
        <v>865</v>
      </c>
    </row>
    <row r="4" spans="1:16" ht="28.5">
      <c r="A4" s="64" t="s">
        <v>342</v>
      </c>
      <c r="B4" s="65" t="s">
        <v>396</v>
      </c>
      <c r="C4" s="66">
        <v>44461</v>
      </c>
      <c r="D4" s="64" t="s">
        <v>397</v>
      </c>
      <c r="E4" s="67" t="s">
        <v>382</v>
      </c>
      <c r="F4" s="68" t="s">
        <v>383</v>
      </c>
      <c r="G4" s="68" t="s">
        <v>384</v>
      </c>
      <c r="H4" s="65" t="s">
        <v>398</v>
      </c>
      <c r="I4" s="69" t="s">
        <v>399</v>
      </c>
      <c r="J4" s="70" t="s">
        <v>400</v>
      </c>
      <c r="K4" s="71" t="s">
        <v>401</v>
      </c>
      <c r="L4" s="72" t="s">
        <v>402</v>
      </c>
      <c r="M4" s="73">
        <v>1020000</v>
      </c>
      <c r="N4" s="74">
        <v>197246</v>
      </c>
      <c r="O4" s="74">
        <v>198459</v>
      </c>
      <c r="P4" s="74">
        <v>1213</v>
      </c>
    </row>
    <row r="5" spans="1:16" ht="28.5">
      <c r="A5" s="64" t="s">
        <v>342</v>
      </c>
      <c r="B5" s="65" t="s">
        <v>403</v>
      </c>
      <c r="C5" s="66">
        <v>44440</v>
      </c>
      <c r="D5" s="64" t="s">
        <v>391</v>
      </c>
      <c r="E5" s="67" t="s">
        <v>382</v>
      </c>
      <c r="F5" s="68" t="s">
        <v>383</v>
      </c>
      <c r="G5" s="68" t="s">
        <v>384</v>
      </c>
      <c r="H5" s="65" t="s">
        <v>404</v>
      </c>
      <c r="I5" s="69" t="s">
        <v>405</v>
      </c>
      <c r="J5" s="70" t="s">
        <v>406</v>
      </c>
      <c r="K5" s="71" t="s">
        <v>407</v>
      </c>
      <c r="L5" s="72" t="s">
        <v>389</v>
      </c>
      <c r="M5" s="73">
        <v>6024000</v>
      </c>
      <c r="N5" s="74">
        <v>198459</v>
      </c>
      <c r="O5" s="74">
        <v>196402</v>
      </c>
      <c r="P5" s="74">
        <v>-2057</v>
      </c>
    </row>
    <row r="6" spans="1:16" ht="28.5">
      <c r="A6" s="64" t="s">
        <v>342</v>
      </c>
      <c r="B6" s="65" t="s">
        <v>408</v>
      </c>
      <c r="C6" s="66">
        <v>44534</v>
      </c>
      <c r="D6" s="64" t="s">
        <v>391</v>
      </c>
      <c r="E6" s="67" t="s">
        <v>382</v>
      </c>
      <c r="F6" s="68" t="s">
        <v>383</v>
      </c>
      <c r="G6" s="68" t="s">
        <v>384</v>
      </c>
      <c r="H6" s="65" t="s">
        <v>409</v>
      </c>
      <c r="I6" s="69" t="s">
        <v>410</v>
      </c>
      <c r="J6" s="70" t="s">
        <v>411</v>
      </c>
      <c r="K6" s="70" t="s">
        <v>412</v>
      </c>
      <c r="L6" s="72" t="s">
        <v>402</v>
      </c>
      <c r="M6" s="73">
        <v>1160000</v>
      </c>
      <c r="N6" s="74">
        <v>196402</v>
      </c>
      <c r="O6" s="74">
        <v>204754</v>
      </c>
      <c r="P6" s="74">
        <v>8352</v>
      </c>
    </row>
  </sheetData>
  <dataValidations count="1">
    <dataValidation type="list" showErrorMessage="1" sqref="A2:A6" xr:uid="{867BA853-1670-481A-B680-36A249942842}">
      <formula1>$C$5:$C$1000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xr:uid="{08998E68-479C-4C83-9254-65F1A5443123}">
          <x14:formula1>
            <xm:f>Internal!$B$4:$B$50</xm:f>
          </x14:formula1>
          <xm:sqref>L2:L6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A24AA-44BF-4547-80E5-306A5B4CDA9E}">
  <dimension ref="A1:Q6007"/>
  <sheetViews>
    <sheetView tabSelected="1" topLeftCell="A160" workbookViewId="0">
      <selection activeCell="E220" sqref="E220"/>
    </sheetView>
  </sheetViews>
  <sheetFormatPr defaultRowHeight="12.75"/>
  <cols>
    <col min="1" max="1" width="2.42578125" style="75" customWidth="1"/>
    <col min="2" max="2" width="7.28515625" style="76" customWidth="1"/>
    <col min="3" max="3" width="25.7109375" style="7" customWidth="1"/>
    <col min="4" max="4" width="7.28515625" style="76" customWidth="1"/>
    <col min="5" max="5" width="14.5703125" style="77" customWidth="1"/>
    <col min="6" max="6" width="10.140625" style="95" customWidth="1"/>
    <col min="7" max="8" width="9.7109375" style="78" customWidth="1"/>
    <col min="9" max="9" width="26.85546875" style="7" customWidth="1"/>
    <col min="10" max="10" width="14.5703125" style="76" customWidth="1"/>
    <col min="11" max="11" width="12.140625" style="7" customWidth="1"/>
    <col min="12" max="12" width="36.140625" style="7" customWidth="1"/>
    <col min="13" max="17" width="12.140625" style="7" customWidth="1"/>
  </cols>
  <sheetData>
    <row r="1" spans="1:17" ht="10.7" customHeight="1">
      <c r="F1" s="78"/>
    </row>
    <row r="2" spans="1:17" ht="15.75">
      <c r="C2" s="79" t="s">
        <v>413</v>
      </c>
      <c r="E2" s="101">
        <f>F7*350000</f>
        <v>14700000</v>
      </c>
      <c r="F2" s="101"/>
    </row>
    <row r="3" spans="1:17">
      <c r="C3" s="80" t="s">
        <v>414</v>
      </c>
      <c r="D3" s="76" t="s">
        <v>415</v>
      </c>
      <c r="E3" s="102" t="s">
        <v>416</v>
      </c>
      <c r="F3" s="102"/>
      <c r="N3" s="82"/>
    </row>
    <row r="4" spans="1:17">
      <c r="C4" s="80" t="s">
        <v>329</v>
      </c>
      <c r="D4" s="76" t="s">
        <v>415</v>
      </c>
      <c r="E4" s="102">
        <v>11</v>
      </c>
      <c r="F4" s="102"/>
    </row>
    <row r="5" spans="1:17">
      <c r="C5" s="80" t="s">
        <v>340</v>
      </c>
      <c r="D5" s="76" t="s">
        <v>415</v>
      </c>
      <c r="E5" s="102" t="str">
        <f>VLOOKUP(E4,D10:J10000,6,0)</f>
        <v>Depo Tambak Langon</v>
      </c>
      <c r="F5" s="102"/>
    </row>
    <row r="6" spans="1:17">
      <c r="C6" s="80" t="s">
        <v>417</v>
      </c>
      <c r="D6" s="76" t="s">
        <v>415</v>
      </c>
      <c r="E6" s="103">
        <f>IF(AND(E3&lt;&gt;"ALL",E4&lt;&gt;"ALL"),SUMIFS(F11:F10002,D11:D10002,E4,I11:I10002,E3),IF(AND(E3="ALL",E4&lt;&gt;"ALL"),SUMIFS(F11:F10002,A11:A10002,E4),IF(AND(E3&lt;&gt;"ALL",E4="ALL"),SUMIFS(F11:F10002,A11:A10002,E3),"")))</f>
        <v>168</v>
      </c>
      <c r="F6" s="103"/>
    </row>
    <row r="7" spans="1:17">
      <c r="C7" s="80" t="s">
        <v>418</v>
      </c>
      <c r="D7" s="76" t="s">
        <v>415</v>
      </c>
      <c r="E7" s="81"/>
      <c r="F7" s="83">
        <f>E6/4</f>
        <v>42</v>
      </c>
      <c r="G7" s="84"/>
      <c r="H7" s="84"/>
    </row>
    <row r="8" spans="1:17" ht="8.25" customHeight="1">
      <c r="F8" s="78"/>
    </row>
    <row r="9" spans="1:17">
      <c r="B9" s="85" t="s">
        <v>419</v>
      </c>
      <c r="C9" s="85" t="s">
        <v>366</v>
      </c>
      <c r="D9" s="85" t="s">
        <v>328</v>
      </c>
      <c r="E9" s="85" t="s">
        <v>420</v>
      </c>
      <c r="F9" s="85" t="s">
        <v>421</v>
      </c>
      <c r="G9" s="85" t="s">
        <v>422</v>
      </c>
      <c r="H9" s="85" t="s">
        <v>423</v>
      </c>
      <c r="I9" s="85" t="s">
        <v>370</v>
      </c>
      <c r="J9" s="85" t="s">
        <v>340</v>
      </c>
      <c r="L9" s="86"/>
      <c r="M9" s="86"/>
      <c r="N9" s="86"/>
      <c r="O9" s="86"/>
      <c r="P9" s="86"/>
      <c r="Q9" s="86"/>
    </row>
    <row r="10" spans="1:17">
      <c r="F10" s="78"/>
      <c r="L10" s="86"/>
      <c r="M10" s="86"/>
      <c r="N10" s="86"/>
      <c r="O10" s="86"/>
      <c r="P10" s="86"/>
      <c r="Q10" s="86"/>
    </row>
    <row r="11" spans="1:17">
      <c r="A11" s="75" t="str">
        <f t="shared" ref="A11:A74" si="0">IF(AND($E$3="ALL",$E$4="ALL"),"ALL",IF(AND($E$3="ALL",$E$4&lt;&gt;"ALL"),IF(D11=$E$4,D11,""),IF(AND($E$3&lt;&gt;"ALL",$E$4="ALL"),IF(I11=$E$3,I11,""),"")))</f>
        <v/>
      </c>
      <c r="B11" s="87">
        <f>IF(D11="","",COUNTIF($D$10:D11,D11))</f>
        <v>1</v>
      </c>
      <c r="C11" s="88">
        <v>45754</v>
      </c>
      <c r="D11" s="87">
        <v>4</v>
      </c>
      <c r="E11" s="89" t="s">
        <v>424</v>
      </c>
      <c r="F11" s="90">
        <v>4</v>
      </c>
      <c r="G11" s="91" t="s">
        <v>425</v>
      </c>
      <c r="H11" s="91">
        <f t="shared" ref="H11:H39" si="1">YEAR(C11)</f>
        <v>2025</v>
      </c>
      <c r="I11" s="92" t="s">
        <v>426</v>
      </c>
      <c r="J11" s="87" t="s">
        <v>427</v>
      </c>
      <c r="L11" s="86"/>
      <c r="M11" s="86"/>
      <c r="N11" s="86"/>
      <c r="O11" s="86"/>
      <c r="P11" s="86"/>
      <c r="Q11" s="86"/>
    </row>
    <row r="12" spans="1:17">
      <c r="A12" s="75" t="str">
        <f t="shared" si="0"/>
        <v/>
      </c>
      <c r="B12" s="87">
        <f>IF(D12="","",COUNTIF($D$10:D12,D12))</f>
        <v>2</v>
      </c>
      <c r="C12" s="88">
        <v>45754</v>
      </c>
      <c r="D12" s="87">
        <v>4</v>
      </c>
      <c r="E12" s="89" t="s">
        <v>428</v>
      </c>
      <c r="F12" s="90">
        <v>4</v>
      </c>
      <c r="G12" s="91" t="s">
        <v>429</v>
      </c>
      <c r="H12" s="91">
        <f t="shared" si="1"/>
        <v>2025</v>
      </c>
      <c r="I12" s="92" t="s">
        <v>426</v>
      </c>
      <c r="J12" s="87" t="s">
        <v>427</v>
      </c>
      <c r="L12" s="86"/>
      <c r="M12" s="86"/>
      <c r="N12" s="86"/>
      <c r="O12" s="86"/>
      <c r="P12" s="86"/>
      <c r="Q12" s="86"/>
    </row>
    <row r="13" spans="1:17">
      <c r="A13" s="75" t="str">
        <f t="shared" si="0"/>
        <v/>
      </c>
      <c r="B13" s="87">
        <f>IF(D13="","",COUNTIF($D$10:D13,D13))</f>
        <v>3</v>
      </c>
      <c r="C13" s="88">
        <v>45757</v>
      </c>
      <c r="D13" s="87">
        <v>4</v>
      </c>
      <c r="E13" s="89" t="s">
        <v>424</v>
      </c>
      <c r="F13" s="90">
        <v>4</v>
      </c>
      <c r="G13" s="91" t="s">
        <v>430</v>
      </c>
      <c r="H13" s="91">
        <f t="shared" si="1"/>
        <v>2025</v>
      </c>
      <c r="I13" s="92" t="s">
        <v>426</v>
      </c>
      <c r="J13" s="87" t="s">
        <v>427</v>
      </c>
      <c r="L13" s="86"/>
      <c r="M13" s="86"/>
      <c r="N13" s="86"/>
      <c r="O13" s="86"/>
      <c r="P13" s="86"/>
      <c r="Q13" s="86"/>
    </row>
    <row r="14" spans="1:17">
      <c r="A14" s="75" t="str">
        <f t="shared" si="0"/>
        <v/>
      </c>
      <c r="B14" s="87">
        <f>IF(D14="","",COUNTIF($D$10:D14,D14))</f>
        <v>4</v>
      </c>
      <c r="C14" s="88">
        <v>45758</v>
      </c>
      <c r="D14" s="87">
        <v>4</v>
      </c>
      <c r="E14" s="89" t="s">
        <v>431</v>
      </c>
      <c r="F14" s="90">
        <v>4</v>
      </c>
      <c r="G14" s="91" t="s">
        <v>432</v>
      </c>
      <c r="H14" s="91">
        <f t="shared" si="1"/>
        <v>2025</v>
      </c>
      <c r="I14" s="92" t="s">
        <v>426</v>
      </c>
      <c r="J14" s="87" t="s">
        <v>427</v>
      </c>
      <c r="L14" s="86"/>
      <c r="M14" s="86"/>
      <c r="N14" s="86"/>
      <c r="O14" s="86"/>
      <c r="P14" s="86"/>
      <c r="Q14" s="86"/>
    </row>
    <row r="15" spans="1:17">
      <c r="A15" s="75" t="str">
        <f t="shared" si="0"/>
        <v/>
      </c>
      <c r="B15" s="87">
        <f>IF(D15="","",COUNTIF($D$10:D15,D15))</f>
        <v>5</v>
      </c>
      <c r="C15" s="88">
        <v>45759</v>
      </c>
      <c r="D15" s="87">
        <v>4</v>
      </c>
      <c r="E15" s="89" t="s">
        <v>433</v>
      </c>
      <c r="F15" s="90">
        <v>4</v>
      </c>
      <c r="G15" s="91" t="s">
        <v>434</v>
      </c>
      <c r="H15" s="91">
        <f t="shared" si="1"/>
        <v>2025</v>
      </c>
      <c r="I15" s="92" t="s">
        <v>426</v>
      </c>
      <c r="J15" s="87" t="s">
        <v>427</v>
      </c>
      <c r="L15" s="86"/>
      <c r="M15" s="86"/>
      <c r="N15" s="86"/>
      <c r="O15" s="86"/>
      <c r="P15" s="86"/>
      <c r="Q15" s="86"/>
    </row>
    <row r="16" spans="1:17">
      <c r="A16" s="75" t="str">
        <f t="shared" si="0"/>
        <v/>
      </c>
      <c r="B16" s="87">
        <f>IF(D16="","",COUNTIF($D$10:D16,D16))</f>
        <v>6</v>
      </c>
      <c r="C16" s="88">
        <v>45759</v>
      </c>
      <c r="D16" s="87">
        <v>4</v>
      </c>
      <c r="E16" s="89" t="s">
        <v>435</v>
      </c>
      <c r="F16" s="90">
        <v>4</v>
      </c>
      <c r="G16" s="91" t="s">
        <v>436</v>
      </c>
      <c r="H16" s="91">
        <f t="shared" si="1"/>
        <v>2025</v>
      </c>
      <c r="I16" s="92" t="s">
        <v>426</v>
      </c>
      <c r="J16" s="87" t="s">
        <v>427</v>
      </c>
      <c r="L16" s="86"/>
      <c r="M16" s="86"/>
      <c r="N16" s="86"/>
      <c r="O16" s="86"/>
      <c r="P16" s="86"/>
      <c r="Q16" s="86"/>
    </row>
    <row r="17" spans="1:17">
      <c r="A17" s="75" t="str">
        <f t="shared" si="0"/>
        <v/>
      </c>
      <c r="B17" s="87">
        <f>IF(D17="","",COUNTIF($D$10:D17,D17))</f>
        <v>7</v>
      </c>
      <c r="C17" s="88">
        <v>45759</v>
      </c>
      <c r="D17" s="87">
        <v>4</v>
      </c>
      <c r="E17" s="89" t="s">
        <v>428</v>
      </c>
      <c r="F17" s="90">
        <v>4</v>
      </c>
      <c r="G17" s="91" t="s">
        <v>437</v>
      </c>
      <c r="H17" s="91">
        <f t="shared" si="1"/>
        <v>2025</v>
      </c>
      <c r="I17" s="92" t="s">
        <v>426</v>
      </c>
      <c r="J17" s="87" t="s">
        <v>427</v>
      </c>
      <c r="L17" s="86"/>
      <c r="M17" s="86"/>
      <c r="N17" s="86"/>
      <c r="O17" s="86"/>
      <c r="P17" s="86"/>
      <c r="Q17" s="86"/>
    </row>
    <row r="18" spans="1:17">
      <c r="A18" s="75" t="str">
        <f t="shared" si="0"/>
        <v/>
      </c>
      <c r="B18" s="87">
        <f>IF(D18="","",COUNTIF($D$10:D18,D18))</f>
        <v>8</v>
      </c>
      <c r="C18" s="88">
        <v>45761</v>
      </c>
      <c r="D18" s="87">
        <v>4</v>
      </c>
      <c r="E18" s="89" t="s">
        <v>438</v>
      </c>
      <c r="F18" s="90">
        <v>4</v>
      </c>
      <c r="G18" s="91" t="s">
        <v>429</v>
      </c>
      <c r="H18" s="91">
        <f t="shared" si="1"/>
        <v>2025</v>
      </c>
      <c r="I18" s="92" t="s">
        <v>426</v>
      </c>
      <c r="J18" s="87" t="s">
        <v>427</v>
      </c>
      <c r="L18" s="86"/>
      <c r="M18" s="86"/>
      <c r="N18" s="86"/>
      <c r="O18" s="86"/>
      <c r="P18" s="86"/>
      <c r="Q18" s="86"/>
    </row>
    <row r="19" spans="1:17">
      <c r="A19" s="75" t="str">
        <f t="shared" si="0"/>
        <v/>
      </c>
      <c r="B19" s="87">
        <f>IF(D19="","",COUNTIF($D$10:D19,D19))</f>
        <v>9</v>
      </c>
      <c r="C19" s="88">
        <v>45762</v>
      </c>
      <c r="D19" s="87">
        <v>4</v>
      </c>
      <c r="E19" s="89" t="s">
        <v>435</v>
      </c>
      <c r="F19" s="90">
        <v>4</v>
      </c>
      <c r="G19" s="91" t="s">
        <v>439</v>
      </c>
      <c r="H19" s="91">
        <f t="shared" si="1"/>
        <v>2025</v>
      </c>
      <c r="I19" s="92" t="s">
        <v>426</v>
      </c>
      <c r="J19" s="87" t="s">
        <v>427</v>
      </c>
      <c r="L19" s="86"/>
      <c r="M19" s="86"/>
      <c r="N19" s="86"/>
      <c r="O19" s="86"/>
      <c r="P19" s="86"/>
      <c r="Q19" s="86"/>
    </row>
    <row r="20" spans="1:17">
      <c r="A20" s="75" t="str">
        <f t="shared" si="0"/>
        <v/>
      </c>
      <c r="B20" s="87">
        <f>IF(D20="","",COUNTIF($D$10:D20,D20))</f>
        <v>10</v>
      </c>
      <c r="C20" s="88">
        <v>45762</v>
      </c>
      <c r="D20" s="87">
        <v>4</v>
      </c>
      <c r="E20" s="89" t="s">
        <v>428</v>
      </c>
      <c r="F20" s="90">
        <v>4</v>
      </c>
      <c r="G20" s="91" t="s">
        <v>440</v>
      </c>
      <c r="H20" s="91">
        <f t="shared" si="1"/>
        <v>2025</v>
      </c>
      <c r="I20" s="92" t="s">
        <v>426</v>
      </c>
      <c r="J20" s="87" t="s">
        <v>427</v>
      </c>
      <c r="L20" s="86"/>
      <c r="M20" s="86"/>
      <c r="N20" s="86"/>
      <c r="O20" s="86"/>
      <c r="P20" s="86"/>
      <c r="Q20" s="86"/>
    </row>
    <row r="21" spans="1:17">
      <c r="A21" s="75" t="str">
        <f t="shared" si="0"/>
        <v/>
      </c>
      <c r="B21" s="87">
        <f>IF(D21="","",COUNTIF($D$10:D21,D21))</f>
        <v>11</v>
      </c>
      <c r="C21" s="88">
        <v>45763</v>
      </c>
      <c r="D21" s="87">
        <v>4</v>
      </c>
      <c r="E21" s="89" t="s">
        <v>433</v>
      </c>
      <c r="F21" s="90">
        <v>4</v>
      </c>
      <c r="G21" s="91" t="s">
        <v>441</v>
      </c>
      <c r="H21" s="91">
        <f t="shared" si="1"/>
        <v>2025</v>
      </c>
      <c r="I21" s="92" t="s">
        <v>426</v>
      </c>
      <c r="J21" s="87" t="s">
        <v>427</v>
      </c>
      <c r="L21" s="86"/>
      <c r="M21" s="86"/>
      <c r="N21" s="86"/>
      <c r="O21" s="86"/>
      <c r="P21" s="86"/>
      <c r="Q21" s="86"/>
    </row>
    <row r="22" spans="1:17">
      <c r="A22" s="75" t="str">
        <f t="shared" si="0"/>
        <v/>
      </c>
      <c r="B22" s="87">
        <f>IF(D22="","",COUNTIF($D$10:D22,D22))</f>
        <v>12</v>
      </c>
      <c r="C22" s="88">
        <v>45763</v>
      </c>
      <c r="D22" s="87">
        <v>4</v>
      </c>
      <c r="E22" s="89" t="s">
        <v>424</v>
      </c>
      <c r="F22" s="90">
        <v>4</v>
      </c>
      <c r="G22" s="91" t="s">
        <v>442</v>
      </c>
      <c r="H22" s="91">
        <f t="shared" si="1"/>
        <v>2025</v>
      </c>
      <c r="I22" s="92" t="s">
        <v>426</v>
      </c>
      <c r="J22" s="87" t="s">
        <v>427</v>
      </c>
      <c r="L22" s="86"/>
      <c r="M22" s="86"/>
      <c r="N22" s="86"/>
      <c r="O22" s="86"/>
      <c r="P22" s="86"/>
      <c r="Q22" s="86"/>
    </row>
    <row r="23" spans="1:17">
      <c r="A23" s="75" t="str">
        <f t="shared" si="0"/>
        <v/>
      </c>
      <c r="B23" s="87">
        <f>IF(D23="","",COUNTIF($D$10:D23,D23))</f>
        <v>13</v>
      </c>
      <c r="C23" s="88">
        <v>45764</v>
      </c>
      <c r="D23" s="87">
        <v>4</v>
      </c>
      <c r="E23" s="89" t="s">
        <v>431</v>
      </c>
      <c r="F23" s="90">
        <v>4</v>
      </c>
      <c r="G23" s="91" t="s">
        <v>443</v>
      </c>
      <c r="H23" s="91">
        <f t="shared" si="1"/>
        <v>2025</v>
      </c>
      <c r="I23" s="92" t="s">
        <v>426</v>
      </c>
      <c r="J23" s="87" t="s">
        <v>427</v>
      </c>
      <c r="L23" s="86"/>
      <c r="M23" s="86"/>
      <c r="N23" s="86"/>
      <c r="O23" s="86"/>
      <c r="P23" s="86"/>
      <c r="Q23" s="86"/>
    </row>
    <row r="24" spans="1:17">
      <c r="A24" s="75" t="str">
        <f t="shared" si="0"/>
        <v/>
      </c>
      <c r="B24" s="87">
        <f>IF(D24="","",COUNTIF($D$10:D24,D24))</f>
        <v>14</v>
      </c>
      <c r="C24" s="88">
        <v>45765</v>
      </c>
      <c r="D24" s="87">
        <v>4</v>
      </c>
      <c r="E24" s="89" t="s">
        <v>431</v>
      </c>
      <c r="F24" s="90">
        <v>4</v>
      </c>
      <c r="G24" s="91" t="s">
        <v>444</v>
      </c>
      <c r="H24" s="91">
        <f t="shared" si="1"/>
        <v>2025</v>
      </c>
      <c r="I24" s="92" t="s">
        <v>426</v>
      </c>
      <c r="J24" s="87" t="s">
        <v>427</v>
      </c>
      <c r="L24" s="86"/>
      <c r="M24" s="86"/>
      <c r="N24" s="86"/>
      <c r="O24" s="86"/>
      <c r="P24" s="86"/>
      <c r="Q24" s="86"/>
    </row>
    <row r="25" spans="1:17">
      <c r="A25" s="75" t="str">
        <f t="shared" si="0"/>
        <v/>
      </c>
      <c r="B25" s="87">
        <f>IF(D25="","",COUNTIF($D$10:D25,D25))</f>
        <v>15</v>
      </c>
      <c r="C25" s="88">
        <v>45765</v>
      </c>
      <c r="D25" s="87">
        <v>4</v>
      </c>
      <c r="E25" s="89" t="s">
        <v>435</v>
      </c>
      <c r="F25" s="90">
        <v>4</v>
      </c>
      <c r="G25" s="91" t="s">
        <v>437</v>
      </c>
      <c r="H25" s="91">
        <f t="shared" si="1"/>
        <v>2025</v>
      </c>
      <c r="I25" s="92" t="s">
        <v>426</v>
      </c>
      <c r="J25" s="87" t="s">
        <v>427</v>
      </c>
      <c r="L25" s="86"/>
      <c r="M25" s="86"/>
      <c r="N25" s="86"/>
      <c r="O25" s="86"/>
      <c r="P25" s="86"/>
      <c r="Q25" s="86"/>
    </row>
    <row r="26" spans="1:17">
      <c r="A26" s="75" t="str">
        <f t="shared" si="0"/>
        <v/>
      </c>
      <c r="B26" s="87">
        <f>IF(D26="","",COUNTIF($D$10:D26,D26))</f>
        <v>16</v>
      </c>
      <c r="C26" s="88">
        <v>45766</v>
      </c>
      <c r="D26" s="87">
        <v>4</v>
      </c>
      <c r="E26" s="89" t="s">
        <v>424</v>
      </c>
      <c r="F26" s="90">
        <v>4</v>
      </c>
      <c r="G26" s="91" t="s">
        <v>445</v>
      </c>
      <c r="H26" s="91">
        <f t="shared" si="1"/>
        <v>2025</v>
      </c>
      <c r="I26" s="92" t="s">
        <v>426</v>
      </c>
      <c r="J26" s="87" t="s">
        <v>427</v>
      </c>
      <c r="L26" s="86"/>
      <c r="M26" s="86"/>
      <c r="N26" s="86"/>
      <c r="O26" s="86"/>
      <c r="P26" s="86"/>
      <c r="Q26" s="86"/>
    </row>
    <row r="27" spans="1:17">
      <c r="A27" s="75" t="str">
        <f t="shared" si="0"/>
        <v/>
      </c>
      <c r="B27" s="87">
        <f>IF(D27="","",COUNTIF($D$10:D27,D27))</f>
        <v>17</v>
      </c>
      <c r="C27" s="88">
        <v>45766</v>
      </c>
      <c r="D27" s="87">
        <v>4</v>
      </c>
      <c r="E27" s="89" t="s">
        <v>433</v>
      </c>
      <c r="F27" s="90">
        <v>4</v>
      </c>
      <c r="G27" s="91" t="s">
        <v>446</v>
      </c>
      <c r="H27" s="91">
        <f t="shared" si="1"/>
        <v>2025</v>
      </c>
      <c r="I27" s="92" t="s">
        <v>426</v>
      </c>
      <c r="J27" s="87" t="s">
        <v>427</v>
      </c>
      <c r="L27" s="86"/>
      <c r="M27" s="86"/>
      <c r="N27" s="86"/>
      <c r="O27" s="86"/>
      <c r="P27" s="86"/>
      <c r="Q27" s="86"/>
    </row>
    <row r="28" spans="1:17">
      <c r="A28" s="75" t="str">
        <f t="shared" si="0"/>
        <v/>
      </c>
      <c r="B28" s="87">
        <f>IF(D28="","",COUNTIF($D$10:D28,D28))</f>
        <v>18</v>
      </c>
      <c r="C28" s="88">
        <v>45768</v>
      </c>
      <c r="D28" s="87">
        <v>4</v>
      </c>
      <c r="E28" s="89" t="s">
        <v>447</v>
      </c>
      <c r="F28" s="90">
        <v>2</v>
      </c>
      <c r="G28" s="91" t="s">
        <v>448</v>
      </c>
      <c r="H28" s="91">
        <f t="shared" si="1"/>
        <v>2025</v>
      </c>
      <c r="I28" s="92" t="s">
        <v>426</v>
      </c>
      <c r="J28" s="87" t="s">
        <v>427</v>
      </c>
      <c r="L28" s="86"/>
      <c r="M28" s="86"/>
      <c r="N28" s="86"/>
      <c r="O28" s="86"/>
      <c r="P28" s="86"/>
      <c r="Q28" s="86"/>
    </row>
    <row r="29" spans="1:17">
      <c r="A29" s="75" t="str">
        <f t="shared" si="0"/>
        <v/>
      </c>
      <c r="B29" s="87">
        <f>IF(D29="","",COUNTIF($D$10:D29,D29))</f>
        <v>19</v>
      </c>
      <c r="C29" s="88">
        <v>45768</v>
      </c>
      <c r="D29" s="87">
        <v>4</v>
      </c>
      <c r="E29" s="89" t="s">
        <v>449</v>
      </c>
      <c r="F29" s="90">
        <v>2</v>
      </c>
      <c r="G29" s="91" t="s">
        <v>450</v>
      </c>
      <c r="H29" s="91">
        <f t="shared" si="1"/>
        <v>2025</v>
      </c>
      <c r="I29" s="92" t="s">
        <v>426</v>
      </c>
      <c r="J29" s="87" t="s">
        <v>427</v>
      </c>
      <c r="L29" s="86"/>
      <c r="M29" s="86"/>
      <c r="N29" s="86"/>
      <c r="O29" s="86"/>
      <c r="P29" s="86"/>
      <c r="Q29" s="86"/>
    </row>
    <row r="30" spans="1:17">
      <c r="A30" s="75" t="str">
        <f t="shared" si="0"/>
        <v/>
      </c>
      <c r="B30" s="87">
        <f>IF(D30="","",COUNTIF($D$10:D30,D30))</f>
        <v>20</v>
      </c>
      <c r="C30" s="88">
        <v>45769</v>
      </c>
      <c r="D30" s="87">
        <v>4</v>
      </c>
      <c r="E30" s="89" t="s">
        <v>431</v>
      </c>
      <c r="F30" s="90">
        <v>4</v>
      </c>
      <c r="G30" s="91" t="s">
        <v>451</v>
      </c>
      <c r="H30" s="91">
        <f t="shared" si="1"/>
        <v>2025</v>
      </c>
      <c r="I30" s="92" t="s">
        <v>426</v>
      </c>
      <c r="J30" s="87" t="s">
        <v>427</v>
      </c>
      <c r="L30" s="86"/>
      <c r="M30" s="86"/>
      <c r="N30" s="86"/>
      <c r="O30" s="86"/>
      <c r="P30" s="86"/>
      <c r="Q30" s="86"/>
    </row>
    <row r="31" spans="1:17">
      <c r="A31" s="75" t="str">
        <f t="shared" si="0"/>
        <v/>
      </c>
      <c r="B31" s="87">
        <f>IF(D31="","",COUNTIF($D$10:D31,D31))</f>
        <v>21</v>
      </c>
      <c r="C31" s="88">
        <v>45769</v>
      </c>
      <c r="D31" s="87">
        <v>4</v>
      </c>
      <c r="E31" s="89" t="s">
        <v>449</v>
      </c>
      <c r="F31" s="90">
        <v>2</v>
      </c>
      <c r="G31" s="91" t="s">
        <v>452</v>
      </c>
      <c r="H31" s="91">
        <f t="shared" si="1"/>
        <v>2025</v>
      </c>
      <c r="I31" s="92" t="s">
        <v>426</v>
      </c>
      <c r="J31" s="87" t="s">
        <v>427</v>
      </c>
      <c r="L31" s="86"/>
      <c r="M31" s="86"/>
      <c r="N31" s="86"/>
      <c r="O31" s="86"/>
      <c r="P31" s="86"/>
      <c r="Q31" s="86"/>
    </row>
    <row r="32" spans="1:17">
      <c r="A32" s="75" t="str">
        <f t="shared" si="0"/>
        <v/>
      </c>
      <c r="B32" s="87">
        <f>IF(D32="","",COUNTIF($D$10:D32,D32))</f>
        <v>22</v>
      </c>
      <c r="C32" s="88">
        <v>45769</v>
      </c>
      <c r="D32" s="87">
        <v>4</v>
      </c>
      <c r="E32" s="89" t="s">
        <v>449</v>
      </c>
      <c r="F32" s="90">
        <v>2</v>
      </c>
      <c r="G32" s="91" t="s">
        <v>452</v>
      </c>
      <c r="H32" s="91">
        <f t="shared" si="1"/>
        <v>2025</v>
      </c>
      <c r="I32" s="92" t="s">
        <v>426</v>
      </c>
      <c r="J32" s="87" t="s">
        <v>427</v>
      </c>
      <c r="L32" s="93"/>
    </row>
    <row r="33" spans="1:12">
      <c r="A33" s="75" t="str">
        <f t="shared" si="0"/>
        <v/>
      </c>
      <c r="B33" s="87">
        <f>IF(D33="","",COUNTIF($D$10:D33,D33))</f>
        <v>23</v>
      </c>
      <c r="C33" s="88">
        <v>45770</v>
      </c>
      <c r="D33" s="87">
        <v>4</v>
      </c>
      <c r="E33" s="89" t="s">
        <v>453</v>
      </c>
      <c r="F33" s="90">
        <v>4</v>
      </c>
      <c r="G33" s="91" t="s">
        <v>429</v>
      </c>
      <c r="H33" s="91">
        <f t="shared" si="1"/>
        <v>2025</v>
      </c>
      <c r="I33" s="92" t="s">
        <v>426</v>
      </c>
      <c r="J33" s="87" t="s">
        <v>427</v>
      </c>
      <c r="L33" s="93"/>
    </row>
    <row r="34" spans="1:12">
      <c r="A34" s="75" t="str">
        <f t="shared" si="0"/>
        <v/>
      </c>
      <c r="B34" s="87">
        <f>IF(D34="","",COUNTIF($D$10:D34,D34))</f>
        <v>24</v>
      </c>
      <c r="C34" s="88">
        <v>45770</v>
      </c>
      <c r="D34" s="87">
        <v>4</v>
      </c>
      <c r="E34" s="89" t="s">
        <v>454</v>
      </c>
      <c r="F34" s="90">
        <v>2</v>
      </c>
      <c r="G34" s="91" t="s">
        <v>455</v>
      </c>
      <c r="H34" s="91">
        <f t="shared" si="1"/>
        <v>2025</v>
      </c>
      <c r="I34" s="92" t="s">
        <v>426</v>
      </c>
      <c r="J34" s="87" t="s">
        <v>427</v>
      </c>
      <c r="L34" s="93"/>
    </row>
    <row r="35" spans="1:12">
      <c r="A35" s="75" t="str">
        <f t="shared" si="0"/>
        <v/>
      </c>
      <c r="B35" s="87">
        <f>IF(D35="","",COUNTIF($D$10:D35,D35))</f>
        <v>25</v>
      </c>
      <c r="C35" s="88">
        <v>45770</v>
      </c>
      <c r="D35" s="87">
        <v>4</v>
      </c>
      <c r="E35" s="89" t="s">
        <v>454</v>
      </c>
      <c r="F35" s="90">
        <v>2</v>
      </c>
      <c r="G35" s="91" t="s">
        <v>456</v>
      </c>
      <c r="H35" s="91">
        <f t="shared" si="1"/>
        <v>2025</v>
      </c>
      <c r="I35" s="92" t="s">
        <v>426</v>
      </c>
      <c r="J35" s="87" t="s">
        <v>427</v>
      </c>
      <c r="L35" s="93"/>
    </row>
    <row r="36" spans="1:12">
      <c r="A36" s="75" t="str">
        <f t="shared" si="0"/>
        <v/>
      </c>
      <c r="B36" s="87">
        <f>IF(D36="","",COUNTIF($D$10:D36,D36))</f>
        <v>26</v>
      </c>
      <c r="C36" s="88">
        <v>45771</v>
      </c>
      <c r="D36" s="87">
        <v>4</v>
      </c>
      <c r="E36" s="89" t="s">
        <v>424</v>
      </c>
      <c r="F36" s="90">
        <v>4</v>
      </c>
      <c r="G36" s="91" t="s">
        <v>457</v>
      </c>
      <c r="H36" s="91">
        <f t="shared" si="1"/>
        <v>2025</v>
      </c>
      <c r="I36" s="92" t="s">
        <v>426</v>
      </c>
      <c r="J36" s="87" t="s">
        <v>427</v>
      </c>
      <c r="L36" s="93"/>
    </row>
    <row r="37" spans="1:12">
      <c r="A37" s="75" t="str">
        <f t="shared" si="0"/>
        <v/>
      </c>
      <c r="B37" s="87">
        <f>IF(D37="","",COUNTIF($D$10:D37,D37))</f>
        <v>27</v>
      </c>
      <c r="C37" s="88">
        <v>45771</v>
      </c>
      <c r="D37" s="87">
        <v>4</v>
      </c>
      <c r="E37" s="89" t="s">
        <v>438</v>
      </c>
      <c r="F37" s="90">
        <v>4</v>
      </c>
      <c r="G37" s="91" t="s">
        <v>458</v>
      </c>
      <c r="H37" s="91">
        <f t="shared" si="1"/>
        <v>2025</v>
      </c>
      <c r="I37" s="92" t="s">
        <v>426</v>
      </c>
      <c r="J37" s="87" t="s">
        <v>427</v>
      </c>
      <c r="L37" s="93"/>
    </row>
    <row r="38" spans="1:12">
      <c r="A38" s="75" t="str">
        <f t="shared" si="0"/>
        <v/>
      </c>
      <c r="B38" s="87">
        <f>IF(D38="","",COUNTIF($D$10:D38,D38))</f>
        <v>28</v>
      </c>
      <c r="C38" s="88">
        <v>45772</v>
      </c>
      <c r="D38" s="87">
        <v>4</v>
      </c>
      <c r="E38" s="89" t="s">
        <v>453</v>
      </c>
      <c r="F38" s="90">
        <v>4</v>
      </c>
      <c r="G38" s="91" t="s">
        <v>458</v>
      </c>
      <c r="H38" s="91">
        <f t="shared" si="1"/>
        <v>2025</v>
      </c>
      <c r="I38" s="92" t="s">
        <v>426</v>
      </c>
      <c r="J38" s="87" t="s">
        <v>427</v>
      </c>
      <c r="L38" s="93"/>
    </row>
    <row r="39" spans="1:12">
      <c r="A39" s="75" t="str">
        <f t="shared" si="0"/>
        <v/>
      </c>
      <c r="B39" s="87">
        <f>IF(D39="","",COUNTIF($D$10:D39,D39))</f>
        <v>29</v>
      </c>
      <c r="C39" s="88">
        <v>45772</v>
      </c>
      <c r="D39" s="87">
        <v>4</v>
      </c>
      <c r="E39" s="89" t="s">
        <v>431</v>
      </c>
      <c r="F39" s="90">
        <v>4</v>
      </c>
      <c r="G39" s="91" t="s">
        <v>457</v>
      </c>
      <c r="H39" s="91">
        <f t="shared" si="1"/>
        <v>2025</v>
      </c>
      <c r="I39" s="92" t="s">
        <v>426</v>
      </c>
      <c r="J39" s="87" t="s">
        <v>427</v>
      </c>
      <c r="L39" s="93"/>
    </row>
    <row r="40" spans="1:12">
      <c r="A40" s="75" t="str">
        <f t="shared" si="0"/>
        <v/>
      </c>
      <c r="B40" s="87" t="str">
        <f>IF(D40="","",COUNTIF($D$10:D40,D40))</f>
        <v/>
      </c>
      <c r="C40" s="92"/>
      <c r="D40" s="87"/>
      <c r="E40" s="89"/>
      <c r="F40" s="90"/>
      <c r="G40" s="91"/>
      <c r="H40" s="91"/>
      <c r="I40" s="92"/>
      <c r="J40" s="87"/>
    </row>
    <row r="41" spans="1:12">
      <c r="A41" s="75" t="str">
        <f t="shared" si="0"/>
        <v/>
      </c>
      <c r="B41" s="87">
        <f>IF(D41="","",COUNTIF($D$10:D41,D41))</f>
        <v>1</v>
      </c>
      <c r="C41" s="88">
        <v>45773</v>
      </c>
      <c r="D41" s="87">
        <v>5</v>
      </c>
      <c r="E41" s="94" t="s">
        <v>428</v>
      </c>
      <c r="F41" s="90">
        <v>4</v>
      </c>
      <c r="G41" s="91" t="s">
        <v>459</v>
      </c>
      <c r="H41" s="91">
        <f t="shared" ref="H41:H70" si="2">YEAR(C41)</f>
        <v>2025</v>
      </c>
      <c r="I41" s="92" t="s">
        <v>426</v>
      </c>
      <c r="J41" s="87" t="s">
        <v>460</v>
      </c>
      <c r="L41" s="93"/>
    </row>
    <row r="42" spans="1:12">
      <c r="A42" s="75" t="str">
        <f t="shared" si="0"/>
        <v/>
      </c>
      <c r="B42" s="87">
        <f>IF(D42="","",COUNTIF($D$10:D42,D42))</f>
        <v>2</v>
      </c>
      <c r="C42" s="88">
        <v>45775</v>
      </c>
      <c r="D42" s="87">
        <v>5</v>
      </c>
      <c r="E42" s="94" t="s">
        <v>435</v>
      </c>
      <c r="F42" s="90">
        <v>4</v>
      </c>
      <c r="G42" s="91" t="s">
        <v>442</v>
      </c>
      <c r="H42" s="91">
        <f t="shared" si="2"/>
        <v>2025</v>
      </c>
      <c r="I42" s="92" t="s">
        <v>426</v>
      </c>
      <c r="J42" s="87" t="s">
        <v>460</v>
      </c>
      <c r="L42" s="93"/>
    </row>
    <row r="43" spans="1:12">
      <c r="A43" s="75" t="str">
        <f t="shared" si="0"/>
        <v/>
      </c>
      <c r="B43" s="87">
        <f>IF(D43="","",COUNTIF($D$10:D43,D43))</f>
        <v>3</v>
      </c>
      <c r="C43" s="88">
        <v>45776</v>
      </c>
      <c r="D43" s="87">
        <v>5</v>
      </c>
      <c r="E43" s="89" t="s">
        <v>438</v>
      </c>
      <c r="F43" s="90">
        <v>4</v>
      </c>
      <c r="G43" s="91" t="s">
        <v>461</v>
      </c>
      <c r="H43" s="91">
        <f t="shared" si="2"/>
        <v>2025</v>
      </c>
      <c r="I43" s="92" t="s">
        <v>426</v>
      </c>
      <c r="J43" s="87" t="s">
        <v>460</v>
      </c>
      <c r="L43" s="93"/>
    </row>
    <row r="44" spans="1:12">
      <c r="A44" s="75" t="str">
        <f t="shared" si="0"/>
        <v/>
      </c>
      <c r="B44" s="87">
        <f>IF(D44="","",COUNTIF($D$10:D44,D44))</f>
        <v>4</v>
      </c>
      <c r="C44" s="88">
        <v>45777</v>
      </c>
      <c r="D44" s="87">
        <v>5</v>
      </c>
      <c r="E44" s="89" t="s">
        <v>431</v>
      </c>
      <c r="F44" s="90">
        <v>4</v>
      </c>
      <c r="G44" s="91" t="s">
        <v>462</v>
      </c>
      <c r="H44" s="91">
        <f t="shared" si="2"/>
        <v>2025</v>
      </c>
      <c r="I44" s="92" t="s">
        <v>426</v>
      </c>
      <c r="J44" s="87" t="s">
        <v>460</v>
      </c>
      <c r="L44" s="93"/>
    </row>
    <row r="45" spans="1:12">
      <c r="A45" s="75" t="str">
        <f t="shared" si="0"/>
        <v/>
      </c>
      <c r="B45" s="87">
        <f>IF(D45="","",COUNTIF($D$10:D45,D45))</f>
        <v>5</v>
      </c>
      <c r="C45" s="88">
        <v>45778</v>
      </c>
      <c r="D45" s="87">
        <v>5</v>
      </c>
      <c r="E45" s="89" t="s">
        <v>453</v>
      </c>
      <c r="F45" s="90">
        <v>4</v>
      </c>
      <c r="G45" s="91" t="s">
        <v>450</v>
      </c>
      <c r="H45" s="91">
        <f t="shared" si="2"/>
        <v>2025</v>
      </c>
      <c r="I45" s="92" t="s">
        <v>426</v>
      </c>
      <c r="J45" s="87" t="s">
        <v>460</v>
      </c>
      <c r="L45" s="93"/>
    </row>
    <row r="46" spans="1:12">
      <c r="A46" s="75" t="str">
        <f t="shared" si="0"/>
        <v/>
      </c>
      <c r="B46" s="87">
        <f>IF(D46="","",COUNTIF($D$10:D46,D46))</f>
        <v>6</v>
      </c>
      <c r="C46" s="88">
        <v>45779</v>
      </c>
      <c r="D46" s="87">
        <v>5</v>
      </c>
      <c r="E46" s="89" t="s">
        <v>435</v>
      </c>
      <c r="F46" s="90">
        <v>4</v>
      </c>
      <c r="G46" s="91" t="s">
        <v>440</v>
      </c>
      <c r="H46" s="91">
        <f t="shared" si="2"/>
        <v>2025</v>
      </c>
      <c r="I46" s="92" t="s">
        <v>426</v>
      </c>
      <c r="J46" s="87" t="s">
        <v>460</v>
      </c>
      <c r="L46" s="93"/>
    </row>
    <row r="47" spans="1:12">
      <c r="A47" s="75" t="str">
        <f t="shared" si="0"/>
        <v/>
      </c>
      <c r="B47" s="87">
        <f>IF(D47="","",COUNTIF($D$10:D47,D47))</f>
        <v>7</v>
      </c>
      <c r="C47" s="88">
        <v>45780</v>
      </c>
      <c r="D47" s="87">
        <v>5</v>
      </c>
      <c r="E47" s="89" t="s">
        <v>454</v>
      </c>
      <c r="F47" s="90">
        <v>2</v>
      </c>
      <c r="G47" s="91" t="s">
        <v>463</v>
      </c>
      <c r="H47" s="91">
        <f t="shared" si="2"/>
        <v>2025</v>
      </c>
      <c r="I47" s="92" t="s">
        <v>426</v>
      </c>
      <c r="J47" s="87" t="s">
        <v>460</v>
      </c>
      <c r="L47" s="93"/>
    </row>
    <row r="48" spans="1:12">
      <c r="A48" s="75" t="str">
        <f t="shared" si="0"/>
        <v/>
      </c>
      <c r="B48" s="87">
        <f>IF(D48="","",COUNTIF($D$10:D48,D48))</f>
        <v>8</v>
      </c>
      <c r="C48" s="88">
        <v>45780</v>
      </c>
      <c r="D48" s="87">
        <v>5</v>
      </c>
      <c r="E48" s="89" t="s">
        <v>447</v>
      </c>
      <c r="F48" s="90">
        <v>2</v>
      </c>
      <c r="G48" s="91" t="s">
        <v>464</v>
      </c>
      <c r="H48" s="91">
        <f t="shared" si="2"/>
        <v>2025</v>
      </c>
      <c r="I48" s="92" t="s">
        <v>426</v>
      </c>
      <c r="J48" s="87" t="s">
        <v>460</v>
      </c>
      <c r="L48" s="93"/>
    </row>
    <row r="49" spans="1:12">
      <c r="A49" s="75" t="str">
        <f t="shared" si="0"/>
        <v/>
      </c>
      <c r="B49" s="87">
        <f>IF(D49="","",COUNTIF($D$10:D49,D49))</f>
        <v>9</v>
      </c>
      <c r="C49" s="88">
        <v>45783</v>
      </c>
      <c r="D49" s="87">
        <v>5</v>
      </c>
      <c r="E49" s="89" t="s">
        <v>428</v>
      </c>
      <c r="F49" s="90">
        <v>4</v>
      </c>
      <c r="G49" s="91" t="s">
        <v>465</v>
      </c>
      <c r="H49" s="91">
        <f t="shared" si="2"/>
        <v>2025</v>
      </c>
      <c r="I49" s="92" t="s">
        <v>426</v>
      </c>
      <c r="J49" s="87" t="s">
        <v>460</v>
      </c>
      <c r="L49" s="93"/>
    </row>
    <row r="50" spans="1:12">
      <c r="A50" s="75" t="str">
        <f t="shared" si="0"/>
        <v/>
      </c>
      <c r="B50" s="87">
        <f>IF(D50="","",COUNTIF($D$10:D50,D50))</f>
        <v>10</v>
      </c>
      <c r="C50" s="88">
        <v>45785</v>
      </c>
      <c r="D50" s="87">
        <v>5</v>
      </c>
      <c r="E50" s="89" t="s">
        <v>431</v>
      </c>
      <c r="F50" s="90">
        <v>4</v>
      </c>
      <c r="G50" s="91" t="s">
        <v>439</v>
      </c>
      <c r="H50" s="91">
        <f t="shared" si="2"/>
        <v>2025</v>
      </c>
      <c r="I50" s="92" t="s">
        <v>426</v>
      </c>
      <c r="J50" s="87" t="s">
        <v>460</v>
      </c>
      <c r="L50" s="93"/>
    </row>
    <row r="51" spans="1:12">
      <c r="A51" s="75" t="str">
        <f t="shared" si="0"/>
        <v/>
      </c>
      <c r="B51" s="87">
        <f>IF(D51="","",COUNTIF($D$10:D51,D51))</f>
        <v>11</v>
      </c>
      <c r="C51" s="88">
        <v>45786</v>
      </c>
      <c r="D51" s="87">
        <v>5</v>
      </c>
      <c r="E51" s="89" t="s">
        <v>438</v>
      </c>
      <c r="F51" s="90">
        <v>4</v>
      </c>
      <c r="G51" s="91" t="s">
        <v>466</v>
      </c>
      <c r="H51" s="91">
        <f t="shared" si="2"/>
        <v>2025</v>
      </c>
      <c r="I51" s="92" t="s">
        <v>426</v>
      </c>
      <c r="J51" s="87" t="s">
        <v>460</v>
      </c>
      <c r="L51" s="93"/>
    </row>
    <row r="52" spans="1:12">
      <c r="A52" s="75" t="str">
        <f t="shared" si="0"/>
        <v/>
      </c>
      <c r="B52" s="87">
        <f>IF(D52="","",COUNTIF($D$10:D52,D52))</f>
        <v>12</v>
      </c>
      <c r="C52" s="88">
        <v>45787</v>
      </c>
      <c r="D52" s="87">
        <v>5</v>
      </c>
      <c r="E52" s="89" t="s">
        <v>453</v>
      </c>
      <c r="F52" s="90">
        <v>4</v>
      </c>
      <c r="G52" s="91" t="s">
        <v>450</v>
      </c>
      <c r="H52" s="91">
        <f t="shared" si="2"/>
        <v>2025</v>
      </c>
      <c r="I52" s="92" t="s">
        <v>426</v>
      </c>
      <c r="J52" s="87" t="s">
        <v>460</v>
      </c>
      <c r="L52" s="93"/>
    </row>
    <row r="53" spans="1:12">
      <c r="A53" s="75" t="str">
        <f t="shared" si="0"/>
        <v/>
      </c>
      <c r="B53" s="87">
        <f>IF(D53="","",COUNTIF($D$10:D53,D53))</f>
        <v>13</v>
      </c>
      <c r="C53" s="88">
        <v>45789</v>
      </c>
      <c r="D53" s="87">
        <v>5</v>
      </c>
      <c r="E53" s="89" t="s">
        <v>431</v>
      </c>
      <c r="F53" s="90">
        <v>4</v>
      </c>
      <c r="G53" s="91" t="s">
        <v>437</v>
      </c>
      <c r="H53" s="91">
        <f t="shared" si="2"/>
        <v>2025</v>
      </c>
      <c r="I53" s="92" t="s">
        <v>426</v>
      </c>
      <c r="J53" s="87" t="s">
        <v>460</v>
      </c>
      <c r="L53" s="93"/>
    </row>
    <row r="54" spans="1:12">
      <c r="A54" s="75" t="str">
        <f t="shared" si="0"/>
        <v/>
      </c>
      <c r="B54" s="87">
        <f>IF(D54="","",COUNTIF($D$10:D54,D54))</f>
        <v>14</v>
      </c>
      <c r="C54" s="88">
        <v>45790</v>
      </c>
      <c r="D54" s="87">
        <v>5</v>
      </c>
      <c r="E54" s="89" t="s">
        <v>428</v>
      </c>
      <c r="F54" s="90">
        <v>4</v>
      </c>
      <c r="G54" s="91" t="s">
        <v>467</v>
      </c>
      <c r="H54" s="91">
        <f t="shared" si="2"/>
        <v>2025</v>
      </c>
      <c r="I54" s="92" t="s">
        <v>426</v>
      </c>
      <c r="J54" s="87" t="s">
        <v>460</v>
      </c>
      <c r="L54" s="93"/>
    </row>
    <row r="55" spans="1:12">
      <c r="A55" s="75" t="str">
        <f t="shared" si="0"/>
        <v/>
      </c>
      <c r="B55" s="87">
        <f>IF(D55="","",COUNTIF($D$10:D55,D55))</f>
        <v>15</v>
      </c>
      <c r="C55" s="88">
        <v>45791</v>
      </c>
      <c r="D55" s="87">
        <v>5</v>
      </c>
      <c r="E55" s="89" t="s">
        <v>453</v>
      </c>
      <c r="F55" s="90">
        <v>4</v>
      </c>
      <c r="G55" s="91" t="s">
        <v>468</v>
      </c>
      <c r="H55" s="91">
        <f t="shared" si="2"/>
        <v>2025</v>
      </c>
      <c r="I55" s="92" t="s">
        <v>426</v>
      </c>
      <c r="J55" s="87" t="s">
        <v>460</v>
      </c>
      <c r="L55" s="93"/>
    </row>
    <row r="56" spans="1:12">
      <c r="A56" s="75" t="str">
        <f t="shared" si="0"/>
        <v/>
      </c>
      <c r="B56" s="87">
        <f>IF(D56="","",COUNTIF($D$10:D56,D56))</f>
        <v>16</v>
      </c>
      <c r="C56" s="88">
        <v>45792</v>
      </c>
      <c r="D56" s="87">
        <v>5</v>
      </c>
      <c r="E56" s="89" t="s">
        <v>435</v>
      </c>
      <c r="F56" s="90">
        <v>4</v>
      </c>
      <c r="G56" s="91" t="s">
        <v>466</v>
      </c>
      <c r="H56" s="91">
        <f t="shared" si="2"/>
        <v>2025</v>
      </c>
      <c r="I56" s="92" t="s">
        <v>426</v>
      </c>
      <c r="J56" s="87" t="s">
        <v>460</v>
      </c>
      <c r="L56" s="93"/>
    </row>
    <row r="57" spans="1:12">
      <c r="A57" s="75" t="str">
        <f t="shared" si="0"/>
        <v/>
      </c>
      <c r="B57" s="87">
        <f>IF(D57="","",COUNTIF($D$10:D57,D57))</f>
        <v>17</v>
      </c>
      <c r="C57" s="88">
        <v>45796</v>
      </c>
      <c r="D57" s="87">
        <v>5</v>
      </c>
      <c r="E57" s="89" t="s">
        <v>438</v>
      </c>
      <c r="F57" s="90">
        <v>4</v>
      </c>
      <c r="G57" s="91" t="s">
        <v>469</v>
      </c>
      <c r="H57" s="91">
        <f t="shared" si="2"/>
        <v>2025</v>
      </c>
      <c r="I57" s="92" t="s">
        <v>426</v>
      </c>
      <c r="J57" s="87" t="s">
        <v>460</v>
      </c>
      <c r="L57" s="93"/>
    </row>
    <row r="58" spans="1:12">
      <c r="A58" s="75" t="str">
        <f t="shared" si="0"/>
        <v/>
      </c>
      <c r="B58" s="87">
        <f>IF(D58="","",COUNTIF($D$10:D58,D58))</f>
        <v>18</v>
      </c>
      <c r="C58" s="88">
        <v>45797</v>
      </c>
      <c r="D58" s="87">
        <v>5</v>
      </c>
      <c r="E58" s="89" t="s">
        <v>454</v>
      </c>
      <c r="F58" s="90">
        <v>2</v>
      </c>
      <c r="G58" s="91" t="s">
        <v>470</v>
      </c>
      <c r="H58" s="91">
        <f t="shared" si="2"/>
        <v>2025</v>
      </c>
      <c r="I58" s="92" t="s">
        <v>426</v>
      </c>
      <c r="J58" s="87" t="s">
        <v>460</v>
      </c>
      <c r="L58" s="93"/>
    </row>
    <row r="59" spans="1:12">
      <c r="A59" s="75" t="str">
        <f t="shared" si="0"/>
        <v/>
      </c>
      <c r="B59" s="87">
        <f>IF(D59="","",COUNTIF($D$10:D59,D59))</f>
        <v>19</v>
      </c>
      <c r="C59" s="88">
        <v>45797</v>
      </c>
      <c r="D59" s="87">
        <v>5</v>
      </c>
      <c r="E59" s="89" t="s">
        <v>449</v>
      </c>
      <c r="F59" s="90">
        <v>2</v>
      </c>
      <c r="G59" s="91" t="s">
        <v>471</v>
      </c>
      <c r="H59" s="91">
        <f t="shared" si="2"/>
        <v>2025</v>
      </c>
      <c r="I59" s="92" t="s">
        <v>426</v>
      </c>
      <c r="J59" s="87" t="s">
        <v>460</v>
      </c>
      <c r="L59" s="93"/>
    </row>
    <row r="60" spans="1:12">
      <c r="A60" s="75" t="str">
        <f t="shared" si="0"/>
        <v/>
      </c>
      <c r="B60" s="87">
        <f>IF(D60="","",COUNTIF($D$10:D60,D60))</f>
        <v>20</v>
      </c>
      <c r="C60" s="88">
        <v>45800</v>
      </c>
      <c r="D60" s="87">
        <v>5</v>
      </c>
      <c r="E60" s="89" t="s">
        <v>431</v>
      </c>
      <c r="F60" s="90">
        <v>4</v>
      </c>
      <c r="G60" s="91" t="s">
        <v>472</v>
      </c>
      <c r="H60" s="91">
        <f t="shared" si="2"/>
        <v>2025</v>
      </c>
      <c r="I60" s="92" t="s">
        <v>426</v>
      </c>
      <c r="J60" s="87" t="s">
        <v>460</v>
      </c>
      <c r="L60" s="93"/>
    </row>
    <row r="61" spans="1:12">
      <c r="A61" s="75" t="str">
        <f t="shared" si="0"/>
        <v/>
      </c>
      <c r="B61" s="87">
        <f>IF(D61="","",COUNTIF($D$10:D61,D61))</f>
        <v>21</v>
      </c>
      <c r="C61" s="88">
        <v>45801</v>
      </c>
      <c r="D61" s="87">
        <v>5</v>
      </c>
      <c r="E61" s="89" t="s">
        <v>428</v>
      </c>
      <c r="F61" s="90">
        <v>4</v>
      </c>
      <c r="G61" s="91" t="s">
        <v>437</v>
      </c>
      <c r="H61" s="91">
        <f t="shared" si="2"/>
        <v>2025</v>
      </c>
      <c r="I61" s="92" t="s">
        <v>426</v>
      </c>
      <c r="J61" s="87" t="s">
        <v>460</v>
      </c>
      <c r="L61" s="93"/>
    </row>
    <row r="62" spans="1:12">
      <c r="A62" s="75" t="str">
        <f t="shared" si="0"/>
        <v/>
      </c>
      <c r="B62" s="87">
        <f>IF(D62="","",COUNTIF($D$10:D62,D62))</f>
        <v>22</v>
      </c>
      <c r="C62" s="88">
        <v>45803</v>
      </c>
      <c r="D62" s="87">
        <v>5</v>
      </c>
      <c r="E62" s="89" t="s">
        <v>431</v>
      </c>
      <c r="F62" s="90">
        <v>4</v>
      </c>
      <c r="G62" s="91" t="s">
        <v>473</v>
      </c>
      <c r="H62" s="91">
        <f t="shared" si="2"/>
        <v>2025</v>
      </c>
      <c r="I62" s="92" t="s">
        <v>426</v>
      </c>
      <c r="J62" s="87" t="s">
        <v>460</v>
      </c>
      <c r="L62" s="93"/>
    </row>
    <row r="63" spans="1:12">
      <c r="A63" s="75" t="str">
        <f t="shared" si="0"/>
        <v/>
      </c>
      <c r="B63" s="87">
        <f>IF(D63="","",COUNTIF($D$10:D63,D63))</f>
        <v>23</v>
      </c>
      <c r="C63" s="88">
        <v>45804</v>
      </c>
      <c r="D63" s="87">
        <v>5</v>
      </c>
      <c r="E63" s="89" t="s">
        <v>449</v>
      </c>
      <c r="F63" s="90">
        <v>2</v>
      </c>
      <c r="G63" s="91" t="s">
        <v>432</v>
      </c>
      <c r="H63" s="91">
        <f t="shared" si="2"/>
        <v>2025</v>
      </c>
      <c r="I63" s="92" t="s">
        <v>426</v>
      </c>
      <c r="J63" s="87" t="s">
        <v>460</v>
      </c>
      <c r="L63" s="93"/>
    </row>
    <row r="64" spans="1:12">
      <c r="A64" s="75" t="str">
        <f t="shared" si="0"/>
        <v/>
      </c>
      <c r="B64" s="87">
        <f>IF(D64="","",COUNTIF($D$10:D64,D64))</f>
        <v>24</v>
      </c>
      <c r="C64" s="88">
        <v>45804</v>
      </c>
      <c r="D64" s="87">
        <v>5</v>
      </c>
      <c r="E64" s="89" t="s">
        <v>449</v>
      </c>
      <c r="F64" s="90">
        <v>2</v>
      </c>
      <c r="G64" s="91" t="s">
        <v>474</v>
      </c>
      <c r="H64" s="91">
        <f t="shared" si="2"/>
        <v>2025</v>
      </c>
      <c r="I64" s="92" t="s">
        <v>426</v>
      </c>
      <c r="J64" s="87" t="s">
        <v>460</v>
      </c>
      <c r="L64" s="93"/>
    </row>
    <row r="65" spans="1:12">
      <c r="A65" s="75" t="str">
        <f t="shared" si="0"/>
        <v/>
      </c>
      <c r="B65" s="87">
        <f>IF(D65="","",COUNTIF($D$10:D65,D65))</f>
        <v>25</v>
      </c>
      <c r="C65" s="88">
        <v>45805</v>
      </c>
      <c r="D65" s="87">
        <v>5</v>
      </c>
      <c r="E65" s="89" t="s">
        <v>449</v>
      </c>
      <c r="F65" s="90">
        <v>2</v>
      </c>
      <c r="G65" s="91" t="s">
        <v>475</v>
      </c>
      <c r="H65" s="91">
        <f t="shared" si="2"/>
        <v>2025</v>
      </c>
      <c r="I65" s="92" t="s">
        <v>426</v>
      </c>
      <c r="J65" s="87" t="s">
        <v>460</v>
      </c>
      <c r="L65" s="93"/>
    </row>
    <row r="66" spans="1:12">
      <c r="A66" s="75" t="str">
        <f t="shared" si="0"/>
        <v/>
      </c>
      <c r="B66" s="87">
        <f>IF(D66="","",COUNTIF($D$10:D66,D66))</f>
        <v>26</v>
      </c>
      <c r="C66" s="88">
        <v>45805</v>
      </c>
      <c r="D66" s="87">
        <v>5</v>
      </c>
      <c r="E66" s="89" t="s">
        <v>449</v>
      </c>
      <c r="F66" s="90">
        <v>2</v>
      </c>
      <c r="G66" s="91" t="s">
        <v>476</v>
      </c>
      <c r="H66" s="91">
        <f t="shared" si="2"/>
        <v>2025</v>
      </c>
      <c r="I66" s="92" t="s">
        <v>426</v>
      </c>
      <c r="J66" s="87" t="s">
        <v>460</v>
      </c>
      <c r="L66" s="93"/>
    </row>
    <row r="67" spans="1:12">
      <c r="A67" s="75" t="str">
        <f t="shared" si="0"/>
        <v/>
      </c>
      <c r="B67" s="87">
        <f>IF(D67="","",COUNTIF($D$10:D67,D67))</f>
        <v>27</v>
      </c>
      <c r="C67" s="88">
        <v>45806</v>
      </c>
      <c r="D67" s="87">
        <v>5</v>
      </c>
      <c r="E67" s="89" t="s">
        <v>449</v>
      </c>
      <c r="F67" s="90">
        <v>2</v>
      </c>
      <c r="G67" s="91" t="s">
        <v>477</v>
      </c>
      <c r="H67" s="91">
        <f t="shared" si="2"/>
        <v>2025</v>
      </c>
      <c r="I67" s="92" t="s">
        <v>426</v>
      </c>
      <c r="J67" s="87" t="s">
        <v>460</v>
      </c>
      <c r="L67" s="93"/>
    </row>
    <row r="68" spans="1:12">
      <c r="A68" s="75" t="str">
        <f t="shared" si="0"/>
        <v/>
      </c>
      <c r="B68" s="87">
        <f>IF(D68="","",COUNTIF($D$10:D68,D68))</f>
        <v>28</v>
      </c>
      <c r="C68" s="88">
        <v>45806</v>
      </c>
      <c r="D68" s="87">
        <v>5</v>
      </c>
      <c r="E68" s="89" t="s">
        <v>454</v>
      </c>
      <c r="F68" s="90">
        <v>2</v>
      </c>
      <c r="G68" s="91" t="s">
        <v>478</v>
      </c>
      <c r="H68" s="91">
        <f t="shared" si="2"/>
        <v>2025</v>
      </c>
      <c r="I68" s="92" t="s">
        <v>426</v>
      </c>
      <c r="J68" s="87" t="s">
        <v>460</v>
      </c>
      <c r="L68" s="93"/>
    </row>
    <row r="69" spans="1:12">
      <c r="A69" s="75" t="str">
        <f t="shared" si="0"/>
        <v/>
      </c>
      <c r="B69" s="87">
        <f>IF(D69="","",COUNTIF($D$10:D69,D69))</f>
        <v>29</v>
      </c>
      <c r="C69" s="88">
        <v>45807</v>
      </c>
      <c r="D69" s="87">
        <v>5</v>
      </c>
      <c r="E69" s="89" t="s">
        <v>449</v>
      </c>
      <c r="F69" s="90">
        <v>2</v>
      </c>
      <c r="G69" s="91" t="s">
        <v>479</v>
      </c>
      <c r="H69" s="91">
        <f t="shared" si="2"/>
        <v>2025</v>
      </c>
      <c r="I69" s="92" t="s">
        <v>426</v>
      </c>
      <c r="J69" s="87" t="s">
        <v>460</v>
      </c>
      <c r="L69" s="93"/>
    </row>
    <row r="70" spans="1:12">
      <c r="A70" s="75" t="str">
        <f t="shared" si="0"/>
        <v/>
      </c>
      <c r="B70" s="87">
        <f>IF(D70="","",COUNTIF($D$10:D70,D70))</f>
        <v>30</v>
      </c>
      <c r="C70" s="88">
        <v>45807</v>
      </c>
      <c r="D70" s="87">
        <v>5</v>
      </c>
      <c r="E70" s="89" t="s">
        <v>449</v>
      </c>
      <c r="F70" s="90">
        <v>2</v>
      </c>
      <c r="G70" s="91" t="s">
        <v>466</v>
      </c>
      <c r="H70" s="91">
        <f t="shared" si="2"/>
        <v>2025</v>
      </c>
      <c r="I70" s="92" t="s">
        <v>426</v>
      </c>
      <c r="J70" s="87" t="s">
        <v>460</v>
      </c>
      <c r="L70" s="93"/>
    </row>
    <row r="71" spans="1:12">
      <c r="A71" s="75" t="str">
        <f t="shared" si="0"/>
        <v/>
      </c>
      <c r="B71" s="87" t="str">
        <f>IF(D71="","",COUNTIF($D$10:D71,D71))</f>
        <v/>
      </c>
      <c r="C71" s="92"/>
      <c r="D71" s="87"/>
      <c r="E71" s="89"/>
      <c r="F71" s="90"/>
      <c r="G71" s="91"/>
      <c r="H71" s="91"/>
      <c r="I71" s="92"/>
      <c r="J71" s="87"/>
    </row>
    <row r="72" spans="1:12">
      <c r="A72" s="75" t="str">
        <f t="shared" si="0"/>
        <v/>
      </c>
      <c r="B72" s="87">
        <f>IF(D72="","",COUNTIF($D$10:D72,D72))</f>
        <v>1</v>
      </c>
      <c r="C72" s="88">
        <v>45810</v>
      </c>
      <c r="D72" s="87">
        <v>6</v>
      </c>
      <c r="E72" s="89" t="s">
        <v>435</v>
      </c>
      <c r="F72" s="90">
        <v>4</v>
      </c>
      <c r="G72" s="91" t="s">
        <v>480</v>
      </c>
      <c r="H72" s="91">
        <f t="shared" ref="H72:H100" si="3">YEAR(C72)</f>
        <v>2025</v>
      </c>
      <c r="I72" s="92" t="s">
        <v>426</v>
      </c>
      <c r="J72" s="87" t="s">
        <v>481</v>
      </c>
      <c r="L72" s="93"/>
    </row>
    <row r="73" spans="1:12">
      <c r="A73" s="75" t="str">
        <f t="shared" si="0"/>
        <v/>
      </c>
      <c r="B73" s="87">
        <f>IF(D73="","",COUNTIF($D$10:D73,D73))</f>
        <v>2</v>
      </c>
      <c r="C73" s="88">
        <v>45810</v>
      </c>
      <c r="D73" s="87">
        <v>6</v>
      </c>
      <c r="E73" s="89" t="s">
        <v>449</v>
      </c>
      <c r="F73" s="90">
        <v>2</v>
      </c>
      <c r="G73" s="91" t="s">
        <v>482</v>
      </c>
      <c r="H73" s="91">
        <f t="shared" si="3"/>
        <v>2025</v>
      </c>
      <c r="I73" s="92" t="s">
        <v>426</v>
      </c>
      <c r="J73" s="87" t="s">
        <v>481</v>
      </c>
      <c r="L73" s="93"/>
    </row>
    <row r="74" spans="1:12">
      <c r="A74" s="75" t="str">
        <f t="shared" si="0"/>
        <v/>
      </c>
      <c r="B74" s="87">
        <f>IF(D74="","",COUNTIF($D$10:D74,D74))</f>
        <v>3</v>
      </c>
      <c r="C74" s="88">
        <v>45810</v>
      </c>
      <c r="D74" s="87">
        <v>6</v>
      </c>
      <c r="E74" s="89" t="s">
        <v>449</v>
      </c>
      <c r="F74" s="90">
        <v>2</v>
      </c>
      <c r="G74" s="91" t="s">
        <v>467</v>
      </c>
      <c r="H74" s="91">
        <f t="shared" si="3"/>
        <v>2025</v>
      </c>
      <c r="I74" s="92" t="s">
        <v>426</v>
      </c>
      <c r="J74" s="87" t="s">
        <v>481</v>
      </c>
      <c r="L74" s="93"/>
    </row>
    <row r="75" spans="1:12">
      <c r="A75" s="75" t="str">
        <f t="shared" ref="A75:A138" si="4">IF(AND($E$3="ALL",$E$4="ALL"),"ALL",IF(AND($E$3="ALL",$E$4&lt;&gt;"ALL"),IF(D75=$E$4,D75,""),IF(AND($E$3&lt;&gt;"ALL",$E$4="ALL"),IF(I75=$E$3,I75,""),"")))</f>
        <v/>
      </c>
      <c r="B75" s="87">
        <f>IF(D75="","",COUNTIF($D$10:D75,D75))</f>
        <v>4</v>
      </c>
      <c r="C75" s="88">
        <v>45811</v>
      </c>
      <c r="D75" s="87">
        <v>6</v>
      </c>
      <c r="E75" s="89" t="s">
        <v>447</v>
      </c>
      <c r="F75" s="90">
        <v>2</v>
      </c>
      <c r="G75" s="91" t="s">
        <v>483</v>
      </c>
      <c r="H75" s="91">
        <f t="shared" si="3"/>
        <v>2025</v>
      </c>
      <c r="I75" s="92" t="s">
        <v>426</v>
      </c>
      <c r="J75" s="87" t="s">
        <v>481</v>
      </c>
      <c r="L75" s="93"/>
    </row>
    <row r="76" spans="1:12">
      <c r="A76" s="75" t="str">
        <f t="shared" si="4"/>
        <v/>
      </c>
      <c r="B76" s="87">
        <f>IF(D76="","",COUNTIF($D$10:D76,D76))</f>
        <v>5</v>
      </c>
      <c r="C76" s="88">
        <v>45811</v>
      </c>
      <c r="D76" s="87">
        <v>6</v>
      </c>
      <c r="E76" s="89" t="s">
        <v>447</v>
      </c>
      <c r="F76" s="90">
        <v>2</v>
      </c>
      <c r="G76" s="91" t="s">
        <v>484</v>
      </c>
      <c r="H76" s="91">
        <f t="shared" si="3"/>
        <v>2025</v>
      </c>
      <c r="I76" s="92" t="s">
        <v>426</v>
      </c>
      <c r="J76" s="87" t="s">
        <v>481</v>
      </c>
      <c r="L76" s="93"/>
    </row>
    <row r="77" spans="1:12">
      <c r="A77" s="75" t="str">
        <f t="shared" si="4"/>
        <v/>
      </c>
      <c r="B77" s="87">
        <f>IF(D77="","",COUNTIF($D$10:D77,D77))</f>
        <v>6</v>
      </c>
      <c r="C77" s="88">
        <v>45812</v>
      </c>
      <c r="D77" s="87">
        <v>6</v>
      </c>
      <c r="E77" s="89" t="s">
        <v>447</v>
      </c>
      <c r="F77" s="90">
        <v>2</v>
      </c>
      <c r="G77" s="91" t="s">
        <v>485</v>
      </c>
      <c r="H77" s="91">
        <f t="shared" si="3"/>
        <v>2025</v>
      </c>
      <c r="I77" s="92" t="s">
        <v>426</v>
      </c>
      <c r="J77" s="87" t="s">
        <v>481</v>
      </c>
      <c r="L77" s="93"/>
    </row>
    <row r="78" spans="1:12">
      <c r="A78" s="75" t="str">
        <f t="shared" si="4"/>
        <v/>
      </c>
      <c r="B78" s="87">
        <f>IF(D78="","",COUNTIF($D$10:D78,D78))</f>
        <v>7</v>
      </c>
      <c r="C78" s="88">
        <v>45812</v>
      </c>
      <c r="D78" s="87">
        <v>6</v>
      </c>
      <c r="E78" s="89" t="s">
        <v>447</v>
      </c>
      <c r="F78" s="90">
        <v>2</v>
      </c>
      <c r="G78" s="91" t="s">
        <v>486</v>
      </c>
      <c r="H78" s="91">
        <f t="shared" si="3"/>
        <v>2025</v>
      </c>
      <c r="I78" s="92" t="s">
        <v>426</v>
      </c>
      <c r="J78" s="87" t="s">
        <v>481</v>
      </c>
      <c r="L78" s="93"/>
    </row>
    <row r="79" spans="1:12">
      <c r="A79" s="75" t="str">
        <f t="shared" si="4"/>
        <v/>
      </c>
      <c r="B79" s="87">
        <f>IF(D79="","",COUNTIF($D$10:D79,D79))</f>
        <v>8</v>
      </c>
      <c r="C79" s="88">
        <v>45813</v>
      </c>
      <c r="D79" s="87">
        <v>6</v>
      </c>
      <c r="E79" s="89" t="s">
        <v>449</v>
      </c>
      <c r="F79" s="90">
        <v>2</v>
      </c>
      <c r="G79" s="91" t="s">
        <v>455</v>
      </c>
      <c r="H79" s="91">
        <f t="shared" si="3"/>
        <v>2025</v>
      </c>
      <c r="I79" s="92" t="s">
        <v>426</v>
      </c>
      <c r="J79" s="87" t="s">
        <v>481</v>
      </c>
      <c r="L79" s="93"/>
    </row>
    <row r="80" spans="1:12">
      <c r="A80" s="75" t="str">
        <f t="shared" si="4"/>
        <v/>
      </c>
      <c r="B80" s="87">
        <f>IF(D80="","",COUNTIF($D$10:D80,D80))</f>
        <v>9</v>
      </c>
      <c r="C80" s="88">
        <v>45813</v>
      </c>
      <c r="D80" s="87">
        <v>6</v>
      </c>
      <c r="E80" s="89" t="s">
        <v>449</v>
      </c>
      <c r="F80" s="90">
        <v>2</v>
      </c>
      <c r="G80" s="91" t="s">
        <v>487</v>
      </c>
      <c r="H80" s="91">
        <f t="shared" si="3"/>
        <v>2025</v>
      </c>
      <c r="I80" s="92" t="s">
        <v>426</v>
      </c>
      <c r="J80" s="87" t="s">
        <v>481</v>
      </c>
      <c r="L80" s="93"/>
    </row>
    <row r="81" spans="1:12">
      <c r="A81" s="75" t="str">
        <f t="shared" si="4"/>
        <v/>
      </c>
      <c r="B81" s="87">
        <f>IF(D81="","",COUNTIF($D$10:D81,D81))</f>
        <v>10</v>
      </c>
      <c r="C81" s="88">
        <v>45815</v>
      </c>
      <c r="D81" s="87">
        <v>6</v>
      </c>
      <c r="E81" s="89" t="s">
        <v>431</v>
      </c>
      <c r="F81" s="90">
        <v>4</v>
      </c>
      <c r="G81" s="91" t="s">
        <v>488</v>
      </c>
      <c r="H81" s="91">
        <f t="shared" si="3"/>
        <v>2025</v>
      </c>
      <c r="I81" s="92" t="s">
        <v>426</v>
      </c>
      <c r="J81" s="87" t="s">
        <v>481</v>
      </c>
      <c r="L81" s="93"/>
    </row>
    <row r="82" spans="1:12">
      <c r="A82" s="75" t="str">
        <f t="shared" si="4"/>
        <v/>
      </c>
      <c r="B82" s="87">
        <f>IF(D82="","",COUNTIF($D$10:D82,D82))</f>
        <v>11</v>
      </c>
      <c r="C82" s="88">
        <v>45816</v>
      </c>
      <c r="D82" s="87">
        <v>6</v>
      </c>
      <c r="E82" s="89" t="s">
        <v>431</v>
      </c>
      <c r="F82" s="90">
        <v>4</v>
      </c>
      <c r="G82" s="91" t="s">
        <v>489</v>
      </c>
      <c r="H82" s="91">
        <f t="shared" si="3"/>
        <v>2025</v>
      </c>
      <c r="I82" s="92" t="s">
        <v>426</v>
      </c>
      <c r="J82" s="87" t="s">
        <v>481</v>
      </c>
      <c r="L82" s="93"/>
    </row>
    <row r="83" spans="1:12">
      <c r="A83" s="75" t="str">
        <f t="shared" si="4"/>
        <v/>
      </c>
      <c r="B83" s="87">
        <f>IF(D83="","",COUNTIF($D$10:D83,D83))</f>
        <v>12</v>
      </c>
      <c r="C83" s="88">
        <v>45816</v>
      </c>
      <c r="D83" s="87">
        <v>6</v>
      </c>
      <c r="E83" s="89" t="s">
        <v>431</v>
      </c>
      <c r="F83" s="90">
        <v>4</v>
      </c>
      <c r="G83" s="91" t="s">
        <v>490</v>
      </c>
      <c r="H83" s="91">
        <f t="shared" si="3"/>
        <v>2025</v>
      </c>
      <c r="I83" s="92" t="s">
        <v>426</v>
      </c>
      <c r="J83" s="87" t="s">
        <v>481</v>
      </c>
      <c r="L83" s="93"/>
    </row>
    <row r="84" spans="1:12">
      <c r="A84" s="75" t="str">
        <f t="shared" si="4"/>
        <v/>
      </c>
      <c r="B84" s="87">
        <f>IF(D84="","",COUNTIF($D$10:D84,D84))</f>
        <v>13</v>
      </c>
      <c r="C84" s="88">
        <v>45817</v>
      </c>
      <c r="D84" s="87">
        <v>6</v>
      </c>
      <c r="E84" s="89" t="s">
        <v>453</v>
      </c>
      <c r="F84" s="90">
        <v>4</v>
      </c>
      <c r="G84" s="91" t="s">
        <v>491</v>
      </c>
      <c r="H84" s="91">
        <f t="shared" si="3"/>
        <v>2025</v>
      </c>
      <c r="I84" s="92" t="s">
        <v>426</v>
      </c>
      <c r="J84" s="87" t="s">
        <v>481</v>
      </c>
      <c r="L84" s="93"/>
    </row>
    <row r="85" spans="1:12">
      <c r="A85" s="75" t="str">
        <f t="shared" si="4"/>
        <v/>
      </c>
      <c r="B85" s="87">
        <f>IF(D85="","",COUNTIF($D$10:D85,D85))</f>
        <v>14</v>
      </c>
      <c r="C85" s="88">
        <v>45821</v>
      </c>
      <c r="D85" s="87">
        <v>6</v>
      </c>
      <c r="E85" s="89" t="s">
        <v>431</v>
      </c>
      <c r="F85" s="90">
        <v>4</v>
      </c>
      <c r="G85" s="91" t="s">
        <v>440</v>
      </c>
      <c r="H85" s="91">
        <f t="shared" si="3"/>
        <v>2025</v>
      </c>
      <c r="I85" s="92" t="s">
        <v>426</v>
      </c>
      <c r="J85" s="87" t="s">
        <v>481</v>
      </c>
      <c r="L85" s="93"/>
    </row>
    <row r="86" spans="1:12">
      <c r="A86" s="75" t="str">
        <f t="shared" si="4"/>
        <v/>
      </c>
      <c r="B86" s="87">
        <f>IF(D86="","",COUNTIF($D$10:D86,D86))</f>
        <v>15</v>
      </c>
      <c r="C86" s="88">
        <v>45824</v>
      </c>
      <c r="D86" s="87">
        <v>6</v>
      </c>
      <c r="E86" s="89" t="s">
        <v>435</v>
      </c>
      <c r="F86" s="90">
        <v>4</v>
      </c>
      <c r="G86" s="91" t="s">
        <v>473</v>
      </c>
      <c r="H86" s="91">
        <f t="shared" si="3"/>
        <v>2025</v>
      </c>
      <c r="I86" s="92" t="s">
        <v>426</v>
      </c>
      <c r="J86" s="87" t="s">
        <v>481</v>
      </c>
      <c r="L86" s="93"/>
    </row>
    <row r="87" spans="1:12">
      <c r="A87" s="75" t="str">
        <f t="shared" si="4"/>
        <v/>
      </c>
      <c r="B87" s="87">
        <f>IF(D87="","",COUNTIF($D$10:D87,D87))</f>
        <v>16</v>
      </c>
      <c r="C87" s="88">
        <v>45825</v>
      </c>
      <c r="D87" s="87">
        <v>6</v>
      </c>
      <c r="E87" s="89" t="s">
        <v>492</v>
      </c>
      <c r="F87" s="90">
        <v>4</v>
      </c>
      <c r="G87" s="91" t="s">
        <v>491</v>
      </c>
      <c r="H87" s="91">
        <f t="shared" si="3"/>
        <v>2025</v>
      </c>
      <c r="I87" s="92" t="s">
        <v>426</v>
      </c>
      <c r="J87" s="87" t="s">
        <v>481</v>
      </c>
      <c r="L87" s="93"/>
    </row>
    <row r="88" spans="1:12">
      <c r="A88" s="75" t="str">
        <f t="shared" si="4"/>
        <v/>
      </c>
      <c r="B88" s="87">
        <f>IF(D88="","",COUNTIF($D$10:D88,D88))</f>
        <v>17</v>
      </c>
      <c r="C88" s="88">
        <v>45825</v>
      </c>
      <c r="D88" s="87">
        <v>6</v>
      </c>
      <c r="E88" s="89" t="s">
        <v>424</v>
      </c>
      <c r="F88" s="90">
        <v>4</v>
      </c>
      <c r="G88" s="91" t="s">
        <v>491</v>
      </c>
      <c r="H88" s="91">
        <f t="shared" si="3"/>
        <v>2025</v>
      </c>
      <c r="I88" s="92" t="s">
        <v>426</v>
      </c>
      <c r="J88" s="87" t="s">
        <v>481</v>
      </c>
      <c r="L88" s="93"/>
    </row>
    <row r="89" spans="1:12">
      <c r="A89" s="75" t="str">
        <f t="shared" si="4"/>
        <v/>
      </c>
      <c r="B89" s="87">
        <f>IF(D89="","",COUNTIF($D$10:D89,D89))</f>
        <v>18</v>
      </c>
      <c r="C89" s="88">
        <v>45826</v>
      </c>
      <c r="D89" s="87">
        <v>6</v>
      </c>
      <c r="E89" s="89" t="s">
        <v>453</v>
      </c>
      <c r="F89" s="90">
        <v>4</v>
      </c>
      <c r="G89" s="91" t="s">
        <v>493</v>
      </c>
      <c r="H89" s="91">
        <f t="shared" si="3"/>
        <v>2025</v>
      </c>
      <c r="I89" s="92" t="s">
        <v>426</v>
      </c>
      <c r="J89" s="87" t="s">
        <v>481</v>
      </c>
      <c r="L89" s="93"/>
    </row>
    <row r="90" spans="1:12">
      <c r="A90" s="75" t="str">
        <f t="shared" si="4"/>
        <v/>
      </c>
      <c r="B90" s="87">
        <f>IF(D90="","",COUNTIF($D$10:D90,D90))</f>
        <v>19</v>
      </c>
      <c r="C90" s="88">
        <v>45827</v>
      </c>
      <c r="D90" s="87">
        <v>6</v>
      </c>
      <c r="E90" s="89" t="s">
        <v>438</v>
      </c>
      <c r="F90" s="90">
        <v>4</v>
      </c>
      <c r="G90" s="91" t="s">
        <v>462</v>
      </c>
      <c r="H90" s="91">
        <f t="shared" si="3"/>
        <v>2025</v>
      </c>
      <c r="I90" s="92" t="s">
        <v>426</v>
      </c>
      <c r="J90" s="87" t="s">
        <v>481</v>
      </c>
      <c r="L90" s="93"/>
    </row>
    <row r="91" spans="1:12">
      <c r="A91" s="75" t="str">
        <f t="shared" si="4"/>
        <v/>
      </c>
      <c r="B91" s="87">
        <f>IF(D91="","",COUNTIF($D$10:D91,D91))</f>
        <v>20</v>
      </c>
      <c r="C91" s="88">
        <v>45828</v>
      </c>
      <c r="D91" s="87">
        <v>6</v>
      </c>
      <c r="E91" s="89" t="s">
        <v>431</v>
      </c>
      <c r="F91" s="90">
        <v>4</v>
      </c>
      <c r="G91" s="91" t="s">
        <v>462</v>
      </c>
      <c r="H91" s="91">
        <f t="shared" si="3"/>
        <v>2025</v>
      </c>
      <c r="I91" s="92" t="s">
        <v>426</v>
      </c>
      <c r="J91" s="87" t="s">
        <v>481</v>
      </c>
      <c r="L91" s="93"/>
    </row>
    <row r="92" spans="1:12">
      <c r="A92" s="75" t="str">
        <f t="shared" si="4"/>
        <v/>
      </c>
      <c r="B92" s="87">
        <f>IF(D92="","",COUNTIF($D$10:D92,D92))</f>
        <v>21</v>
      </c>
      <c r="C92" s="88">
        <v>45828</v>
      </c>
      <c r="D92" s="87">
        <v>6</v>
      </c>
      <c r="E92" s="89" t="s">
        <v>433</v>
      </c>
      <c r="F92" s="90">
        <v>4</v>
      </c>
      <c r="G92" s="91" t="s">
        <v>494</v>
      </c>
      <c r="H92" s="91">
        <f t="shared" si="3"/>
        <v>2025</v>
      </c>
      <c r="I92" s="92" t="s">
        <v>426</v>
      </c>
      <c r="J92" s="87" t="s">
        <v>481</v>
      </c>
      <c r="L92" s="93"/>
    </row>
    <row r="93" spans="1:12">
      <c r="A93" s="75" t="str">
        <f t="shared" si="4"/>
        <v/>
      </c>
      <c r="B93" s="87">
        <f>IF(D93="","",COUNTIF($D$10:D93,D93))</f>
        <v>22</v>
      </c>
      <c r="C93" s="88">
        <v>45829</v>
      </c>
      <c r="D93" s="87">
        <v>6</v>
      </c>
      <c r="E93" s="89" t="s">
        <v>435</v>
      </c>
      <c r="F93" s="90">
        <v>4</v>
      </c>
      <c r="G93" s="91" t="s">
        <v>461</v>
      </c>
      <c r="H93" s="91">
        <f t="shared" si="3"/>
        <v>2025</v>
      </c>
      <c r="I93" s="92" t="s">
        <v>426</v>
      </c>
      <c r="J93" s="87" t="s">
        <v>481</v>
      </c>
      <c r="L93" s="93"/>
    </row>
    <row r="94" spans="1:12">
      <c r="A94" s="75" t="str">
        <f t="shared" si="4"/>
        <v/>
      </c>
      <c r="B94" s="87">
        <f>IF(D94="","",COUNTIF($D$10:D94,D94))</f>
        <v>23</v>
      </c>
      <c r="C94" s="88">
        <v>45831</v>
      </c>
      <c r="D94" s="87">
        <v>6</v>
      </c>
      <c r="E94" s="89" t="s">
        <v>492</v>
      </c>
      <c r="F94" s="90">
        <v>4</v>
      </c>
      <c r="G94" s="91" t="s">
        <v>473</v>
      </c>
      <c r="H94" s="91">
        <f t="shared" si="3"/>
        <v>2025</v>
      </c>
      <c r="I94" s="92" t="s">
        <v>426</v>
      </c>
      <c r="J94" s="87" t="s">
        <v>481</v>
      </c>
      <c r="L94" s="93"/>
    </row>
    <row r="95" spans="1:12">
      <c r="A95" s="75" t="str">
        <f t="shared" si="4"/>
        <v/>
      </c>
      <c r="B95" s="87">
        <f>IF(D95="","",COUNTIF($D$10:D95,D95))</f>
        <v>24</v>
      </c>
      <c r="C95" s="88">
        <v>45832</v>
      </c>
      <c r="D95" s="87">
        <v>6</v>
      </c>
      <c r="E95" s="89" t="s">
        <v>438</v>
      </c>
      <c r="F95" s="90">
        <v>4</v>
      </c>
      <c r="G95" s="91" t="s">
        <v>448</v>
      </c>
      <c r="H95" s="91">
        <f t="shared" si="3"/>
        <v>2025</v>
      </c>
      <c r="I95" s="92" t="s">
        <v>426</v>
      </c>
      <c r="J95" s="87" t="s">
        <v>481</v>
      </c>
      <c r="L95" s="93"/>
    </row>
    <row r="96" spans="1:12">
      <c r="A96" s="75" t="str">
        <f t="shared" si="4"/>
        <v/>
      </c>
      <c r="B96" s="87">
        <f>IF(D96="","",COUNTIF($D$10:D96,D96))</f>
        <v>25</v>
      </c>
      <c r="C96" s="88">
        <v>45833</v>
      </c>
      <c r="D96" s="87">
        <v>6</v>
      </c>
      <c r="E96" s="89" t="s">
        <v>453</v>
      </c>
      <c r="F96" s="90">
        <v>4</v>
      </c>
      <c r="G96" s="91" t="s">
        <v>473</v>
      </c>
      <c r="H96" s="91">
        <f t="shared" si="3"/>
        <v>2025</v>
      </c>
      <c r="I96" s="92" t="s">
        <v>426</v>
      </c>
      <c r="J96" s="87" t="s">
        <v>481</v>
      </c>
      <c r="L96" s="93"/>
    </row>
    <row r="97" spans="1:12">
      <c r="A97" s="75" t="str">
        <f t="shared" si="4"/>
        <v/>
      </c>
      <c r="B97" s="87">
        <f>IF(D97="","",COUNTIF($D$10:D97,D97))</f>
        <v>26</v>
      </c>
      <c r="C97" s="88">
        <v>45835</v>
      </c>
      <c r="D97" s="87">
        <v>6</v>
      </c>
      <c r="E97" s="89" t="s">
        <v>492</v>
      </c>
      <c r="F97" s="90">
        <v>4</v>
      </c>
      <c r="G97" s="91" t="s">
        <v>439</v>
      </c>
      <c r="H97" s="91">
        <f t="shared" si="3"/>
        <v>2025</v>
      </c>
      <c r="I97" s="92" t="s">
        <v>426</v>
      </c>
      <c r="J97" s="87" t="s">
        <v>481</v>
      </c>
      <c r="L97" s="93"/>
    </row>
    <row r="98" spans="1:12">
      <c r="A98" s="75" t="str">
        <f t="shared" si="4"/>
        <v/>
      </c>
      <c r="B98" s="87">
        <f>IF(D98="","",COUNTIF($D$10:D98,D98))</f>
        <v>27</v>
      </c>
      <c r="C98" s="88">
        <v>45835</v>
      </c>
      <c r="D98" s="87">
        <v>6</v>
      </c>
      <c r="E98" s="89" t="s">
        <v>435</v>
      </c>
      <c r="F98" s="90">
        <v>4</v>
      </c>
      <c r="G98" s="91" t="s">
        <v>495</v>
      </c>
      <c r="H98" s="91">
        <f t="shared" si="3"/>
        <v>2025</v>
      </c>
      <c r="I98" s="92" t="s">
        <v>426</v>
      </c>
      <c r="J98" s="87" t="s">
        <v>481</v>
      </c>
      <c r="L98" s="93"/>
    </row>
    <row r="99" spans="1:12">
      <c r="A99" s="75" t="str">
        <f t="shared" si="4"/>
        <v/>
      </c>
      <c r="B99" s="87">
        <f>IF(D99="","",COUNTIF($D$10:D99,D99))</f>
        <v>28</v>
      </c>
      <c r="C99" s="88">
        <v>45836</v>
      </c>
      <c r="D99" s="87">
        <v>6</v>
      </c>
      <c r="E99" s="89" t="s">
        <v>433</v>
      </c>
      <c r="F99" s="90">
        <v>4</v>
      </c>
      <c r="G99" s="91" t="s">
        <v>491</v>
      </c>
      <c r="H99" s="91">
        <f t="shared" si="3"/>
        <v>2025</v>
      </c>
      <c r="I99" s="92" t="s">
        <v>426</v>
      </c>
      <c r="J99" s="87" t="s">
        <v>481</v>
      </c>
      <c r="L99" s="93"/>
    </row>
    <row r="100" spans="1:12">
      <c r="A100" s="75" t="str">
        <f t="shared" si="4"/>
        <v/>
      </c>
      <c r="B100" s="87">
        <f>IF(D100="","",COUNTIF($D$10:D100,D100))</f>
        <v>29</v>
      </c>
      <c r="C100" s="88">
        <v>45838</v>
      </c>
      <c r="D100" s="87">
        <v>6</v>
      </c>
      <c r="E100" s="89" t="s">
        <v>438</v>
      </c>
      <c r="F100" s="90">
        <v>4</v>
      </c>
      <c r="G100" s="91" t="s">
        <v>496</v>
      </c>
      <c r="H100" s="91">
        <f t="shared" si="3"/>
        <v>2025</v>
      </c>
      <c r="I100" s="92" t="s">
        <v>426</v>
      </c>
      <c r="J100" s="87" t="s">
        <v>481</v>
      </c>
      <c r="L100" s="93"/>
    </row>
    <row r="101" spans="1:12">
      <c r="A101" s="75" t="str">
        <f t="shared" si="4"/>
        <v/>
      </c>
      <c r="B101" s="87" t="str">
        <f>IF(D101="","",COUNTIF($D$10:D101,D101))</f>
        <v/>
      </c>
    </row>
    <row r="102" spans="1:12">
      <c r="A102" s="75" t="str">
        <f t="shared" si="4"/>
        <v/>
      </c>
      <c r="B102" s="87">
        <f>IF(D102="","",COUNTIF($D$10:D102,D102))</f>
        <v>1</v>
      </c>
      <c r="C102" s="88">
        <v>45840</v>
      </c>
      <c r="D102" s="76">
        <v>7</v>
      </c>
      <c r="E102" s="77" t="s">
        <v>438</v>
      </c>
      <c r="F102" s="95">
        <v>4</v>
      </c>
      <c r="G102" s="78" t="s">
        <v>497</v>
      </c>
      <c r="H102" s="91">
        <f t="shared" ref="H102:H129" si="5">YEAR(C102)</f>
        <v>2025</v>
      </c>
      <c r="I102" s="7" t="s">
        <v>426</v>
      </c>
      <c r="J102" s="76" t="s">
        <v>498</v>
      </c>
      <c r="L102" s="93"/>
    </row>
    <row r="103" spans="1:12">
      <c r="A103" s="75" t="str">
        <f t="shared" si="4"/>
        <v/>
      </c>
      <c r="B103" s="87">
        <f>IF(D103="","",COUNTIF($D$10:D103,D103))</f>
        <v>2</v>
      </c>
      <c r="C103" s="88">
        <v>45840</v>
      </c>
      <c r="D103" s="76">
        <v>7</v>
      </c>
      <c r="E103" s="77" t="s">
        <v>453</v>
      </c>
      <c r="F103" s="95">
        <v>4</v>
      </c>
      <c r="G103" s="78" t="s">
        <v>499</v>
      </c>
      <c r="H103" s="91">
        <f t="shared" si="5"/>
        <v>2025</v>
      </c>
      <c r="I103" s="7" t="s">
        <v>426</v>
      </c>
      <c r="J103" s="76" t="s">
        <v>498</v>
      </c>
      <c r="L103" s="93"/>
    </row>
    <row r="104" spans="1:12">
      <c r="A104" s="75" t="str">
        <f t="shared" si="4"/>
        <v/>
      </c>
      <c r="B104" s="87">
        <f>IF(D104="","",COUNTIF($D$10:D104,D104))</f>
        <v>3</v>
      </c>
      <c r="C104" s="88">
        <v>45849</v>
      </c>
      <c r="D104" s="76">
        <v>7</v>
      </c>
      <c r="E104" s="77" t="s">
        <v>492</v>
      </c>
      <c r="F104" s="95">
        <v>4</v>
      </c>
      <c r="G104" s="78" t="s">
        <v>500</v>
      </c>
      <c r="H104" s="91">
        <f t="shared" si="5"/>
        <v>2025</v>
      </c>
      <c r="I104" s="7" t="s">
        <v>426</v>
      </c>
      <c r="J104" s="76" t="s">
        <v>498</v>
      </c>
      <c r="L104" s="93"/>
    </row>
    <row r="105" spans="1:12">
      <c r="A105" s="75" t="str">
        <f t="shared" si="4"/>
        <v/>
      </c>
      <c r="B105" s="87">
        <f>IF(D105="","",COUNTIF($D$10:D105,D105))</f>
        <v>4</v>
      </c>
      <c r="C105" s="88">
        <v>45852</v>
      </c>
      <c r="D105" s="76">
        <v>7</v>
      </c>
      <c r="E105" s="77" t="s">
        <v>435</v>
      </c>
      <c r="F105" s="95">
        <v>4</v>
      </c>
      <c r="G105" s="78" t="s">
        <v>501</v>
      </c>
      <c r="H105" s="91">
        <f t="shared" si="5"/>
        <v>2025</v>
      </c>
      <c r="I105" s="7" t="s">
        <v>426</v>
      </c>
      <c r="J105" s="76" t="s">
        <v>498</v>
      </c>
      <c r="L105" s="93"/>
    </row>
    <row r="106" spans="1:12">
      <c r="A106" s="75" t="str">
        <f t="shared" si="4"/>
        <v/>
      </c>
      <c r="B106" s="87">
        <f>IF(D106="","",COUNTIF($D$10:D106,D106))</f>
        <v>5</v>
      </c>
      <c r="C106" s="88">
        <v>45852</v>
      </c>
      <c r="D106" s="76">
        <v>7</v>
      </c>
      <c r="E106" s="77" t="s">
        <v>433</v>
      </c>
      <c r="F106" s="95">
        <v>4</v>
      </c>
      <c r="G106" s="78" t="s">
        <v>502</v>
      </c>
      <c r="H106" s="91">
        <f t="shared" si="5"/>
        <v>2025</v>
      </c>
      <c r="I106" s="7" t="s">
        <v>426</v>
      </c>
      <c r="J106" s="76" t="s">
        <v>498</v>
      </c>
      <c r="L106" s="93"/>
    </row>
    <row r="107" spans="1:12">
      <c r="A107" s="75" t="str">
        <f t="shared" si="4"/>
        <v/>
      </c>
      <c r="B107" s="87">
        <f>IF(D107="","",COUNTIF($D$10:D107,D107))</f>
        <v>6</v>
      </c>
      <c r="C107" s="88">
        <v>45855</v>
      </c>
      <c r="D107" s="76">
        <v>7</v>
      </c>
      <c r="E107" s="77" t="s">
        <v>503</v>
      </c>
      <c r="F107" s="95">
        <v>2</v>
      </c>
      <c r="G107" s="78" t="s">
        <v>504</v>
      </c>
      <c r="H107" s="91">
        <f t="shared" si="5"/>
        <v>2025</v>
      </c>
      <c r="I107" s="7" t="s">
        <v>426</v>
      </c>
      <c r="J107" s="76" t="s">
        <v>498</v>
      </c>
      <c r="L107" s="93"/>
    </row>
    <row r="108" spans="1:12">
      <c r="A108" s="75" t="str">
        <f t="shared" si="4"/>
        <v/>
      </c>
      <c r="B108" s="87">
        <f>IF(D108="","",COUNTIF($D$10:D108,D108))</f>
        <v>7</v>
      </c>
      <c r="C108" s="88">
        <v>45855</v>
      </c>
      <c r="D108" s="76">
        <v>7</v>
      </c>
      <c r="E108" s="77" t="s">
        <v>503</v>
      </c>
      <c r="F108" s="95">
        <v>2</v>
      </c>
      <c r="G108" s="78" t="s">
        <v>488</v>
      </c>
      <c r="H108" s="91">
        <f t="shared" si="5"/>
        <v>2025</v>
      </c>
      <c r="I108" s="7" t="s">
        <v>426</v>
      </c>
      <c r="J108" s="76" t="s">
        <v>498</v>
      </c>
      <c r="L108" s="93"/>
    </row>
    <row r="109" spans="1:12">
      <c r="A109" s="75" t="str">
        <f t="shared" si="4"/>
        <v/>
      </c>
      <c r="B109" s="87">
        <f>IF(D109="","",COUNTIF($D$10:D109,D109))</f>
        <v>8</v>
      </c>
      <c r="C109" s="88">
        <v>45856</v>
      </c>
      <c r="D109" s="76">
        <v>7</v>
      </c>
      <c r="E109" s="77" t="s">
        <v>503</v>
      </c>
      <c r="F109" s="95">
        <v>2</v>
      </c>
      <c r="G109" s="78" t="s">
        <v>505</v>
      </c>
      <c r="H109" s="91">
        <f t="shared" si="5"/>
        <v>2025</v>
      </c>
      <c r="I109" s="7" t="s">
        <v>426</v>
      </c>
      <c r="J109" s="76" t="s">
        <v>498</v>
      </c>
      <c r="L109" s="93"/>
    </row>
    <row r="110" spans="1:12">
      <c r="A110" s="75" t="str">
        <f t="shared" si="4"/>
        <v/>
      </c>
      <c r="B110" s="87">
        <f>IF(D110="","",COUNTIF($D$10:D110,D110))</f>
        <v>9</v>
      </c>
      <c r="C110" s="88">
        <v>45856</v>
      </c>
      <c r="D110" s="76">
        <v>7</v>
      </c>
      <c r="E110" s="77" t="s">
        <v>503</v>
      </c>
      <c r="F110" s="95">
        <v>2</v>
      </c>
      <c r="G110" s="78" t="s">
        <v>506</v>
      </c>
      <c r="H110" s="91">
        <f t="shared" si="5"/>
        <v>2025</v>
      </c>
      <c r="I110" s="7" t="s">
        <v>426</v>
      </c>
      <c r="J110" s="76" t="s">
        <v>498</v>
      </c>
      <c r="L110" s="93"/>
    </row>
    <row r="111" spans="1:12">
      <c r="A111" s="75" t="str">
        <f t="shared" si="4"/>
        <v/>
      </c>
      <c r="B111" s="87">
        <f>IF(D111="","",COUNTIF($D$10:D111,D111))</f>
        <v>10</v>
      </c>
      <c r="C111" s="88">
        <v>45857</v>
      </c>
      <c r="D111" s="76">
        <v>7</v>
      </c>
      <c r="E111" s="77" t="s">
        <v>503</v>
      </c>
      <c r="F111" s="95">
        <v>2</v>
      </c>
      <c r="G111" s="78" t="s">
        <v>494</v>
      </c>
      <c r="H111" s="91">
        <f t="shared" si="5"/>
        <v>2025</v>
      </c>
      <c r="I111" s="7" t="s">
        <v>426</v>
      </c>
      <c r="J111" s="76" t="s">
        <v>498</v>
      </c>
      <c r="L111" s="93"/>
    </row>
    <row r="112" spans="1:12">
      <c r="A112" s="75" t="str">
        <f t="shared" si="4"/>
        <v/>
      </c>
      <c r="B112" s="87">
        <f>IF(D112="","",COUNTIF($D$10:D112,D112))</f>
        <v>11</v>
      </c>
      <c r="C112" s="88">
        <v>45857</v>
      </c>
      <c r="D112" s="76">
        <v>7</v>
      </c>
      <c r="E112" s="77" t="s">
        <v>503</v>
      </c>
      <c r="F112" s="95">
        <v>2</v>
      </c>
      <c r="G112" s="78" t="s">
        <v>507</v>
      </c>
      <c r="H112" s="91">
        <f t="shared" si="5"/>
        <v>2025</v>
      </c>
      <c r="I112" s="7" t="s">
        <v>426</v>
      </c>
      <c r="J112" s="76" t="s">
        <v>498</v>
      </c>
      <c r="L112" s="93"/>
    </row>
    <row r="113" spans="1:12">
      <c r="A113" s="75" t="str">
        <f t="shared" si="4"/>
        <v/>
      </c>
      <c r="B113" s="87">
        <f>IF(D113="","",COUNTIF($D$10:D113,D113))</f>
        <v>12</v>
      </c>
      <c r="C113" s="88">
        <v>45859</v>
      </c>
      <c r="D113" s="76">
        <v>7</v>
      </c>
      <c r="E113" s="77" t="s">
        <v>424</v>
      </c>
      <c r="F113" s="95">
        <v>4</v>
      </c>
      <c r="G113" s="78" t="s">
        <v>461</v>
      </c>
      <c r="H113" s="91">
        <f t="shared" si="5"/>
        <v>2025</v>
      </c>
      <c r="I113" s="7" t="s">
        <v>426</v>
      </c>
      <c r="J113" s="76" t="s">
        <v>498</v>
      </c>
      <c r="L113" s="93"/>
    </row>
    <row r="114" spans="1:12">
      <c r="A114" s="75" t="str">
        <f t="shared" si="4"/>
        <v/>
      </c>
      <c r="B114" s="87">
        <f>IF(D114="","",COUNTIF($D$10:D114,D114))</f>
        <v>13</v>
      </c>
      <c r="C114" s="88">
        <v>45860</v>
      </c>
      <c r="D114" s="76">
        <v>7</v>
      </c>
      <c r="E114" s="77" t="s">
        <v>492</v>
      </c>
      <c r="F114" s="95">
        <v>4</v>
      </c>
      <c r="G114" s="78" t="s">
        <v>508</v>
      </c>
      <c r="H114" s="91">
        <f t="shared" si="5"/>
        <v>2025</v>
      </c>
      <c r="I114" s="7" t="s">
        <v>426</v>
      </c>
      <c r="J114" s="76" t="s">
        <v>498</v>
      </c>
      <c r="L114" s="93"/>
    </row>
    <row r="115" spans="1:12">
      <c r="A115" s="75" t="str">
        <f t="shared" si="4"/>
        <v/>
      </c>
      <c r="B115" s="87">
        <f>IF(D115="","",COUNTIF($D$10:D115,D115))</f>
        <v>14</v>
      </c>
      <c r="C115" s="88">
        <v>45861</v>
      </c>
      <c r="D115" s="76">
        <v>7</v>
      </c>
      <c r="E115" s="77" t="s">
        <v>433</v>
      </c>
      <c r="F115" s="95">
        <v>4</v>
      </c>
      <c r="G115" s="78" t="s">
        <v>509</v>
      </c>
      <c r="H115" s="91">
        <f t="shared" si="5"/>
        <v>2025</v>
      </c>
      <c r="I115" s="7" t="s">
        <v>426</v>
      </c>
      <c r="J115" s="76" t="s">
        <v>498</v>
      </c>
      <c r="L115" s="93"/>
    </row>
    <row r="116" spans="1:12">
      <c r="A116" s="75" t="str">
        <f t="shared" si="4"/>
        <v/>
      </c>
      <c r="B116" s="87">
        <f>IF(D116="","",COUNTIF($D$10:D116,D116))</f>
        <v>15</v>
      </c>
      <c r="C116" s="88">
        <v>45862</v>
      </c>
      <c r="D116" s="76">
        <v>7</v>
      </c>
      <c r="E116" s="77" t="s">
        <v>424</v>
      </c>
      <c r="F116" s="95">
        <v>4</v>
      </c>
      <c r="G116" s="78" t="s">
        <v>510</v>
      </c>
      <c r="H116" s="91">
        <f t="shared" si="5"/>
        <v>2025</v>
      </c>
      <c r="I116" s="7" t="s">
        <v>426</v>
      </c>
      <c r="J116" s="76" t="s">
        <v>498</v>
      </c>
      <c r="L116" s="93"/>
    </row>
    <row r="117" spans="1:12">
      <c r="A117" s="75" t="str">
        <f t="shared" si="4"/>
        <v/>
      </c>
      <c r="B117" s="87">
        <f>IF(D117="","",COUNTIF($D$10:D117,D117))</f>
        <v>16</v>
      </c>
      <c r="C117" s="88">
        <v>45862</v>
      </c>
      <c r="D117" s="76">
        <v>7</v>
      </c>
      <c r="E117" s="77" t="s">
        <v>431</v>
      </c>
      <c r="F117" s="95">
        <v>4</v>
      </c>
      <c r="G117" s="78" t="s">
        <v>511</v>
      </c>
      <c r="H117" s="91">
        <f t="shared" si="5"/>
        <v>2025</v>
      </c>
      <c r="I117" s="7" t="s">
        <v>426</v>
      </c>
      <c r="J117" s="76" t="s">
        <v>498</v>
      </c>
      <c r="L117" s="93"/>
    </row>
    <row r="118" spans="1:12">
      <c r="A118" s="75" t="str">
        <f t="shared" si="4"/>
        <v/>
      </c>
      <c r="B118" s="87">
        <f>IF(D118="","",COUNTIF($D$10:D118,D118))</f>
        <v>17</v>
      </c>
      <c r="C118" s="88">
        <v>45863</v>
      </c>
      <c r="D118" s="76">
        <v>7</v>
      </c>
      <c r="E118" s="77" t="s">
        <v>438</v>
      </c>
      <c r="F118" s="95">
        <v>4</v>
      </c>
      <c r="G118" s="78" t="s">
        <v>512</v>
      </c>
      <c r="H118" s="91">
        <f t="shared" si="5"/>
        <v>2025</v>
      </c>
      <c r="I118" s="7" t="s">
        <v>426</v>
      </c>
      <c r="J118" s="76" t="s">
        <v>498</v>
      </c>
      <c r="L118" s="93"/>
    </row>
    <row r="119" spans="1:12">
      <c r="A119" s="75" t="str">
        <f t="shared" si="4"/>
        <v/>
      </c>
      <c r="B119" s="87">
        <f>IF(D119="","",COUNTIF($D$10:D119,D119))</f>
        <v>18</v>
      </c>
      <c r="C119" s="88">
        <v>45864</v>
      </c>
      <c r="D119" s="76">
        <v>7</v>
      </c>
      <c r="E119" s="77" t="s">
        <v>433</v>
      </c>
      <c r="F119" s="95">
        <v>4</v>
      </c>
      <c r="G119" s="78" t="s">
        <v>440</v>
      </c>
      <c r="H119" s="91">
        <f t="shared" si="5"/>
        <v>2025</v>
      </c>
      <c r="I119" s="7" t="s">
        <v>426</v>
      </c>
      <c r="J119" s="76" t="s">
        <v>498</v>
      </c>
      <c r="L119" s="93"/>
    </row>
    <row r="120" spans="1:12">
      <c r="A120" s="75" t="str">
        <f t="shared" si="4"/>
        <v/>
      </c>
      <c r="B120" s="87">
        <f>IF(D120="","",COUNTIF($D$10:D120,D120))</f>
        <v>19</v>
      </c>
      <c r="C120" s="88">
        <v>45864</v>
      </c>
      <c r="D120" s="76">
        <v>7</v>
      </c>
      <c r="E120" s="77" t="s">
        <v>424</v>
      </c>
      <c r="F120" s="95">
        <v>4</v>
      </c>
      <c r="G120" s="78" t="s">
        <v>459</v>
      </c>
      <c r="H120" s="91">
        <f t="shared" si="5"/>
        <v>2025</v>
      </c>
      <c r="I120" s="7" t="s">
        <v>426</v>
      </c>
      <c r="J120" s="76" t="s">
        <v>498</v>
      </c>
      <c r="L120" s="93"/>
    </row>
    <row r="121" spans="1:12">
      <c r="A121" s="75" t="str">
        <f t="shared" si="4"/>
        <v/>
      </c>
      <c r="B121" s="87">
        <f>IF(D121="","",COUNTIF($D$10:D121,D121))</f>
        <v>20</v>
      </c>
      <c r="C121" s="88">
        <v>45866</v>
      </c>
      <c r="D121" s="76">
        <v>7</v>
      </c>
      <c r="E121" s="77" t="s">
        <v>453</v>
      </c>
      <c r="F121" s="95">
        <v>4</v>
      </c>
      <c r="G121" s="78" t="s">
        <v>513</v>
      </c>
      <c r="H121" s="91">
        <f t="shared" si="5"/>
        <v>2025</v>
      </c>
      <c r="I121" s="7" t="s">
        <v>426</v>
      </c>
      <c r="J121" s="76" t="s">
        <v>498</v>
      </c>
      <c r="L121" s="93"/>
    </row>
    <row r="122" spans="1:12">
      <c r="A122" s="75" t="str">
        <f t="shared" si="4"/>
        <v/>
      </c>
      <c r="B122" s="87">
        <f>IF(D122="","",COUNTIF($D$10:D122,D122))</f>
        <v>21</v>
      </c>
      <c r="C122" s="88">
        <v>45867</v>
      </c>
      <c r="D122" s="76">
        <v>7</v>
      </c>
      <c r="E122" s="77" t="s">
        <v>431</v>
      </c>
      <c r="F122" s="95">
        <v>4</v>
      </c>
      <c r="G122" s="78" t="s">
        <v>437</v>
      </c>
      <c r="H122" s="91">
        <f t="shared" si="5"/>
        <v>2025</v>
      </c>
      <c r="I122" s="7" t="s">
        <v>426</v>
      </c>
      <c r="J122" s="76" t="s">
        <v>498</v>
      </c>
      <c r="L122" s="93"/>
    </row>
    <row r="123" spans="1:12">
      <c r="A123" s="75" t="str">
        <f t="shared" si="4"/>
        <v/>
      </c>
      <c r="B123" s="87">
        <f>IF(D123="","",COUNTIF($D$10:D123,D123))</f>
        <v>22</v>
      </c>
      <c r="C123" s="88">
        <v>45867</v>
      </c>
      <c r="D123" s="76">
        <v>7</v>
      </c>
      <c r="E123" s="77" t="s">
        <v>492</v>
      </c>
      <c r="F123" s="95">
        <v>4</v>
      </c>
      <c r="G123" s="78" t="s">
        <v>429</v>
      </c>
      <c r="H123" s="91">
        <f t="shared" si="5"/>
        <v>2025</v>
      </c>
      <c r="I123" s="7" t="s">
        <v>426</v>
      </c>
      <c r="J123" s="76" t="s">
        <v>498</v>
      </c>
      <c r="L123" s="93"/>
    </row>
    <row r="124" spans="1:12">
      <c r="A124" s="75" t="str">
        <f t="shared" si="4"/>
        <v/>
      </c>
      <c r="B124" s="87">
        <f>IF(D124="","",COUNTIF($D$10:D124,D124))</f>
        <v>23</v>
      </c>
      <c r="C124" s="88">
        <v>45868</v>
      </c>
      <c r="D124" s="76">
        <v>7</v>
      </c>
      <c r="E124" s="77" t="s">
        <v>433</v>
      </c>
      <c r="F124" s="95">
        <v>4</v>
      </c>
      <c r="G124" s="78" t="s">
        <v>482</v>
      </c>
      <c r="H124" s="91">
        <f t="shared" si="5"/>
        <v>2025</v>
      </c>
      <c r="I124" s="7" t="s">
        <v>426</v>
      </c>
      <c r="J124" s="76" t="s">
        <v>498</v>
      </c>
      <c r="L124" s="93"/>
    </row>
    <row r="125" spans="1:12">
      <c r="A125" s="75" t="str">
        <f t="shared" si="4"/>
        <v/>
      </c>
      <c r="B125" s="87">
        <f>IF(D125="","",COUNTIF($D$10:D125,D125))</f>
        <v>24</v>
      </c>
      <c r="C125" s="88">
        <v>45868</v>
      </c>
      <c r="D125" s="76">
        <v>7</v>
      </c>
      <c r="E125" s="77" t="s">
        <v>492</v>
      </c>
      <c r="F125" s="95">
        <v>4</v>
      </c>
      <c r="G125" s="78" t="s">
        <v>430</v>
      </c>
      <c r="H125" s="91">
        <f t="shared" si="5"/>
        <v>2025</v>
      </c>
      <c r="I125" s="7" t="s">
        <v>426</v>
      </c>
      <c r="J125" s="76" t="s">
        <v>498</v>
      </c>
      <c r="L125" s="93"/>
    </row>
    <row r="126" spans="1:12">
      <c r="A126" s="75" t="str">
        <f t="shared" si="4"/>
        <v/>
      </c>
      <c r="B126" s="87">
        <f>IF(D126="","",COUNTIF($D$10:D126,D126))</f>
        <v>25</v>
      </c>
      <c r="C126" s="88">
        <v>45868</v>
      </c>
      <c r="D126" s="76">
        <v>7</v>
      </c>
      <c r="E126" s="77" t="s">
        <v>438</v>
      </c>
      <c r="F126" s="95">
        <v>4</v>
      </c>
      <c r="G126" s="78" t="s">
        <v>472</v>
      </c>
      <c r="H126" s="91">
        <f t="shared" si="5"/>
        <v>2025</v>
      </c>
      <c r="I126" s="7" t="s">
        <v>426</v>
      </c>
      <c r="J126" s="76" t="s">
        <v>498</v>
      </c>
      <c r="L126" s="93"/>
    </row>
    <row r="127" spans="1:12">
      <c r="A127" s="75" t="str">
        <f t="shared" si="4"/>
        <v/>
      </c>
      <c r="B127" s="87">
        <f>IF(D127="","",COUNTIF($D$10:D127,D127))</f>
        <v>26</v>
      </c>
      <c r="C127" s="88">
        <v>45869</v>
      </c>
      <c r="D127" s="76">
        <v>7</v>
      </c>
      <c r="E127" s="77" t="s">
        <v>431</v>
      </c>
      <c r="F127" s="95">
        <v>4</v>
      </c>
      <c r="G127" s="78" t="s">
        <v>511</v>
      </c>
      <c r="H127" s="91">
        <f t="shared" si="5"/>
        <v>2025</v>
      </c>
      <c r="I127" s="7" t="s">
        <v>426</v>
      </c>
      <c r="J127" s="76" t="s">
        <v>498</v>
      </c>
      <c r="L127" s="93"/>
    </row>
    <row r="128" spans="1:12">
      <c r="A128" s="75" t="str">
        <f t="shared" si="4"/>
        <v/>
      </c>
      <c r="B128" s="87">
        <f>IF(D128="","",COUNTIF($D$10:D128,D128))</f>
        <v>27</v>
      </c>
      <c r="C128" s="88">
        <v>45869</v>
      </c>
      <c r="D128" s="76">
        <v>7</v>
      </c>
      <c r="E128" s="77" t="s">
        <v>428</v>
      </c>
      <c r="F128" s="95">
        <v>4</v>
      </c>
      <c r="G128" s="78" t="s">
        <v>514</v>
      </c>
      <c r="H128" s="91">
        <f t="shared" si="5"/>
        <v>2025</v>
      </c>
      <c r="I128" s="7" t="s">
        <v>426</v>
      </c>
      <c r="J128" s="76" t="s">
        <v>498</v>
      </c>
      <c r="L128" s="93"/>
    </row>
    <row r="129" spans="1:12">
      <c r="A129" s="75" t="str">
        <f t="shared" si="4"/>
        <v/>
      </c>
      <c r="B129" s="87">
        <f>IF(D129="","",COUNTIF($D$10:D129,D129))</f>
        <v>28</v>
      </c>
      <c r="C129" s="88">
        <v>45869</v>
      </c>
      <c r="D129" s="76">
        <v>7</v>
      </c>
      <c r="E129" s="77" t="s">
        <v>433</v>
      </c>
      <c r="F129" s="95">
        <v>4</v>
      </c>
      <c r="G129" s="78" t="s">
        <v>467</v>
      </c>
      <c r="H129" s="91">
        <f t="shared" si="5"/>
        <v>2025</v>
      </c>
      <c r="I129" s="7" t="s">
        <v>426</v>
      </c>
      <c r="J129" s="76" t="s">
        <v>498</v>
      </c>
      <c r="L129" s="93"/>
    </row>
    <row r="130" spans="1:12">
      <c r="A130" s="75" t="str">
        <f t="shared" si="4"/>
        <v/>
      </c>
      <c r="B130" s="87" t="str">
        <f>IF(D130="","",COUNTIF($D$10:D130,D130))</f>
        <v/>
      </c>
    </row>
    <row r="131" spans="1:12">
      <c r="A131" s="75" t="str">
        <f t="shared" si="4"/>
        <v/>
      </c>
      <c r="B131" s="87">
        <f>IF(D131="","",COUNTIF($D$10:D131,D131))</f>
        <v>1</v>
      </c>
      <c r="C131" s="88">
        <v>45870</v>
      </c>
      <c r="D131" s="76">
        <v>8</v>
      </c>
      <c r="E131" s="77" t="s">
        <v>453</v>
      </c>
      <c r="F131" s="95">
        <v>4</v>
      </c>
      <c r="G131" s="78" t="s">
        <v>515</v>
      </c>
      <c r="H131" s="91">
        <f t="shared" ref="H131:H161" si="6">YEAR(C131)</f>
        <v>2025</v>
      </c>
      <c r="I131" s="7" t="s">
        <v>426</v>
      </c>
      <c r="J131" s="76" t="s">
        <v>516</v>
      </c>
      <c r="L131" s="93"/>
    </row>
    <row r="132" spans="1:12">
      <c r="A132" s="75" t="str">
        <f t="shared" si="4"/>
        <v/>
      </c>
      <c r="B132" s="87">
        <f>IF(D132="","",COUNTIF($D$10:D132,D132))</f>
        <v>2</v>
      </c>
      <c r="C132" s="88">
        <v>45870</v>
      </c>
      <c r="D132" s="76">
        <v>8</v>
      </c>
      <c r="E132" s="77" t="s">
        <v>492</v>
      </c>
      <c r="F132" s="95">
        <v>4</v>
      </c>
      <c r="G132" s="78" t="s">
        <v>517</v>
      </c>
      <c r="H132" s="91">
        <f t="shared" si="6"/>
        <v>2025</v>
      </c>
      <c r="I132" s="7" t="s">
        <v>426</v>
      </c>
      <c r="J132" s="76" t="s">
        <v>516</v>
      </c>
      <c r="L132" s="93"/>
    </row>
    <row r="133" spans="1:12">
      <c r="A133" s="75" t="str">
        <f t="shared" si="4"/>
        <v/>
      </c>
      <c r="B133" s="87">
        <f>IF(D133="","",COUNTIF($D$10:D133,D133))</f>
        <v>3</v>
      </c>
      <c r="C133" s="88">
        <v>45871</v>
      </c>
      <c r="D133" s="76">
        <v>8</v>
      </c>
      <c r="E133" s="77" t="s">
        <v>431</v>
      </c>
      <c r="F133" s="95">
        <v>4</v>
      </c>
      <c r="G133" s="78" t="s">
        <v>518</v>
      </c>
      <c r="H133" s="91">
        <f t="shared" si="6"/>
        <v>2025</v>
      </c>
      <c r="I133" s="7" t="s">
        <v>426</v>
      </c>
      <c r="J133" s="76" t="s">
        <v>516</v>
      </c>
      <c r="L133" s="93"/>
    </row>
    <row r="134" spans="1:12">
      <c r="A134" s="75" t="str">
        <f t="shared" si="4"/>
        <v/>
      </c>
      <c r="B134" s="87">
        <f>IF(D134="","",COUNTIF($D$10:D134,D134))</f>
        <v>4</v>
      </c>
      <c r="C134" s="88">
        <v>45873</v>
      </c>
      <c r="D134" s="76">
        <v>8</v>
      </c>
      <c r="E134" s="77" t="s">
        <v>492</v>
      </c>
      <c r="F134" s="95">
        <v>4</v>
      </c>
      <c r="G134" s="78" t="s">
        <v>519</v>
      </c>
      <c r="H134" s="91">
        <f t="shared" si="6"/>
        <v>2025</v>
      </c>
      <c r="I134" s="7" t="s">
        <v>426</v>
      </c>
      <c r="J134" s="76" t="s">
        <v>516</v>
      </c>
      <c r="L134" s="93"/>
    </row>
    <row r="135" spans="1:12">
      <c r="A135" s="75" t="str">
        <f t="shared" si="4"/>
        <v/>
      </c>
      <c r="B135" s="87">
        <f>IF(D135="","",COUNTIF($D$10:D135,D135))</f>
        <v>5</v>
      </c>
      <c r="C135" s="88">
        <v>45874</v>
      </c>
      <c r="D135" s="76">
        <v>8</v>
      </c>
      <c r="E135" s="77" t="s">
        <v>433</v>
      </c>
      <c r="F135" s="95">
        <v>4</v>
      </c>
      <c r="G135" s="78" t="s">
        <v>520</v>
      </c>
      <c r="H135" s="91">
        <f t="shared" si="6"/>
        <v>2025</v>
      </c>
      <c r="I135" s="7" t="s">
        <v>426</v>
      </c>
      <c r="J135" s="76" t="s">
        <v>516</v>
      </c>
      <c r="L135" s="93"/>
    </row>
    <row r="136" spans="1:12">
      <c r="A136" s="75" t="str">
        <f t="shared" si="4"/>
        <v/>
      </c>
      <c r="B136" s="87">
        <f>IF(D136="","",COUNTIF($D$10:D136,D136))</f>
        <v>6</v>
      </c>
      <c r="C136" s="88">
        <v>45875</v>
      </c>
      <c r="D136" s="76">
        <v>8</v>
      </c>
      <c r="E136" s="77" t="s">
        <v>453</v>
      </c>
      <c r="F136" s="95">
        <v>4</v>
      </c>
      <c r="G136" s="78" t="s">
        <v>517</v>
      </c>
      <c r="H136" s="91">
        <f t="shared" si="6"/>
        <v>2025</v>
      </c>
      <c r="I136" s="7" t="s">
        <v>426</v>
      </c>
      <c r="J136" s="76" t="s">
        <v>516</v>
      </c>
      <c r="L136" s="93"/>
    </row>
    <row r="137" spans="1:12">
      <c r="A137" s="75" t="str">
        <f t="shared" si="4"/>
        <v/>
      </c>
      <c r="B137" s="87">
        <f>IF(D137="","",COUNTIF($D$10:D137,D137))</f>
        <v>7</v>
      </c>
      <c r="C137" s="88">
        <v>45876</v>
      </c>
      <c r="D137" s="76">
        <v>8</v>
      </c>
      <c r="E137" s="77" t="s">
        <v>431</v>
      </c>
      <c r="F137" s="95">
        <v>4</v>
      </c>
      <c r="G137" s="78" t="s">
        <v>517</v>
      </c>
      <c r="H137" s="91">
        <f t="shared" si="6"/>
        <v>2025</v>
      </c>
      <c r="I137" s="7" t="s">
        <v>426</v>
      </c>
      <c r="J137" s="76" t="s">
        <v>516</v>
      </c>
      <c r="L137" s="93"/>
    </row>
    <row r="138" spans="1:12">
      <c r="A138" s="75" t="str">
        <f t="shared" si="4"/>
        <v/>
      </c>
      <c r="B138" s="87">
        <f>IF(D138="","",COUNTIF($D$10:D138,D138))</f>
        <v>8</v>
      </c>
      <c r="C138" s="88">
        <v>45877</v>
      </c>
      <c r="D138" s="76">
        <v>8</v>
      </c>
      <c r="E138" s="77" t="s">
        <v>433</v>
      </c>
      <c r="F138" s="95">
        <v>4</v>
      </c>
      <c r="G138" s="78" t="s">
        <v>521</v>
      </c>
      <c r="H138" s="91">
        <f t="shared" si="6"/>
        <v>2025</v>
      </c>
      <c r="I138" s="7" t="s">
        <v>426</v>
      </c>
      <c r="J138" s="76" t="s">
        <v>516</v>
      </c>
      <c r="L138" s="93"/>
    </row>
    <row r="139" spans="1:12">
      <c r="A139" s="75" t="str">
        <f t="shared" ref="A139:A202" si="7">IF(AND($E$3="ALL",$E$4="ALL"),"ALL",IF(AND($E$3="ALL",$E$4&lt;&gt;"ALL"),IF(D139=$E$4,D139,""),IF(AND($E$3&lt;&gt;"ALL",$E$4="ALL"),IF(I139=$E$3,I139,""),"")))</f>
        <v/>
      </c>
      <c r="B139" s="87">
        <f>IF(D139="","",COUNTIF($D$10:D139,D139))</f>
        <v>9</v>
      </c>
      <c r="C139" s="88">
        <v>45878</v>
      </c>
      <c r="D139" s="76">
        <v>8</v>
      </c>
      <c r="E139" s="77" t="s">
        <v>431</v>
      </c>
      <c r="F139" s="95">
        <v>4</v>
      </c>
      <c r="G139" s="78" t="s">
        <v>522</v>
      </c>
      <c r="H139" s="91">
        <f t="shared" si="6"/>
        <v>2025</v>
      </c>
      <c r="I139" s="7" t="s">
        <v>426</v>
      </c>
      <c r="J139" s="76" t="s">
        <v>516</v>
      </c>
      <c r="L139" s="93"/>
    </row>
    <row r="140" spans="1:12">
      <c r="A140" s="75" t="str">
        <f t="shared" si="7"/>
        <v/>
      </c>
      <c r="B140" s="87">
        <f>IF(D140="","",COUNTIF($D$10:D140,D140))</f>
        <v>10</v>
      </c>
      <c r="C140" s="88">
        <v>45883</v>
      </c>
      <c r="D140" s="76">
        <v>8</v>
      </c>
      <c r="E140" s="77" t="s">
        <v>435</v>
      </c>
      <c r="F140" s="95">
        <v>4</v>
      </c>
      <c r="G140" s="78" t="s">
        <v>523</v>
      </c>
      <c r="H140" s="91">
        <f t="shared" si="6"/>
        <v>2025</v>
      </c>
      <c r="I140" s="7" t="s">
        <v>426</v>
      </c>
      <c r="J140" s="76" t="s">
        <v>516</v>
      </c>
      <c r="L140" s="93"/>
    </row>
    <row r="141" spans="1:12">
      <c r="A141" s="75" t="str">
        <f t="shared" si="7"/>
        <v/>
      </c>
      <c r="B141" s="87">
        <f>IF(D141="","",COUNTIF($D$10:D141,D141))</f>
        <v>11</v>
      </c>
      <c r="C141" s="88">
        <v>45884</v>
      </c>
      <c r="D141" s="76">
        <v>8</v>
      </c>
      <c r="E141" s="77" t="s">
        <v>431</v>
      </c>
      <c r="F141" s="95">
        <v>4</v>
      </c>
      <c r="G141" s="78" t="s">
        <v>524</v>
      </c>
      <c r="H141" s="91">
        <f t="shared" si="6"/>
        <v>2025</v>
      </c>
      <c r="I141" s="7" t="s">
        <v>426</v>
      </c>
      <c r="J141" s="76" t="s">
        <v>516</v>
      </c>
      <c r="L141" s="93"/>
    </row>
    <row r="142" spans="1:12">
      <c r="A142" s="75" t="str">
        <f t="shared" si="7"/>
        <v/>
      </c>
      <c r="B142" s="87">
        <f>IF(D142="","",COUNTIF($D$10:D142,D142))</f>
        <v>12</v>
      </c>
      <c r="C142" s="88">
        <v>45885</v>
      </c>
      <c r="D142" s="76">
        <v>8</v>
      </c>
      <c r="E142" s="77" t="s">
        <v>433</v>
      </c>
      <c r="F142" s="95">
        <v>4</v>
      </c>
      <c r="G142" s="78" t="s">
        <v>525</v>
      </c>
      <c r="H142" s="91">
        <f t="shared" si="6"/>
        <v>2025</v>
      </c>
      <c r="I142" s="7" t="s">
        <v>426</v>
      </c>
      <c r="J142" s="76" t="s">
        <v>516</v>
      </c>
      <c r="L142" s="93"/>
    </row>
    <row r="143" spans="1:12">
      <c r="A143" s="75" t="str">
        <f t="shared" si="7"/>
        <v/>
      </c>
      <c r="B143" s="87">
        <f>IF(D143="","",COUNTIF($D$10:D143,D143))</f>
        <v>13</v>
      </c>
      <c r="C143" s="88">
        <v>45887</v>
      </c>
      <c r="D143" s="76">
        <v>8</v>
      </c>
      <c r="E143" s="77" t="s">
        <v>438</v>
      </c>
      <c r="F143" s="95">
        <v>4</v>
      </c>
      <c r="G143" s="78" t="s">
        <v>526</v>
      </c>
      <c r="H143" s="91">
        <f t="shared" si="6"/>
        <v>2025</v>
      </c>
      <c r="I143" s="7" t="s">
        <v>426</v>
      </c>
      <c r="J143" s="76" t="s">
        <v>516</v>
      </c>
      <c r="L143" s="93"/>
    </row>
    <row r="144" spans="1:12">
      <c r="A144" s="75" t="str">
        <f t="shared" si="7"/>
        <v/>
      </c>
      <c r="B144" s="87">
        <f>IF(D144="","",COUNTIF($D$10:D144,D144))</f>
        <v>14</v>
      </c>
      <c r="C144" s="88">
        <v>45888</v>
      </c>
      <c r="D144" s="76">
        <v>8</v>
      </c>
      <c r="E144" s="77" t="s">
        <v>453</v>
      </c>
      <c r="F144" s="95">
        <v>4</v>
      </c>
      <c r="G144" s="78" t="s">
        <v>527</v>
      </c>
      <c r="H144" s="91">
        <f t="shared" si="6"/>
        <v>2025</v>
      </c>
      <c r="I144" s="7" t="s">
        <v>426</v>
      </c>
      <c r="J144" s="76" t="s">
        <v>516</v>
      </c>
      <c r="L144" s="93"/>
    </row>
    <row r="145" spans="1:12">
      <c r="A145" s="75" t="str">
        <f t="shared" si="7"/>
        <v/>
      </c>
      <c r="B145" s="87">
        <f>IF(D145="","",COUNTIF($D$10:D145,D145))</f>
        <v>15</v>
      </c>
      <c r="C145" s="88">
        <v>45889</v>
      </c>
      <c r="D145" s="76">
        <v>8</v>
      </c>
      <c r="E145" s="77" t="s">
        <v>428</v>
      </c>
      <c r="F145" s="95">
        <v>4</v>
      </c>
      <c r="G145" s="78" t="s">
        <v>528</v>
      </c>
      <c r="H145" s="91">
        <f t="shared" si="6"/>
        <v>2025</v>
      </c>
      <c r="I145" s="7" t="s">
        <v>426</v>
      </c>
      <c r="J145" s="76" t="s">
        <v>516</v>
      </c>
      <c r="L145" s="93"/>
    </row>
    <row r="146" spans="1:12">
      <c r="A146" s="75" t="str">
        <f t="shared" si="7"/>
        <v/>
      </c>
      <c r="B146" s="87">
        <f>IF(D146="","",COUNTIF($D$10:D146,D146))</f>
        <v>16</v>
      </c>
      <c r="C146" s="88">
        <v>45889</v>
      </c>
      <c r="D146" s="76">
        <v>8</v>
      </c>
      <c r="E146" s="77" t="s">
        <v>431</v>
      </c>
      <c r="F146" s="95">
        <v>4</v>
      </c>
      <c r="G146" s="78" t="s">
        <v>528</v>
      </c>
      <c r="H146" s="91">
        <f t="shared" si="6"/>
        <v>2025</v>
      </c>
      <c r="I146" s="7" t="s">
        <v>426</v>
      </c>
      <c r="J146" s="76" t="s">
        <v>516</v>
      </c>
      <c r="L146" s="93"/>
    </row>
    <row r="147" spans="1:12">
      <c r="A147" s="75" t="str">
        <f t="shared" si="7"/>
        <v/>
      </c>
      <c r="B147" s="87">
        <f>IF(D147="","",COUNTIF($D$10:D147,D147))</f>
        <v>17</v>
      </c>
      <c r="C147" s="88">
        <v>45891</v>
      </c>
      <c r="D147" s="76">
        <v>8</v>
      </c>
      <c r="E147" s="77" t="s">
        <v>433</v>
      </c>
      <c r="F147" s="95">
        <v>4</v>
      </c>
      <c r="G147" s="78" t="s">
        <v>529</v>
      </c>
      <c r="H147" s="91">
        <f t="shared" si="6"/>
        <v>2025</v>
      </c>
      <c r="I147" s="7" t="s">
        <v>426</v>
      </c>
      <c r="J147" s="76" t="s">
        <v>516</v>
      </c>
      <c r="L147" s="93"/>
    </row>
    <row r="148" spans="1:12">
      <c r="A148" s="75" t="str">
        <f t="shared" si="7"/>
        <v/>
      </c>
      <c r="B148" s="87">
        <f>IF(D148="","",COUNTIF($D$10:D148,D148))</f>
        <v>18</v>
      </c>
      <c r="C148" s="88">
        <v>45891</v>
      </c>
      <c r="D148" s="76">
        <v>8</v>
      </c>
      <c r="E148" s="77" t="s">
        <v>433</v>
      </c>
      <c r="F148" s="95">
        <v>4</v>
      </c>
      <c r="G148" s="78" t="s">
        <v>530</v>
      </c>
      <c r="H148" s="91">
        <f t="shared" si="6"/>
        <v>2025</v>
      </c>
      <c r="I148" s="7" t="s">
        <v>426</v>
      </c>
      <c r="J148" s="76" t="s">
        <v>516</v>
      </c>
      <c r="L148" s="93"/>
    </row>
    <row r="149" spans="1:12">
      <c r="A149" s="75" t="str">
        <f t="shared" si="7"/>
        <v/>
      </c>
      <c r="B149" s="87">
        <f>IF(D149="","",COUNTIF($D$10:D149,D149))</f>
        <v>19</v>
      </c>
      <c r="C149" s="88">
        <v>45892</v>
      </c>
      <c r="D149" s="76">
        <v>8</v>
      </c>
      <c r="E149" s="77" t="s">
        <v>435</v>
      </c>
      <c r="F149" s="95">
        <v>4</v>
      </c>
      <c r="G149" s="78" t="s">
        <v>531</v>
      </c>
      <c r="H149" s="91">
        <f t="shared" si="6"/>
        <v>2025</v>
      </c>
      <c r="I149" s="7" t="s">
        <v>426</v>
      </c>
      <c r="J149" s="76" t="s">
        <v>516</v>
      </c>
      <c r="L149" s="93"/>
    </row>
    <row r="150" spans="1:12">
      <c r="A150" s="75" t="str">
        <f t="shared" si="7"/>
        <v/>
      </c>
      <c r="B150" s="87">
        <f>IF(D150="","",COUNTIF($D$10:D150,D150))</f>
        <v>20</v>
      </c>
      <c r="C150" s="88">
        <v>45894</v>
      </c>
      <c r="D150" s="76">
        <v>8</v>
      </c>
      <c r="E150" s="77" t="s">
        <v>435</v>
      </c>
      <c r="F150" s="95">
        <v>4</v>
      </c>
      <c r="G150" s="78" t="s">
        <v>532</v>
      </c>
      <c r="H150" s="91">
        <f t="shared" si="6"/>
        <v>2025</v>
      </c>
      <c r="I150" s="7" t="s">
        <v>426</v>
      </c>
      <c r="J150" s="76" t="s">
        <v>516</v>
      </c>
      <c r="L150" s="93"/>
    </row>
    <row r="151" spans="1:12">
      <c r="A151" s="75" t="str">
        <f t="shared" si="7"/>
        <v/>
      </c>
      <c r="B151" s="87">
        <f>IF(D151="","",COUNTIF($D$10:D151,D151))</f>
        <v>21</v>
      </c>
      <c r="C151" s="88">
        <v>45894</v>
      </c>
      <c r="D151" s="76">
        <v>8</v>
      </c>
      <c r="E151" s="77" t="s">
        <v>438</v>
      </c>
      <c r="F151" s="95">
        <v>4</v>
      </c>
      <c r="G151" s="78" t="s">
        <v>533</v>
      </c>
      <c r="H151" s="91">
        <f t="shared" si="6"/>
        <v>2025</v>
      </c>
      <c r="I151" s="7" t="s">
        <v>426</v>
      </c>
      <c r="J151" s="76" t="s">
        <v>516</v>
      </c>
      <c r="L151" s="93"/>
    </row>
    <row r="152" spans="1:12">
      <c r="A152" s="75" t="str">
        <f t="shared" si="7"/>
        <v/>
      </c>
      <c r="B152" s="87">
        <f>IF(D152="","",COUNTIF($D$10:D152,D152))</f>
        <v>22</v>
      </c>
      <c r="C152" s="88">
        <v>45895</v>
      </c>
      <c r="D152" s="76">
        <v>8</v>
      </c>
      <c r="E152" s="77" t="s">
        <v>492</v>
      </c>
      <c r="F152" s="95">
        <v>4</v>
      </c>
      <c r="G152" s="78" t="s">
        <v>534</v>
      </c>
      <c r="H152" s="91">
        <f t="shared" si="6"/>
        <v>2025</v>
      </c>
      <c r="I152" s="7" t="s">
        <v>426</v>
      </c>
      <c r="J152" s="76" t="s">
        <v>516</v>
      </c>
      <c r="L152" s="93"/>
    </row>
    <row r="153" spans="1:12">
      <c r="A153" s="75" t="str">
        <f t="shared" si="7"/>
        <v/>
      </c>
      <c r="B153" s="87">
        <f>IF(D153="","",COUNTIF($D$10:D153,D153))</f>
        <v>23</v>
      </c>
      <c r="C153" s="88">
        <v>45895</v>
      </c>
      <c r="D153" s="76">
        <v>8</v>
      </c>
      <c r="E153" s="77" t="s">
        <v>431</v>
      </c>
      <c r="F153" s="95">
        <v>4</v>
      </c>
      <c r="G153" s="78" t="s">
        <v>534</v>
      </c>
      <c r="H153" s="91">
        <f t="shared" si="6"/>
        <v>2025</v>
      </c>
      <c r="I153" s="7" t="s">
        <v>426</v>
      </c>
      <c r="J153" s="76" t="s">
        <v>516</v>
      </c>
      <c r="L153" s="93"/>
    </row>
    <row r="154" spans="1:12">
      <c r="A154" s="75" t="str">
        <f t="shared" si="7"/>
        <v/>
      </c>
      <c r="B154" s="87">
        <f>IF(D154="","",COUNTIF($D$10:D154,D154))</f>
        <v>24</v>
      </c>
      <c r="C154" s="88">
        <v>45897</v>
      </c>
      <c r="D154" s="76">
        <v>8</v>
      </c>
      <c r="E154" s="77" t="s">
        <v>433</v>
      </c>
      <c r="F154" s="95">
        <v>4</v>
      </c>
      <c r="G154" s="78" t="s">
        <v>534</v>
      </c>
      <c r="H154" s="91">
        <f t="shared" si="6"/>
        <v>2025</v>
      </c>
      <c r="I154" s="7" t="s">
        <v>426</v>
      </c>
      <c r="J154" s="76" t="s">
        <v>516</v>
      </c>
      <c r="L154" s="93"/>
    </row>
    <row r="155" spans="1:12">
      <c r="A155" s="75" t="str">
        <f t="shared" si="7"/>
        <v/>
      </c>
      <c r="B155" s="87">
        <f>IF(D155="","",COUNTIF($D$10:D155,D155))</f>
        <v>25</v>
      </c>
      <c r="C155" s="88">
        <v>45898</v>
      </c>
      <c r="D155" s="76">
        <v>8</v>
      </c>
      <c r="E155" s="77" t="s">
        <v>438</v>
      </c>
      <c r="F155" s="95">
        <v>4</v>
      </c>
      <c r="G155" s="78" t="s">
        <v>535</v>
      </c>
      <c r="H155" s="91">
        <f t="shared" si="6"/>
        <v>2025</v>
      </c>
      <c r="I155" s="7" t="s">
        <v>426</v>
      </c>
      <c r="J155" s="76" t="s">
        <v>516</v>
      </c>
      <c r="L155" s="93"/>
    </row>
    <row r="156" spans="1:12">
      <c r="A156" s="75" t="str">
        <f t="shared" si="7"/>
        <v/>
      </c>
      <c r="B156" s="87">
        <f>IF(D156="","",COUNTIF($D$10:D156,D156))</f>
        <v>26</v>
      </c>
      <c r="C156" s="88">
        <v>45899</v>
      </c>
      <c r="D156" s="76">
        <v>8</v>
      </c>
      <c r="E156" s="77" t="s">
        <v>428</v>
      </c>
      <c r="F156" s="95">
        <v>4</v>
      </c>
      <c r="G156" s="78" t="s">
        <v>529</v>
      </c>
      <c r="H156" s="91">
        <f t="shared" si="6"/>
        <v>2025</v>
      </c>
      <c r="I156" s="7" t="s">
        <v>426</v>
      </c>
      <c r="J156" s="76" t="s">
        <v>516</v>
      </c>
      <c r="L156" s="93"/>
    </row>
    <row r="157" spans="1:12">
      <c r="A157" s="75" t="str">
        <f t="shared" si="7"/>
        <v/>
      </c>
      <c r="B157" s="87">
        <f>IF(D157="","",COUNTIF($D$10:D157,D157))</f>
        <v>27</v>
      </c>
      <c r="C157" s="88">
        <v>45899</v>
      </c>
      <c r="D157" s="76">
        <v>8</v>
      </c>
      <c r="E157" s="77" t="s">
        <v>433</v>
      </c>
      <c r="F157" s="95">
        <v>4</v>
      </c>
      <c r="G157" s="78" t="s">
        <v>536</v>
      </c>
      <c r="H157" s="91">
        <f t="shared" si="6"/>
        <v>2025</v>
      </c>
      <c r="I157" s="7" t="s">
        <v>537</v>
      </c>
      <c r="J157" s="76" t="s">
        <v>516</v>
      </c>
      <c r="L157" s="93"/>
    </row>
    <row r="158" spans="1:12">
      <c r="A158" s="75" t="str">
        <f t="shared" si="7"/>
        <v/>
      </c>
      <c r="B158" s="87">
        <f>IF(D158="","",COUNTIF($D$10:D158,D158))</f>
        <v>28</v>
      </c>
      <c r="C158" s="88">
        <v>45899</v>
      </c>
      <c r="D158" s="76">
        <v>8</v>
      </c>
      <c r="E158" s="77" t="s">
        <v>433</v>
      </c>
      <c r="F158" s="95">
        <v>4</v>
      </c>
      <c r="G158" s="78" t="s">
        <v>538</v>
      </c>
      <c r="H158" s="91">
        <f t="shared" si="6"/>
        <v>2025</v>
      </c>
      <c r="I158" s="7" t="s">
        <v>537</v>
      </c>
      <c r="J158" s="76" t="s">
        <v>516</v>
      </c>
      <c r="L158" s="93"/>
    </row>
    <row r="159" spans="1:12">
      <c r="A159" s="75" t="str">
        <f t="shared" si="7"/>
        <v/>
      </c>
      <c r="B159" s="87">
        <f>IF(D159="","",COUNTIF($D$10:D159,D159))</f>
        <v>29</v>
      </c>
      <c r="C159" s="88">
        <v>45900</v>
      </c>
      <c r="D159" s="76">
        <v>8</v>
      </c>
      <c r="E159" s="77" t="s">
        <v>428</v>
      </c>
      <c r="F159" s="95">
        <v>4</v>
      </c>
      <c r="G159" s="78" t="s">
        <v>539</v>
      </c>
      <c r="H159" s="91">
        <f t="shared" si="6"/>
        <v>2025</v>
      </c>
      <c r="I159" s="7" t="s">
        <v>537</v>
      </c>
      <c r="J159" s="76" t="s">
        <v>516</v>
      </c>
      <c r="L159" s="93"/>
    </row>
    <row r="160" spans="1:12">
      <c r="A160" s="75" t="str">
        <f t="shared" si="7"/>
        <v/>
      </c>
      <c r="B160" s="87">
        <f>IF(D160="","",COUNTIF($D$10:D160,D160))</f>
        <v>30</v>
      </c>
      <c r="C160" s="88">
        <v>45900</v>
      </c>
      <c r="D160" s="76">
        <v>8</v>
      </c>
      <c r="E160" s="77" t="s">
        <v>428</v>
      </c>
      <c r="F160" s="95">
        <v>4</v>
      </c>
      <c r="G160" s="78" t="s">
        <v>540</v>
      </c>
      <c r="H160" s="91">
        <f t="shared" si="6"/>
        <v>2025</v>
      </c>
      <c r="I160" s="7" t="s">
        <v>537</v>
      </c>
      <c r="J160" s="76" t="s">
        <v>516</v>
      </c>
      <c r="L160" s="93"/>
    </row>
    <row r="161" spans="1:12">
      <c r="A161" s="75" t="str">
        <f t="shared" si="7"/>
        <v/>
      </c>
      <c r="B161" s="87">
        <f>IF(D161="","",COUNTIF($D$10:D161,D161))</f>
        <v>31</v>
      </c>
      <c r="C161" s="88">
        <v>45900</v>
      </c>
      <c r="D161" s="76">
        <v>8</v>
      </c>
      <c r="E161" s="77" t="s">
        <v>428</v>
      </c>
      <c r="F161" s="95">
        <v>4</v>
      </c>
      <c r="G161" s="78" t="s">
        <v>541</v>
      </c>
      <c r="H161" s="91">
        <f t="shared" si="6"/>
        <v>2025</v>
      </c>
      <c r="I161" s="7" t="s">
        <v>537</v>
      </c>
      <c r="J161" s="76" t="s">
        <v>516</v>
      </c>
      <c r="L161" s="93"/>
    </row>
    <row r="162" spans="1:12">
      <c r="A162" s="75" t="str">
        <f t="shared" si="7"/>
        <v/>
      </c>
      <c r="B162" s="87" t="str">
        <f>IF(D162="","",COUNTIF($D$10:D162,D162))</f>
        <v/>
      </c>
    </row>
    <row r="163" spans="1:12">
      <c r="A163" s="75">
        <f t="shared" si="7"/>
        <v>11</v>
      </c>
      <c r="B163" s="104">
        <f>IF(D163="","",COUNTIF($D$10:D163,D163))</f>
        <v>1</v>
      </c>
      <c r="C163" s="105">
        <v>45962</v>
      </c>
      <c r="D163" s="106">
        <v>11</v>
      </c>
      <c r="E163" s="107" t="s">
        <v>431</v>
      </c>
      <c r="F163" s="108">
        <v>4</v>
      </c>
      <c r="G163" s="109" t="s">
        <v>542</v>
      </c>
      <c r="H163" s="110">
        <f t="shared" ref="H163:H180" si="8">YEAR(C163)</f>
        <v>2025</v>
      </c>
      <c r="I163" s="111" t="s">
        <v>426</v>
      </c>
      <c r="J163" s="106" t="s">
        <v>543</v>
      </c>
      <c r="L163" s="93"/>
    </row>
    <row r="164" spans="1:12">
      <c r="A164" s="75">
        <f t="shared" si="7"/>
        <v>11</v>
      </c>
      <c r="B164" s="104">
        <f>IF(D164="","",COUNTIF($D$10:D164,D164))</f>
        <v>2</v>
      </c>
      <c r="C164" s="105">
        <v>45974</v>
      </c>
      <c r="D164" s="106">
        <v>11</v>
      </c>
      <c r="E164" s="107" t="s">
        <v>544</v>
      </c>
      <c r="F164" s="108">
        <v>2</v>
      </c>
      <c r="G164" s="109" t="s">
        <v>545</v>
      </c>
      <c r="H164" s="110">
        <f t="shared" si="8"/>
        <v>2025</v>
      </c>
      <c r="I164" s="111" t="s">
        <v>426</v>
      </c>
      <c r="J164" s="106" t="s">
        <v>543</v>
      </c>
      <c r="L164" s="93"/>
    </row>
    <row r="165" spans="1:12">
      <c r="A165" s="75">
        <f t="shared" si="7"/>
        <v>11</v>
      </c>
      <c r="B165" s="104">
        <f>IF(D165="","",COUNTIF($D$10:D165,D165))</f>
        <v>3</v>
      </c>
      <c r="C165" s="105">
        <v>45974</v>
      </c>
      <c r="D165" s="106">
        <v>11</v>
      </c>
      <c r="E165" s="107" t="s">
        <v>503</v>
      </c>
      <c r="F165" s="108">
        <v>2</v>
      </c>
      <c r="G165" s="109" t="s">
        <v>506</v>
      </c>
      <c r="H165" s="110">
        <f t="shared" si="8"/>
        <v>2025</v>
      </c>
      <c r="I165" s="111" t="s">
        <v>426</v>
      </c>
      <c r="J165" s="106" t="s">
        <v>543</v>
      </c>
      <c r="L165" s="93"/>
    </row>
    <row r="166" spans="1:12">
      <c r="A166" s="75">
        <f t="shared" si="7"/>
        <v>11</v>
      </c>
      <c r="B166" s="104">
        <f>IF(D166="","",COUNTIF($D$10:D166,D166))</f>
        <v>4</v>
      </c>
      <c r="C166" s="105">
        <v>45975</v>
      </c>
      <c r="D166" s="106">
        <v>11</v>
      </c>
      <c r="E166" s="107" t="s">
        <v>503</v>
      </c>
      <c r="F166" s="108">
        <v>2</v>
      </c>
      <c r="G166" s="109" t="s">
        <v>546</v>
      </c>
      <c r="H166" s="110">
        <f t="shared" si="8"/>
        <v>2025</v>
      </c>
      <c r="I166" s="111" t="s">
        <v>426</v>
      </c>
      <c r="J166" s="106" t="s">
        <v>543</v>
      </c>
      <c r="L166" s="93"/>
    </row>
    <row r="167" spans="1:12">
      <c r="A167" s="75">
        <f t="shared" si="7"/>
        <v>11</v>
      </c>
      <c r="B167" s="104">
        <f>IF(D167="","",COUNTIF($D$10:D167,D167))</f>
        <v>5</v>
      </c>
      <c r="C167" s="105">
        <v>45975</v>
      </c>
      <c r="D167" s="106">
        <v>11</v>
      </c>
      <c r="E167" s="107" t="s">
        <v>503</v>
      </c>
      <c r="F167" s="108">
        <v>2</v>
      </c>
      <c r="G167" s="109" t="s">
        <v>547</v>
      </c>
      <c r="H167" s="110">
        <f t="shared" si="8"/>
        <v>2025</v>
      </c>
      <c r="I167" s="111" t="s">
        <v>426</v>
      </c>
      <c r="J167" s="106" t="s">
        <v>543</v>
      </c>
      <c r="L167" s="93"/>
    </row>
    <row r="168" spans="1:12">
      <c r="A168" s="75">
        <f t="shared" si="7"/>
        <v>11</v>
      </c>
      <c r="B168" s="104">
        <f>IF(D168="","",COUNTIF($D$10:D168,D168))</f>
        <v>6</v>
      </c>
      <c r="C168" s="105">
        <v>45975</v>
      </c>
      <c r="D168" s="106">
        <v>11</v>
      </c>
      <c r="E168" s="107" t="s">
        <v>503</v>
      </c>
      <c r="F168" s="108">
        <v>2</v>
      </c>
      <c r="G168" s="109" t="s">
        <v>548</v>
      </c>
      <c r="H168" s="110">
        <f t="shared" si="8"/>
        <v>2025</v>
      </c>
      <c r="I168" s="111" t="s">
        <v>426</v>
      </c>
      <c r="J168" s="106" t="s">
        <v>543</v>
      </c>
      <c r="L168" s="93"/>
    </row>
    <row r="169" spans="1:12">
      <c r="A169" s="75">
        <f t="shared" si="7"/>
        <v>11</v>
      </c>
      <c r="B169" s="104">
        <f>IF(D169="","",COUNTIF($D$10:D169,D169))</f>
        <v>7</v>
      </c>
      <c r="C169" s="105">
        <v>45975</v>
      </c>
      <c r="D169" s="106">
        <v>11</v>
      </c>
      <c r="E169" s="107" t="s">
        <v>503</v>
      </c>
      <c r="F169" s="108">
        <v>2</v>
      </c>
      <c r="G169" s="109" t="s">
        <v>549</v>
      </c>
      <c r="H169" s="110">
        <f t="shared" si="8"/>
        <v>2025</v>
      </c>
      <c r="I169" s="111" t="s">
        <v>426</v>
      </c>
      <c r="J169" s="106" t="s">
        <v>543</v>
      </c>
      <c r="L169" s="93"/>
    </row>
    <row r="170" spans="1:12">
      <c r="A170" s="75">
        <f t="shared" si="7"/>
        <v>11</v>
      </c>
      <c r="B170" s="104">
        <f>IF(D170="","",COUNTIF($D$10:D170,D170))</f>
        <v>8</v>
      </c>
      <c r="C170" s="105">
        <v>45976</v>
      </c>
      <c r="D170" s="106">
        <v>11</v>
      </c>
      <c r="E170" s="107" t="s">
        <v>503</v>
      </c>
      <c r="F170" s="108">
        <v>2</v>
      </c>
      <c r="G170" s="109" t="s">
        <v>550</v>
      </c>
      <c r="H170" s="110">
        <f t="shared" si="8"/>
        <v>2025</v>
      </c>
      <c r="I170" s="111" t="s">
        <v>426</v>
      </c>
      <c r="J170" s="106" t="s">
        <v>543</v>
      </c>
      <c r="L170" s="93"/>
    </row>
    <row r="171" spans="1:12">
      <c r="A171" s="75">
        <f t="shared" si="7"/>
        <v>11</v>
      </c>
      <c r="B171" s="104">
        <f>IF(D171="","",COUNTIF($D$10:D171,D171))</f>
        <v>9</v>
      </c>
      <c r="C171" s="105">
        <v>45976</v>
      </c>
      <c r="D171" s="106">
        <v>11</v>
      </c>
      <c r="E171" s="107" t="s">
        <v>503</v>
      </c>
      <c r="F171" s="108">
        <v>2</v>
      </c>
      <c r="G171" s="109" t="s">
        <v>551</v>
      </c>
      <c r="H171" s="110">
        <f t="shared" si="8"/>
        <v>2025</v>
      </c>
      <c r="I171" s="111" t="s">
        <v>426</v>
      </c>
      <c r="J171" s="106" t="s">
        <v>543</v>
      </c>
      <c r="L171" s="93"/>
    </row>
    <row r="172" spans="1:12">
      <c r="A172" s="75">
        <f t="shared" si="7"/>
        <v>11</v>
      </c>
      <c r="B172" s="104">
        <f>IF(D172="","",COUNTIF($D$10:D172,D172))</f>
        <v>10</v>
      </c>
      <c r="C172" s="105">
        <v>45976</v>
      </c>
      <c r="D172" s="106">
        <v>11</v>
      </c>
      <c r="E172" s="107" t="s">
        <v>449</v>
      </c>
      <c r="F172" s="108">
        <v>2</v>
      </c>
      <c r="G172" s="109" t="s">
        <v>445</v>
      </c>
      <c r="H172" s="110">
        <f t="shared" si="8"/>
        <v>2025</v>
      </c>
      <c r="I172" s="111" t="s">
        <v>426</v>
      </c>
      <c r="J172" s="106" t="s">
        <v>543</v>
      </c>
      <c r="L172" s="93"/>
    </row>
    <row r="173" spans="1:12">
      <c r="A173" s="75">
        <f t="shared" si="7"/>
        <v>11</v>
      </c>
      <c r="B173" s="104">
        <f>IF(D173="","",COUNTIF($D$10:D173,D173))</f>
        <v>11</v>
      </c>
      <c r="C173" s="105">
        <v>45976</v>
      </c>
      <c r="D173" s="106">
        <v>11</v>
      </c>
      <c r="E173" s="107" t="s">
        <v>449</v>
      </c>
      <c r="F173" s="108">
        <v>2</v>
      </c>
      <c r="G173" s="109" t="s">
        <v>552</v>
      </c>
      <c r="H173" s="110">
        <f t="shared" si="8"/>
        <v>2025</v>
      </c>
      <c r="I173" s="111" t="s">
        <v>426</v>
      </c>
      <c r="J173" s="106" t="s">
        <v>543</v>
      </c>
      <c r="L173" s="93"/>
    </row>
    <row r="174" spans="1:12">
      <c r="A174" s="75">
        <f t="shared" si="7"/>
        <v>11</v>
      </c>
      <c r="B174" s="104">
        <f>IF(D174="","",COUNTIF($D$10:D174,D174))</f>
        <v>12</v>
      </c>
      <c r="C174" s="105">
        <v>45977</v>
      </c>
      <c r="D174" s="106">
        <v>11</v>
      </c>
      <c r="E174" s="107" t="s">
        <v>424</v>
      </c>
      <c r="F174" s="108">
        <v>4</v>
      </c>
      <c r="G174" s="109" t="s">
        <v>553</v>
      </c>
      <c r="H174" s="110">
        <f t="shared" si="8"/>
        <v>2025</v>
      </c>
      <c r="I174" s="111" t="s">
        <v>426</v>
      </c>
      <c r="J174" s="106" t="s">
        <v>543</v>
      </c>
      <c r="L174" s="93"/>
    </row>
    <row r="175" spans="1:12">
      <c r="A175" s="75">
        <f t="shared" si="7"/>
        <v>11</v>
      </c>
      <c r="B175" s="104">
        <f>IF(D175="","",COUNTIF($D$10:D175,D175))</f>
        <v>13</v>
      </c>
      <c r="C175" s="105">
        <v>45981</v>
      </c>
      <c r="D175" s="106">
        <v>11</v>
      </c>
      <c r="E175" s="107" t="s">
        <v>554</v>
      </c>
      <c r="F175" s="108">
        <v>4</v>
      </c>
      <c r="G175" s="109" t="s">
        <v>472</v>
      </c>
      <c r="H175" s="110">
        <f t="shared" si="8"/>
        <v>2025</v>
      </c>
      <c r="I175" s="111" t="s">
        <v>426</v>
      </c>
      <c r="J175" s="106" t="s">
        <v>543</v>
      </c>
      <c r="L175" s="93"/>
    </row>
    <row r="176" spans="1:12">
      <c r="A176" s="75">
        <f t="shared" si="7"/>
        <v>11</v>
      </c>
      <c r="B176" s="104">
        <f>IF(D176="","",COUNTIF($D$10:D176,D176))</f>
        <v>14</v>
      </c>
      <c r="C176" s="105">
        <v>45982</v>
      </c>
      <c r="D176" s="106">
        <v>11</v>
      </c>
      <c r="E176" s="107" t="s">
        <v>438</v>
      </c>
      <c r="F176" s="108">
        <v>4</v>
      </c>
      <c r="G176" s="109" t="s">
        <v>555</v>
      </c>
      <c r="H176" s="110">
        <f t="shared" si="8"/>
        <v>2025</v>
      </c>
      <c r="I176" s="111" t="s">
        <v>426</v>
      </c>
      <c r="J176" s="106" t="s">
        <v>543</v>
      </c>
      <c r="L176" s="93"/>
    </row>
    <row r="177" spans="1:12">
      <c r="A177" s="75">
        <f t="shared" si="7"/>
        <v>11</v>
      </c>
      <c r="B177" s="104">
        <f>IF(D177="","",COUNTIF($D$10:D177,D177))</f>
        <v>15</v>
      </c>
      <c r="C177" s="105">
        <v>45985</v>
      </c>
      <c r="D177" s="106">
        <v>11</v>
      </c>
      <c r="E177" s="107" t="s">
        <v>424</v>
      </c>
      <c r="F177" s="108">
        <v>4</v>
      </c>
      <c r="G177" s="109" t="s">
        <v>556</v>
      </c>
      <c r="H177" s="110">
        <f t="shared" si="8"/>
        <v>2025</v>
      </c>
      <c r="I177" s="111" t="s">
        <v>426</v>
      </c>
      <c r="J177" s="106" t="s">
        <v>543</v>
      </c>
      <c r="L177" s="93"/>
    </row>
    <row r="178" spans="1:12">
      <c r="A178" s="75">
        <f t="shared" si="7"/>
        <v>11</v>
      </c>
      <c r="B178" s="104">
        <f>IF(D178="","",COUNTIF($D$10:D178,D178))</f>
        <v>16</v>
      </c>
      <c r="C178" s="105">
        <v>45988</v>
      </c>
      <c r="D178" s="106">
        <v>11</v>
      </c>
      <c r="E178" s="107" t="s">
        <v>554</v>
      </c>
      <c r="F178" s="108">
        <v>4</v>
      </c>
      <c r="G178" s="109" t="s">
        <v>445</v>
      </c>
      <c r="H178" s="110">
        <f t="shared" si="8"/>
        <v>2025</v>
      </c>
      <c r="I178" s="111" t="s">
        <v>426</v>
      </c>
      <c r="J178" s="106" t="s">
        <v>543</v>
      </c>
      <c r="L178" s="93"/>
    </row>
    <row r="179" spans="1:12">
      <c r="A179" s="75">
        <f t="shared" si="7"/>
        <v>11</v>
      </c>
      <c r="B179" s="104">
        <f>IF(D179="","",COUNTIF($D$10:D179,D179))</f>
        <v>17</v>
      </c>
      <c r="C179" s="105">
        <v>45989</v>
      </c>
      <c r="D179" s="106">
        <v>11</v>
      </c>
      <c r="E179" s="107" t="s">
        <v>554</v>
      </c>
      <c r="F179" s="108">
        <v>4</v>
      </c>
      <c r="G179" s="109" t="s">
        <v>557</v>
      </c>
      <c r="H179" s="110">
        <f t="shared" si="8"/>
        <v>2025</v>
      </c>
      <c r="I179" s="111" t="s">
        <v>426</v>
      </c>
      <c r="J179" s="106" t="s">
        <v>543</v>
      </c>
      <c r="L179" s="93"/>
    </row>
    <row r="180" spans="1:12">
      <c r="A180" s="75">
        <f t="shared" si="7"/>
        <v>11</v>
      </c>
      <c r="B180" s="104">
        <f>IF(D180="","",COUNTIF($D$10:D180,D180))</f>
        <v>18</v>
      </c>
      <c r="C180" s="105">
        <v>45990</v>
      </c>
      <c r="D180" s="106">
        <v>11</v>
      </c>
      <c r="E180" s="107" t="s">
        <v>453</v>
      </c>
      <c r="F180" s="108">
        <v>4</v>
      </c>
      <c r="G180" s="109" t="s">
        <v>491</v>
      </c>
      <c r="H180" s="110">
        <f t="shared" si="8"/>
        <v>2025</v>
      </c>
      <c r="I180" s="111" t="s">
        <v>426</v>
      </c>
      <c r="J180" s="106" t="s">
        <v>543</v>
      </c>
      <c r="L180" s="93"/>
    </row>
    <row r="181" spans="1:12">
      <c r="A181" s="75" t="str">
        <f t="shared" si="7"/>
        <v/>
      </c>
      <c r="B181" s="87" t="str">
        <f>IF(D181="","",COUNTIF($D$10:D181,D181))</f>
        <v/>
      </c>
    </row>
    <row r="182" spans="1:12">
      <c r="A182" s="75" t="str">
        <f t="shared" si="7"/>
        <v/>
      </c>
      <c r="B182" s="87">
        <f>IF(D182="","",COUNTIF($D$10:D182,D182))</f>
        <v>1</v>
      </c>
      <c r="C182" s="96">
        <v>45901</v>
      </c>
      <c r="D182" s="76">
        <v>9</v>
      </c>
      <c r="E182" s="77" t="s">
        <v>433</v>
      </c>
      <c r="F182" s="95">
        <v>4</v>
      </c>
      <c r="G182" s="97" t="s">
        <v>466</v>
      </c>
      <c r="H182" s="91">
        <f t="shared" ref="H182:H216" si="9">YEAR(C182)</f>
        <v>2025</v>
      </c>
      <c r="I182" s="7" t="s">
        <v>426</v>
      </c>
      <c r="J182" s="76" t="s">
        <v>558</v>
      </c>
      <c r="K182" s="98"/>
    </row>
    <row r="183" spans="1:12">
      <c r="A183" s="75" t="str">
        <f t="shared" si="7"/>
        <v/>
      </c>
      <c r="B183" s="87">
        <f>IF(D183="","",COUNTIF($D$10:D183,D183))</f>
        <v>2</v>
      </c>
      <c r="C183" s="96">
        <v>45902</v>
      </c>
      <c r="D183" s="76">
        <v>9</v>
      </c>
      <c r="E183" s="77" t="s">
        <v>492</v>
      </c>
      <c r="F183" s="95">
        <v>4</v>
      </c>
      <c r="G183" s="97" t="s">
        <v>559</v>
      </c>
      <c r="H183" s="91">
        <f t="shared" si="9"/>
        <v>2025</v>
      </c>
      <c r="I183" s="7" t="s">
        <v>426</v>
      </c>
      <c r="J183" s="76" t="s">
        <v>558</v>
      </c>
      <c r="K183" s="98"/>
    </row>
    <row r="184" spans="1:12">
      <c r="A184" s="75" t="str">
        <f t="shared" si="7"/>
        <v/>
      </c>
      <c r="B184" s="87">
        <f>IF(D184="","",COUNTIF($D$10:D184,D184))</f>
        <v>3</v>
      </c>
      <c r="C184" s="96">
        <v>45903</v>
      </c>
      <c r="D184" s="76">
        <v>9</v>
      </c>
      <c r="E184" s="77" t="s">
        <v>438</v>
      </c>
      <c r="F184" s="95">
        <v>4</v>
      </c>
      <c r="G184" s="97" t="s">
        <v>429</v>
      </c>
      <c r="H184" s="91">
        <f t="shared" si="9"/>
        <v>2025</v>
      </c>
      <c r="I184" s="7" t="s">
        <v>426</v>
      </c>
      <c r="J184" s="76" t="s">
        <v>558</v>
      </c>
      <c r="K184" s="98"/>
    </row>
    <row r="185" spans="1:12">
      <c r="A185" s="75" t="str">
        <f t="shared" si="7"/>
        <v/>
      </c>
      <c r="B185" s="87">
        <f>IF(D185="","",COUNTIF($D$10:D185,D185))</f>
        <v>4</v>
      </c>
      <c r="C185" s="96">
        <v>45905</v>
      </c>
      <c r="D185" s="76">
        <v>9</v>
      </c>
      <c r="E185" s="77" t="s">
        <v>433</v>
      </c>
      <c r="F185" s="95">
        <v>4</v>
      </c>
      <c r="G185" s="97" t="s">
        <v>560</v>
      </c>
      <c r="H185" s="91">
        <f t="shared" si="9"/>
        <v>2025</v>
      </c>
      <c r="I185" s="7" t="s">
        <v>426</v>
      </c>
      <c r="J185" s="76" t="s">
        <v>558</v>
      </c>
      <c r="K185" s="98"/>
    </row>
    <row r="186" spans="1:12">
      <c r="A186" s="75" t="str">
        <f t="shared" si="7"/>
        <v/>
      </c>
      <c r="B186" s="87">
        <f>IF(D186="","",COUNTIF($D$10:D186,D186))</f>
        <v>5</v>
      </c>
      <c r="C186" s="96">
        <v>45905</v>
      </c>
      <c r="D186" s="76">
        <v>9</v>
      </c>
      <c r="E186" s="77" t="s">
        <v>492</v>
      </c>
      <c r="F186" s="95">
        <v>4</v>
      </c>
      <c r="G186" s="97" t="s">
        <v>561</v>
      </c>
      <c r="H186" s="91">
        <f t="shared" si="9"/>
        <v>2025</v>
      </c>
      <c r="I186" s="7" t="s">
        <v>426</v>
      </c>
      <c r="J186" s="76" t="s">
        <v>558</v>
      </c>
      <c r="K186" s="98"/>
    </row>
    <row r="187" spans="1:12">
      <c r="A187" s="75" t="str">
        <f t="shared" si="7"/>
        <v/>
      </c>
      <c r="B187" s="87">
        <f>IF(D187="","",COUNTIF($D$10:D187,D187))</f>
        <v>6</v>
      </c>
      <c r="C187" s="96">
        <v>45906</v>
      </c>
      <c r="D187" s="76">
        <v>9</v>
      </c>
      <c r="E187" s="77" t="s">
        <v>428</v>
      </c>
      <c r="F187" s="95">
        <v>4</v>
      </c>
      <c r="G187" s="97" t="s">
        <v>562</v>
      </c>
      <c r="H187" s="91">
        <f t="shared" si="9"/>
        <v>2025</v>
      </c>
      <c r="I187" s="7" t="s">
        <v>426</v>
      </c>
      <c r="J187" s="76" t="s">
        <v>558</v>
      </c>
      <c r="K187" s="98"/>
    </row>
    <row r="188" spans="1:12">
      <c r="A188" s="75" t="str">
        <f t="shared" si="7"/>
        <v/>
      </c>
      <c r="B188" s="87">
        <f>IF(D188="","",COUNTIF($D$10:D188,D188))</f>
        <v>7</v>
      </c>
      <c r="C188" s="96">
        <v>45909</v>
      </c>
      <c r="D188" s="76">
        <v>9</v>
      </c>
      <c r="E188" s="77" t="s">
        <v>438</v>
      </c>
      <c r="F188" s="95">
        <v>4</v>
      </c>
      <c r="G188" s="97" t="s">
        <v>513</v>
      </c>
      <c r="H188" s="91">
        <f t="shared" si="9"/>
        <v>2025</v>
      </c>
      <c r="I188" s="7" t="s">
        <v>426</v>
      </c>
      <c r="J188" s="76" t="s">
        <v>558</v>
      </c>
      <c r="K188" s="98"/>
    </row>
    <row r="189" spans="1:12">
      <c r="A189" s="75" t="str">
        <f t="shared" si="7"/>
        <v/>
      </c>
      <c r="B189" s="87">
        <f>IF(D189="","",COUNTIF($D$10:D189,D189))</f>
        <v>8</v>
      </c>
      <c r="C189" s="96">
        <v>45910</v>
      </c>
      <c r="D189" s="76">
        <v>9</v>
      </c>
      <c r="E189" s="77" t="s">
        <v>453</v>
      </c>
      <c r="F189" s="95">
        <v>4</v>
      </c>
      <c r="G189" s="97" t="s">
        <v>432</v>
      </c>
      <c r="H189" s="91">
        <f t="shared" si="9"/>
        <v>2025</v>
      </c>
      <c r="I189" s="7" t="s">
        <v>426</v>
      </c>
      <c r="J189" s="76" t="s">
        <v>558</v>
      </c>
      <c r="K189" s="98"/>
    </row>
    <row r="190" spans="1:12">
      <c r="A190" s="75" t="str">
        <f t="shared" si="7"/>
        <v/>
      </c>
      <c r="B190" s="87">
        <f>IF(D190="","",COUNTIF($D$10:D190,D190))</f>
        <v>9</v>
      </c>
      <c r="C190" s="96">
        <v>45911</v>
      </c>
      <c r="D190" s="76">
        <v>9</v>
      </c>
      <c r="E190" s="77" t="s">
        <v>428</v>
      </c>
      <c r="F190" s="95">
        <v>4</v>
      </c>
      <c r="G190" s="97" t="s">
        <v>562</v>
      </c>
      <c r="H190" s="91">
        <f t="shared" si="9"/>
        <v>2025</v>
      </c>
      <c r="I190" s="7" t="s">
        <v>426</v>
      </c>
      <c r="J190" s="76" t="s">
        <v>558</v>
      </c>
      <c r="K190" s="98"/>
    </row>
    <row r="191" spans="1:12">
      <c r="A191" s="75" t="str">
        <f t="shared" si="7"/>
        <v/>
      </c>
      <c r="B191" s="87">
        <f>IF(D191="","",COUNTIF($D$10:D191,D191))</f>
        <v>10</v>
      </c>
      <c r="C191" s="96">
        <v>45912</v>
      </c>
      <c r="D191" s="76">
        <v>9</v>
      </c>
      <c r="E191" s="77" t="s">
        <v>435</v>
      </c>
      <c r="F191" s="95">
        <v>4</v>
      </c>
      <c r="G191" s="97" t="s">
        <v>563</v>
      </c>
      <c r="H191" s="91">
        <f t="shared" si="9"/>
        <v>2025</v>
      </c>
      <c r="I191" s="7" t="s">
        <v>426</v>
      </c>
      <c r="J191" s="76" t="s">
        <v>558</v>
      </c>
      <c r="K191" s="98"/>
    </row>
    <row r="192" spans="1:12">
      <c r="A192" s="75" t="str">
        <f t="shared" si="7"/>
        <v/>
      </c>
      <c r="B192" s="87">
        <f>IF(D192="","",COUNTIF($D$10:D192,D192))</f>
        <v>11</v>
      </c>
      <c r="C192" s="96">
        <v>45917</v>
      </c>
      <c r="D192" s="76">
        <v>9</v>
      </c>
      <c r="E192" s="77" t="s">
        <v>438</v>
      </c>
      <c r="F192" s="95">
        <v>4</v>
      </c>
      <c r="G192" s="97" t="s">
        <v>439</v>
      </c>
      <c r="H192" s="91">
        <f t="shared" si="9"/>
        <v>2025</v>
      </c>
      <c r="I192" s="7" t="s">
        <v>426</v>
      </c>
      <c r="J192" s="76" t="s">
        <v>558</v>
      </c>
      <c r="K192" s="98"/>
    </row>
    <row r="193" spans="1:11">
      <c r="A193" s="75" t="str">
        <f t="shared" si="7"/>
        <v/>
      </c>
      <c r="B193" s="87">
        <f>IF(D193="","",COUNTIF($D$10:D193,D193))</f>
        <v>12</v>
      </c>
      <c r="C193" s="96">
        <v>45917</v>
      </c>
      <c r="D193" s="76">
        <v>9</v>
      </c>
      <c r="E193" s="77" t="s">
        <v>433</v>
      </c>
      <c r="F193" s="95">
        <v>4</v>
      </c>
      <c r="G193" s="97" t="s">
        <v>564</v>
      </c>
      <c r="H193" s="91">
        <f t="shared" si="9"/>
        <v>2025</v>
      </c>
      <c r="I193" s="7" t="s">
        <v>426</v>
      </c>
      <c r="J193" s="76" t="s">
        <v>558</v>
      </c>
      <c r="K193" s="98"/>
    </row>
    <row r="194" spans="1:11">
      <c r="A194" s="75" t="str">
        <f t="shared" si="7"/>
        <v/>
      </c>
      <c r="B194" s="87">
        <f>IF(D194="","",COUNTIF($D$10:D194,D194))</f>
        <v>13</v>
      </c>
      <c r="C194" s="96">
        <v>45918</v>
      </c>
      <c r="D194" s="76">
        <v>9</v>
      </c>
      <c r="E194" s="77" t="s">
        <v>453</v>
      </c>
      <c r="F194" s="95">
        <v>4</v>
      </c>
      <c r="G194" s="97" t="s">
        <v>565</v>
      </c>
      <c r="H194" s="91">
        <f t="shared" si="9"/>
        <v>2025</v>
      </c>
      <c r="I194" s="7" t="s">
        <v>426</v>
      </c>
      <c r="J194" s="76" t="s">
        <v>558</v>
      </c>
      <c r="K194" s="98"/>
    </row>
    <row r="195" spans="1:11">
      <c r="A195" s="75" t="str">
        <f t="shared" si="7"/>
        <v/>
      </c>
      <c r="B195" s="87">
        <f>IF(D195="","",COUNTIF($D$10:D195,D195))</f>
        <v>14</v>
      </c>
      <c r="C195" s="96">
        <v>45919</v>
      </c>
      <c r="D195" s="76">
        <v>9</v>
      </c>
      <c r="E195" s="77" t="s">
        <v>433</v>
      </c>
      <c r="F195" s="95">
        <v>4</v>
      </c>
      <c r="G195" s="97" t="s">
        <v>566</v>
      </c>
      <c r="H195" s="91">
        <f t="shared" si="9"/>
        <v>2025</v>
      </c>
      <c r="I195" s="7" t="s">
        <v>426</v>
      </c>
      <c r="J195" s="76" t="s">
        <v>558</v>
      </c>
      <c r="K195" s="98"/>
    </row>
    <row r="196" spans="1:11">
      <c r="A196" s="75" t="str">
        <f t="shared" si="7"/>
        <v/>
      </c>
      <c r="B196" s="87">
        <f>IF(D196="","",COUNTIF($D$10:D196,D196))</f>
        <v>15</v>
      </c>
      <c r="C196" s="96">
        <v>45920</v>
      </c>
      <c r="D196" s="76">
        <v>9</v>
      </c>
      <c r="E196" s="77" t="s">
        <v>492</v>
      </c>
      <c r="F196" s="95">
        <v>4</v>
      </c>
      <c r="G196" s="97" t="s">
        <v>567</v>
      </c>
      <c r="H196" s="91">
        <f t="shared" si="9"/>
        <v>2025</v>
      </c>
      <c r="I196" s="7" t="s">
        <v>426</v>
      </c>
      <c r="J196" s="76" t="s">
        <v>558</v>
      </c>
      <c r="K196" s="98"/>
    </row>
    <row r="197" spans="1:11">
      <c r="A197" s="75" t="str">
        <f t="shared" si="7"/>
        <v/>
      </c>
      <c r="B197" s="87">
        <f>IF(D197="","",COUNTIF($D$10:D197,D197))</f>
        <v>16</v>
      </c>
      <c r="C197" s="96">
        <v>45922</v>
      </c>
      <c r="D197" s="76">
        <v>9</v>
      </c>
      <c r="E197" s="77" t="s">
        <v>433</v>
      </c>
      <c r="F197" s="95">
        <v>4</v>
      </c>
      <c r="G197" s="97" t="s">
        <v>455</v>
      </c>
      <c r="H197" s="91">
        <f t="shared" si="9"/>
        <v>2025</v>
      </c>
      <c r="I197" s="7" t="s">
        <v>426</v>
      </c>
      <c r="J197" s="76" t="s">
        <v>558</v>
      </c>
      <c r="K197" s="98"/>
    </row>
    <row r="198" spans="1:11">
      <c r="A198" s="75" t="str">
        <f t="shared" si="7"/>
        <v/>
      </c>
      <c r="B198" s="87">
        <f>IF(D198="","",COUNTIF($D$10:D198,D198))</f>
        <v>17</v>
      </c>
      <c r="C198" s="96">
        <v>45925</v>
      </c>
      <c r="D198" s="76">
        <v>9</v>
      </c>
      <c r="E198" s="77" t="s">
        <v>433</v>
      </c>
      <c r="F198" s="95">
        <v>4</v>
      </c>
      <c r="G198" s="97" t="s">
        <v>568</v>
      </c>
      <c r="H198" s="91">
        <f t="shared" si="9"/>
        <v>2025</v>
      </c>
      <c r="I198" s="7" t="s">
        <v>426</v>
      </c>
      <c r="J198" s="76" t="s">
        <v>558</v>
      </c>
      <c r="K198" s="98"/>
    </row>
    <row r="199" spans="1:11">
      <c r="A199" s="75" t="str">
        <f t="shared" si="7"/>
        <v/>
      </c>
      <c r="B199" s="87">
        <f>IF(D199="","",COUNTIF($D$10:D199,D199))</f>
        <v>18</v>
      </c>
      <c r="C199" s="96">
        <v>45925</v>
      </c>
      <c r="D199" s="76">
        <v>9</v>
      </c>
      <c r="E199" s="77" t="s">
        <v>435</v>
      </c>
      <c r="F199" s="95">
        <v>4</v>
      </c>
      <c r="G199" s="97" t="s">
        <v>555</v>
      </c>
      <c r="H199" s="91">
        <f t="shared" si="9"/>
        <v>2025</v>
      </c>
      <c r="I199" s="7" t="s">
        <v>426</v>
      </c>
      <c r="J199" s="76" t="s">
        <v>558</v>
      </c>
      <c r="K199" s="98"/>
    </row>
    <row r="200" spans="1:11">
      <c r="A200" s="75" t="str">
        <f t="shared" si="7"/>
        <v/>
      </c>
      <c r="B200" s="87">
        <f>IF(D200="","",COUNTIF($D$10:D200,D200))</f>
        <v>19</v>
      </c>
      <c r="C200" s="96">
        <v>45926</v>
      </c>
      <c r="D200" s="76">
        <v>9</v>
      </c>
      <c r="E200" s="77" t="s">
        <v>438</v>
      </c>
      <c r="F200" s="95">
        <v>4</v>
      </c>
      <c r="G200" s="97" t="s">
        <v>569</v>
      </c>
      <c r="H200" s="91">
        <f t="shared" si="9"/>
        <v>2025</v>
      </c>
      <c r="I200" s="7" t="s">
        <v>426</v>
      </c>
      <c r="J200" s="76" t="s">
        <v>558</v>
      </c>
      <c r="K200" s="98"/>
    </row>
    <row r="201" spans="1:11">
      <c r="A201" s="75" t="str">
        <f t="shared" si="7"/>
        <v/>
      </c>
      <c r="B201" s="87">
        <f>IF(D201="","",COUNTIF($D$10:D201,D201))</f>
        <v>20</v>
      </c>
      <c r="C201" s="96">
        <v>45927</v>
      </c>
      <c r="D201" s="76">
        <v>9</v>
      </c>
      <c r="E201" s="77" t="s">
        <v>453</v>
      </c>
      <c r="F201" s="95">
        <v>4</v>
      </c>
      <c r="G201" s="97" t="s">
        <v>443</v>
      </c>
      <c r="H201" s="91">
        <f t="shared" si="9"/>
        <v>2025</v>
      </c>
      <c r="I201" s="7" t="s">
        <v>426</v>
      </c>
      <c r="J201" s="76" t="s">
        <v>558</v>
      </c>
      <c r="K201" s="98"/>
    </row>
    <row r="202" spans="1:11">
      <c r="A202" s="75" t="str">
        <f t="shared" si="7"/>
        <v/>
      </c>
      <c r="B202" s="87">
        <f>IF(D202="","",COUNTIF($D$10:D202,D202))</f>
        <v>21</v>
      </c>
      <c r="C202" s="96">
        <v>45929</v>
      </c>
      <c r="D202" s="76">
        <v>9</v>
      </c>
      <c r="E202" s="77" t="s">
        <v>570</v>
      </c>
      <c r="F202" s="95">
        <v>4</v>
      </c>
      <c r="G202" s="97" t="s">
        <v>458</v>
      </c>
      <c r="H202" s="91">
        <f t="shared" si="9"/>
        <v>2025</v>
      </c>
      <c r="I202" s="7" t="s">
        <v>426</v>
      </c>
      <c r="J202" s="76" t="s">
        <v>558</v>
      </c>
      <c r="K202" s="98"/>
    </row>
    <row r="203" spans="1:11">
      <c r="A203" s="75" t="str">
        <f t="shared" ref="A203:A266" si="10">IF(AND($E$3="ALL",$E$4="ALL"),"ALL",IF(AND($E$3="ALL",$E$4&lt;&gt;"ALL"),IF(D203=$E$4,D203,""),IF(AND($E$3&lt;&gt;"ALL",$E$4="ALL"),IF(I203=$E$3,I203,""),"")))</f>
        <v/>
      </c>
      <c r="B203" s="87">
        <f>IF(D203="","",COUNTIF($D$10:D203,D203))</f>
        <v>22</v>
      </c>
      <c r="C203" s="96">
        <v>45929</v>
      </c>
      <c r="D203" s="76">
        <v>9</v>
      </c>
      <c r="E203" s="77" t="s">
        <v>492</v>
      </c>
      <c r="F203" s="95">
        <v>4</v>
      </c>
      <c r="G203" s="97" t="s">
        <v>457</v>
      </c>
      <c r="H203" s="91">
        <f t="shared" si="9"/>
        <v>2025</v>
      </c>
      <c r="I203" s="7" t="s">
        <v>426</v>
      </c>
      <c r="J203" s="76" t="s">
        <v>558</v>
      </c>
      <c r="K203" s="98"/>
    </row>
    <row r="204" spans="1:11">
      <c r="A204" s="75" t="str">
        <f t="shared" si="10"/>
        <v/>
      </c>
      <c r="B204" s="87">
        <f>IF(D204="","",COUNTIF($D$10:D204,D204))</f>
        <v>23</v>
      </c>
      <c r="C204" s="96">
        <v>45930</v>
      </c>
      <c r="D204" s="76">
        <v>9</v>
      </c>
      <c r="E204" s="77" t="s">
        <v>453</v>
      </c>
      <c r="F204" s="95">
        <v>4</v>
      </c>
      <c r="G204" s="97" t="s">
        <v>468</v>
      </c>
      <c r="H204" s="91">
        <f t="shared" si="9"/>
        <v>2025</v>
      </c>
      <c r="I204" s="7" t="s">
        <v>426</v>
      </c>
      <c r="J204" s="76" t="s">
        <v>558</v>
      </c>
      <c r="K204" s="98"/>
    </row>
    <row r="205" spans="1:11">
      <c r="A205" s="75" t="str">
        <f t="shared" si="10"/>
        <v/>
      </c>
      <c r="B205" s="87">
        <f>IF(D205="","",COUNTIF($D$10:D205,D205))</f>
        <v>24</v>
      </c>
      <c r="C205" s="96">
        <v>45930</v>
      </c>
      <c r="D205" s="76">
        <v>9</v>
      </c>
      <c r="E205" s="77" t="s">
        <v>435</v>
      </c>
      <c r="F205" s="95">
        <v>4</v>
      </c>
      <c r="G205" s="97" t="s">
        <v>442</v>
      </c>
      <c r="H205" s="91">
        <f t="shared" si="9"/>
        <v>2025</v>
      </c>
      <c r="I205" s="7" t="s">
        <v>426</v>
      </c>
      <c r="J205" s="76" t="s">
        <v>558</v>
      </c>
      <c r="K205" s="98"/>
    </row>
    <row r="206" spans="1:11">
      <c r="A206" s="75" t="str">
        <f t="shared" si="10"/>
        <v/>
      </c>
      <c r="B206" s="87">
        <f>IF(D206="","",COUNTIF($D$10:D206,D206))</f>
        <v>25</v>
      </c>
      <c r="C206" s="96">
        <v>45903</v>
      </c>
      <c r="D206" s="76">
        <v>9</v>
      </c>
      <c r="E206" s="77" t="s">
        <v>492</v>
      </c>
      <c r="F206" s="95">
        <v>4</v>
      </c>
      <c r="G206" s="97" t="s">
        <v>429</v>
      </c>
      <c r="H206" s="91">
        <f t="shared" si="9"/>
        <v>2025</v>
      </c>
      <c r="I206" s="7" t="s">
        <v>283</v>
      </c>
      <c r="J206" s="76" t="s">
        <v>558</v>
      </c>
      <c r="K206" s="98"/>
    </row>
    <row r="207" spans="1:11">
      <c r="A207" s="75" t="str">
        <f t="shared" si="10"/>
        <v/>
      </c>
      <c r="B207" s="87">
        <f>IF(D207="","",COUNTIF($D$10:D207,D207))</f>
        <v>26</v>
      </c>
      <c r="C207" s="96">
        <v>45903</v>
      </c>
      <c r="D207" s="76">
        <v>9</v>
      </c>
      <c r="E207" s="77" t="s">
        <v>428</v>
      </c>
      <c r="F207" s="95">
        <v>4</v>
      </c>
      <c r="G207" s="97"/>
      <c r="H207" s="91">
        <f t="shared" si="9"/>
        <v>2025</v>
      </c>
      <c r="I207" s="7" t="s">
        <v>384</v>
      </c>
      <c r="J207" s="76" t="s">
        <v>558</v>
      </c>
      <c r="K207" s="98"/>
    </row>
    <row r="208" spans="1:11">
      <c r="A208" s="75" t="str">
        <f t="shared" si="10"/>
        <v/>
      </c>
      <c r="B208" s="87">
        <f>IF(D208="","",COUNTIF($D$10:D208,D208))</f>
        <v>27</v>
      </c>
      <c r="C208" s="96">
        <v>45903</v>
      </c>
      <c r="D208" s="76">
        <v>9</v>
      </c>
      <c r="E208" s="77" t="s">
        <v>438</v>
      </c>
      <c r="F208" s="95">
        <v>4</v>
      </c>
      <c r="G208" s="97"/>
      <c r="H208" s="91">
        <f t="shared" si="9"/>
        <v>2025</v>
      </c>
      <c r="I208" s="7" t="s">
        <v>68</v>
      </c>
      <c r="J208" s="76" t="s">
        <v>558</v>
      </c>
      <c r="K208" s="98"/>
    </row>
    <row r="209" spans="1:11">
      <c r="A209" s="75" t="str">
        <f t="shared" si="10"/>
        <v/>
      </c>
      <c r="B209" s="87">
        <f>IF(D209="","",COUNTIF($D$10:D209,D209))</f>
        <v>28</v>
      </c>
      <c r="C209" s="96">
        <v>45903</v>
      </c>
      <c r="D209" s="76">
        <v>9</v>
      </c>
      <c r="E209" s="77" t="s">
        <v>438</v>
      </c>
      <c r="F209" s="95">
        <v>4</v>
      </c>
      <c r="G209" s="97"/>
      <c r="H209" s="91">
        <f t="shared" si="9"/>
        <v>2025</v>
      </c>
      <c r="I209" s="7" t="s">
        <v>571</v>
      </c>
      <c r="J209" s="76" t="s">
        <v>558</v>
      </c>
      <c r="K209" s="98"/>
    </row>
    <row r="210" spans="1:11">
      <c r="A210" s="75" t="str">
        <f t="shared" si="10"/>
        <v/>
      </c>
      <c r="B210" s="87">
        <f>IF(D210="","",COUNTIF($D$10:D210,D210))</f>
        <v>29</v>
      </c>
      <c r="C210" s="96">
        <v>45904</v>
      </c>
      <c r="D210" s="76">
        <v>9</v>
      </c>
      <c r="E210" s="77" t="s">
        <v>453</v>
      </c>
      <c r="F210" s="95">
        <v>4</v>
      </c>
      <c r="G210" s="97"/>
      <c r="H210" s="91">
        <f t="shared" si="9"/>
        <v>2025</v>
      </c>
      <c r="I210" s="7" t="s">
        <v>68</v>
      </c>
      <c r="J210" s="76" t="s">
        <v>558</v>
      </c>
      <c r="K210" s="98"/>
    </row>
    <row r="211" spans="1:11">
      <c r="A211" s="75" t="str">
        <f t="shared" si="10"/>
        <v/>
      </c>
      <c r="B211" s="87">
        <f>IF(D211="","",COUNTIF($D$10:D211,D211))</f>
        <v>30</v>
      </c>
      <c r="C211" s="96">
        <v>45904</v>
      </c>
      <c r="D211" s="76">
        <v>9</v>
      </c>
      <c r="E211" s="77" t="s">
        <v>435</v>
      </c>
      <c r="F211" s="95">
        <v>4</v>
      </c>
      <c r="G211" s="97"/>
      <c r="H211" s="91">
        <f t="shared" si="9"/>
        <v>2025</v>
      </c>
      <c r="I211" s="7" t="s">
        <v>68</v>
      </c>
      <c r="J211" s="76" t="s">
        <v>558</v>
      </c>
      <c r="K211" s="98"/>
    </row>
    <row r="212" spans="1:11">
      <c r="A212" s="75" t="str">
        <f t="shared" si="10"/>
        <v/>
      </c>
      <c r="B212" s="87">
        <f>IF(D212="","",COUNTIF($D$10:D212,D212))</f>
        <v>31</v>
      </c>
      <c r="C212" s="96">
        <v>45904</v>
      </c>
      <c r="D212" s="76">
        <v>9</v>
      </c>
      <c r="E212" s="77" t="s">
        <v>435</v>
      </c>
      <c r="F212" s="95">
        <v>4</v>
      </c>
      <c r="G212" s="97"/>
      <c r="H212" s="91">
        <f t="shared" si="9"/>
        <v>2025</v>
      </c>
      <c r="I212" s="7" t="s">
        <v>571</v>
      </c>
      <c r="J212" s="76" t="s">
        <v>558</v>
      </c>
      <c r="K212" s="98"/>
    </row>
    <row r="213" spans="1:11">
      <c r="A213" s="75" t="str">
        <f t="shared" si="10"/>
        <v/>
      </c>
      <c r="B213" s="87">
        <f>IF(D213="","",COUNTIF($D$10:D213,D213))</f>
        <v>32</v>
      </c>
      <c r="C213" s="96">
        <v>45908</v>
      </c>
      <c r="D213" s="76">
        <v>9</v>
      </c>
      <c r="E213" s="77" t="s">
        <v>453</v>
      </c>
      <c r="F213" s="95">
        <v>4</v>
      </c>
      <c r="G213" s="97"/>
      <c r="H213" s="91">
        <f t="shared" si="9"/>
        <v>2025</v>
      </c>
      <c r="I213" s="7" t="s">
        <v>571</v>
      </c>
      <c r="J213" s="76" t="s">
        <v>558</v>
      </c>
      <c r="K213" s="98"/>
    </row>
    <row r="214" spans="1:11">
      <c r="A214" s="75" t="str">
        <f t="shared" si="10"/>
        <v/>
      </c>
      <c r="B214" s="87">
        <f>IF(D214="","",COUNTIF($D$10:D214,D214))</f>
        <v>33</v>
      </c>
      <c r="C214" s="96">
        <v>45908</v>
      </c>
      <c r="D214" s="76">
        <v>9</v>
      </c>
      <c r="E214" s="77" t="s">
        <v>435</v>
      </c>
      <c r="F214" s="95">
        <v>4</v>
      </c>
      <c r="G214" s="97"/>
      <c r="H214" s="91">
        <f t="shared" si="9"/>
        <v>2025</v>
      </c>
      <c r="I214" s="7" t="s">
        <v>283</v>
      </c>
      <c r="J214" s="76" t="s">
        <v>558</v>
      </c>
      <c r="K214" s="98"/>
    </row>
    <row r="215" spans="1:11">
      <c r="A215" s="75" t="str">
        <f t="shared" si="10"/>
        <v/>
      </c>
      <c r="B215" s="87">
        <f>IF(D215="","",COUNTIF($D$10:D215,D215))</f>
        <v>34</v>
      </c>
      <c r="C215" s="96">
        <v>45915</v>
      </c>
      <c r="D215" s="76">
        <v>9</v>
      </c>
      <c r="E215" s="77" t="s">
        <v>438</v>
      </c>
      <c r="F215" s="95">
        <v>4</v>
      </c>
      <c r="G215" s="97"/>
      <c r="H215" s="91">
        <f t="shared" si="9"/>
        <v>2025</v>
      </c>
      <c r="I215" s="7" t="s">
        <v>571</v>
      </c>
      <c r="J215" s="76" t="s">
        <v>558</v>
      </c>
      <c r="K215" s="98"/>
    </row>
    <row r="216" spans="1:11">
      <c r="A216" s="75" t="str">
        <f t="shared" si="10"/>
        <v/>
      </c>
      <c r="B216" s="87">
        <f>IF(D216="","",COUNTIF($D$10:D216,D216))</f>
        <v>35</v>
      </c>
      <c r="C216" s="96">
        <v>45915</v>
      </c>
      <c r="D216" s="76">
        <v>9</v>
      </c>
      <c r="E216" s="77" t="s">
        <v>433</v>
      </c>
      <c r="F216" s="95">
        <v>4</v>
      </c>
      <c r="G216" s="97"/>
      <c r="H216" s="91">
        <f t="shared" si="9"/>
        <v>2025</v>
      </c>
      <c r="I216" s="7" t="s">
        <v>283</v>
      </c>
      <c r="J216" s="76" t="s">
        <v>558</v>
      </c>
      <c r="K216" s="98"/>
    </row>
    <row r="217" spans="1:11">
      <c r="A217" s="75" t="str">
        <f t="shared" si="10"/>
        <v/>
      </c>
      <c r="B217" s="87" t="str">
        <f>IF(D217="","",COUNTIF($D$10:D217,D217))</f>
        <v/>
      </c>
      <c r="C217" s="96"/>
    </row>
    <row r="218" spans="1:11">
      <c r="A218" s="75" t="str">
        <f t="shared" si="10"/>
        <v/>
      </c>
      <c r="B218" s="104">
        <f>IF(D218="","",COUNTIF($D$10:D218,D218))</f>
        <v>1</v>
      </c>
      <c r="C218" s="112">
        <v>45931</v>
      </c>
      <c r="D218" s="106">
        <v>10</v>
      </c>
      <c r="E218" s="107" t="s">
        <v>424</v>
      </c>
      <c r="F218" s="108">
        <v>4</v>
      </c>
      <c r="G218" s="113" t="s">
        <v>473</v>
      </c>
      <c r="H218" s="110">
        <f t="shared" ref="H218:H242" si="11">YEAR(C218)</f>
        <v>2025</v>
      </c>
      <c r="I218" s="111" t="s">
        <v>426</v>
      </c>
      <c r="J218" s="106" t="s">
        <v>572</v>
      </c>
      <c r="K218" s="98"/>
    </row>
    <row r="219" spans="1:11">
      <c r="A219" s="75" t="str">
        <f t="shared" si="10"/>
        <v/>
      </c>
      <c r="B219" s="104">
        <f>IF(D219="","",COUNTIF($D$10:D219,D219))</f>
        <v>2</v>
      </c>
      <c r="C219" s="112">
        <v>45932</v>
      </c>
      <c r="D219" s="106">
        <v>10</v>
      </c>
      <c r="E219" s="107" t="s">
        <v>492</v>
      </c>
      <c r="F219" s="108">
        <v>4</v>
      </c>
      <c r="G219" s="113" t="s">
        <v>429</v>
      </c>
      <c r="H219" s="110">
        <f t="shared" si="11"/>
        <v>2025</v>
      </c>
      <c r="I219" s="111" t="s">
        <v>426</v>
      </c>
      <c r="J219" s="106" t="s">
        <v>572</v>
      </c>
      <c r="K219" s="98"/>
    </row>
    <row r="220" spans="1:11">
      <c r="A220" s="75" t="str">
        <f t="shared" si="10"/>
        <v/>
      </c>
      <c r="B220" s="104">
        <f>IF(D220="","",COUNTIF($D$10:D220,D220))</f>
        <v>3</v>
      </c>
      <c r="C220" s="112">
        <v>45933</v>
      </c>
      <c r="D220" s="106">
        <v>10</v>
      </c>
      <c r="E220" s="107" t="s">
        <v>570</v>
      </c>
      <c r="F220" s="108">
        <v>4</v>
      </c>
      <c r="G220" s="113" t="s">
        <v>493</v>
      </c>
      <c r="H220" s="110">
        <f t="shared" si="11"/>
        <v>2025</v>
      </c>
      <c r="I220" s="111" t="s">
        <v>426</v>
      </c>
      <c r="J220" s="106" t="s">
        <v>572</v>
      </c>
      <c r="K220" s="98"/>
    </row>
    <row r="221" spans="1:11">
      <c r="A221" s="75" t="str">
        <f t="shared" si="10"/>
        <v/>
      </c>
      <c r="B221" s="104">
        <f>IF(D221="","",COUNTIF($D$10:D221,D221))</f>
        <v>4</v>
      </c>
      <c r="C221" s="112">
        <v>45933</v>
      </c>
      <c r="D221" s="106">
        <v>10</v>
      </c>
      <c r="E221" s="107" t="s">
        <v>435</v>
      </c>
      <c r="F221" s="108">
        <v>4</v>
      </c>
      <c r="G221" s="113" t="s">
        <v>445</v>
      </c>
      <c r="H221" s="110">
        <f t="shared" si="11"/>
        <v>2025</v>
      </c>
      <c r="I221" s="111" t="s">
        <v>426</v>
      </c>
      <c r="J221" s="106" t="s">
        <v>572</v>
      </c>
      <c r="K221" s="98"/>
    </row>
    <row r="222" spans="1:11">
      <c r="A222" s="75" t="str">
        <f t="shared" si="10"/>
        <v/>
      </c>
      <c r="B222" s="104">
        <f>IF(D222="","",COUNTIF($D$10:D222,D222))</f>
        <v>5</v>
      </c>
      <c r="C222" s="112">
        <v>45936</v>
      </c>
      <c r="D222" s="106">
        <v>10</v>
      </c>
      <c r="E222" s="107" t="s">
        <v>573</v>
      </c>
      <c r="F222" s="108">
        <v>2</v>
      </c>
      <c r="G222" s="113" t="s">
        <v>511</v>
      </c>
      <c r="H222" s="110">
        <f t="shared" si="11"/>
        <v>2025</v>
      </c>
      <c r="I222" s="111" t="s">
        <v>426</v>
      </c>
      <c r="J222" s="106" t="s">
        <v>572</v>
      </c>
      <c r="K222" s="98"/>
    </row>
    <row r="223" spans="1:11">
      <c r="A223" s="75" t="str">
        <f t="shared" si="10"/>
        <v/>
      </c>
      <c r="B223" s="104">
        <f>IF(D223="","",COUNTIF($D$10:D223,D223))</f>
        <v>6</v>
      </c>
      <c r="C223" s="112">
        <v>45936</v>
      </c>
      <c r="D223" s="106">
        <v>10</v>
      </c>
      <c r="E223" s="107" t="s">
        <v>449</v>
      </c>
      <c r="F223" s="108">
        <v>2</v>
      </c>
      <c r="G223" s="113" t="s">
        <v>441</v>
      </c>
      <c r="H223" s="110">
        <f t="shared" si="11"/>
        <v>2025</v>
      </c>
      <c r="I223" s="111" t="s">
        <v>426</v>
      </c>
      <c r="J223" s="106" t="s">
        <v>572</v>
      </c>
      <c r="K223" s="98"/>
    </row>
    <row r="224" spans="1:11">
      <c r="A224" s="75" t="str">
        <f t="shared" si="10"/>
        <v/>
      </c>
      <c r="B224" s="104">
        <f>IF(D224="","",COUNTIF($D$10:D224,D224))</f>
        <v>7</v>
      </c>
      <c r="C224" s="112">
        <v>45937</v>
      </c>
      <c r="D224" s="106">
        <v>10</v>
      </c>
      <c r="E224" s="107" t="s">
        <v>453</v>
      </c>
      <c r="F224" s="108">
        <v>4</v>
      </c>
      <c r="G224" s="113" t="s">
        <v>574</v>
      </c>
      <c r="H224" s="110">
        <f t="shared" si="11"/>
        <v>2025</v>
      </c>
      <c r="I224" s="111" t="s">
        <v>426</v>
      </c>
      <c r="J224" s="106" t="s">
        <v>572</v>
      </c>
      <c r="K224" s="98"/>
    </row>
    <row r="225" spans="1:11">
      <c r="A225" s="75" t="str">
        <f t="shared" si="10"/>
        <v/>
      </c>
      <c r="B225" s="104">
        <f>IF(D225="","",COUNTIF($D$10:D225,D225))</f>
        <v>8</v>
      </c>
      <c r="C225" s="112">
        <v>45938</v>
      </c>
      <c r="D225" s="106">
        <v>10</v>
      </c>
      <c r="E225" s="107" t="s">
        <v>449</v>
      </c>
      <c r="F225" s="108">
        <v>2</v>
      </c>
      <c r="G225" s="113" t="s">
        <v>562</v>
      </c>
      <c r="H225" s="110">
        <f t="shared" si="11"/>
        <v>2025</v>
      </c>
      <c r="I225" s="111" t="s">
        <v>426</v>
      </c>
      <c r="J225" s="106" t="s">
        <v>572</v>
      </c>
      <c r="K225" s="98"/>
    </row>
    <row r="226" spans="1:11">
      <c r="A226" s="75" t="str">
        <f t="shared" si="10"/>
        <v/>
      </c>
      <c r="B226" s="104">
        <f>IF(D226="","",COUNTIF($D$10:D226,D226))</f>
        <v>9</v>
      </c>
      <c r="C226" s="112">
        <v>45938</v>
      </c>
      <c r="D226" s="106">
        <v>10</v>
      </c>
      <c r="E226" s="107" t="s">
        <v>503</v>
      </c>
      <c r="F226" s="108">
        <v>2</v>
      </c>
      <c r="G226" s="113" t="s">
        <v>575</v>
      </c>
      <c r="H226" s="110">
        <f t="shared" si="11"/>
        <v>2025</v>
      </c>
      <c r="I226" s="111" t="s">
        <v>426</v>
      </c>
      <c r="J226" s="106" t="s">
        <v>572</v>
      </c>
      <c r="K226" s="98"/>
    </row>
    <row r="227" spans="1:11">
      <c r="A227" s="75" t="str">
        <f t="shared" si="10"/>
        <v/>
      </c>
      <c r="B227" s="104">
        <f>IF(D227="","",COUNTIF($D$10:D227,D227))</f>
        <v>10</v>
      </c>
      <c r="C227" s="112">
        <v>45938</v>
      </c>
      <c r="D227" s="106">
        <v>10</v>
      </c>
      <c r="E227" s="107" t="s">
        <v>438</v>
      </c>
      <c r="F227" s="108">
        <v>4</v>
      </c>
      <c r="G227" s="113" t="s">
        <v>482</v>
      </c>
      <c r="H227" s="110">
        <f t="shared" si="11"/>
        <v>2025</v>
      </c>
      <c r="I227" s="111" t="s">
        <v>426</v>
      </c>
      <c r="J227" s="106" t="s">
        <v>572</v>
      </c>
      <c r="K227" s="98"/>
    </row>
    <row r="228" spans="1:11">
      <c r="A228" s="75" t="str">
        <f t="shared" si="10"/>
        <v/>
      </c>
      <c r="B228" s="104">
        <f>IF(D228="","",COUNTIF($D$10:D228,D228))</f>
        <v>11</v>
      </c>
      <c r="C228" s="112">
        <v>45938</v>
      </c>
      <c r="D228" s="106">
        <v>10</v>
      </c>
      <c r="E228" s="107" t="s">
        <v>435</v>
      </c>
      <c r="F228" s="108">
        <v>4</v>
      </c>
      <c r="G228" s="113" t="s">
        <v>576</v>
      </c>
      <c r="H228" s="110">
        <f t="shared" si="11"/>
        <v>2025</v>
      </c>
      <c r="I228" s="111" t="s">
        <v>426</v>
      </c>
      <c r="J228" s="106" t="s">
        <v>572</v>
      </c>
      <c r="K228" s="98"/>
    </row>
    <row r="229" spans="1:11">
      <c r="A229" s="75" t="str">
        <f t="shared" si="10"/>
        <v/>
      </c>
      <c r="B229" s="104">
        <f>IF(D229="","",COUNTIF($D$10:D229,D229))</f>
        <v>12</v>
      </c>
      <c r="C229" s="112">
        <v>45939</v>
      </c>
      <c r="D229" s="106">
        <v>10</v>
      </c>
      <c r="E229" s="107" t="s">
        <v>453</v>
      </c>
      <c r="F229" s="108">
        <v>4</v>
      </c>
      <c r="G229" s="113" t="s">
        <v>465</v>
      </c>
      <c r="H229" s="110">
        <f t="shared" si="11"/>
        <v>2025</v>
      </c>
      <c r="I229" s="111" t="s">
        <v>426</v>
      </c>
      <c r="J229" s="106" t="s">
        <v>572</v>
      </c>
      <c r="K229" s="98"/>
    </row>
    <row r="230" spans="1:11">
      <c r="A230" s="75" t="str">
        <f t="shared" si="10"/>
        <v/>
      </c>
      <c r="B230" s="104">
        <f>IF(D230="","",COUNTIF($D$10:D230,D230))</f>
        <v>13</v>
      </c>
      <c r="C230" s="112">
        <v>45943</v>
      </c>
      <c r="D230" s="106">
        <v>10</v>
      </c>
      <c r="E230" s="107" t="s">
        <v>435</v>
      </c>
      <c r="F230" s="108">
        <v>4</v>
      </c>
      <c r="G230" s="113" t="s">
        <v>513</v>
      </c>
      <c r="H230" s="110">
        <f t="shared" si="11"/>
        <v>2025</v>
      </c>
      <c r="I230" s="111" t="s">
        <v>426</v>
      </c>
      <c r="J230" s="106" t="s">
        <v>572</v>
      </c>
      <c r="K230" s="98"/>
    </row>
    <row r="231" spans="1:11">
      <c r="A231" s="75" t="str">
        <f t="shared" si="10"/>
        <v/>
      </c>
      <c r="B231" s="104">
        <f>IF(D231="","",COUNTIF($D$10:D231,D231))</f>
        <v>14</v>
      </c>
      <c r="C231" s="112">
        <v>45944</v>
      </c>
      <c r="D231" s="106">
        <v>10</v>
      </c>
      <c r="E231" s="107" t="s">
        <v>453</v>
      </c>
      <c r="F231" s="108">
        <v>4</v>
      </c>
      <c r="G231" s="113" t="s">
        <v>564</v>
      </c>
      <c r="H231" s="110">
        <f t="shared" si="11"/>
        <v>2025</v>
      </c>
      <c r="I231" s="111" t="s">
        <v>426</v>
      </c>
      <c r="J231" s="106" t="s">
        <v>572</v>
      </c>
      <c r="K231" s="98"/>
    </row>
    <row r="232" spans="1:11">
      <c r="A232" s="75" t="str">
        <f t="shared" si="10"/>
        <v/>
      </c>
      <c r="B232" s="104">
        <f>IF(D232="","",COUNTIF($D$10:D232,D232))</f>
        <v>15</v>
      </c>
      <c r="C232" s="112">
        <v>45945</v>
      </c>
      <c r="D232" s="106">
        <v>10</v>
      </c>
      <c r="E232" s="107" t="s">
        <v>424</v>
      </c>
      <c r="F232" s="108">
        <v>4</v>
      </c>
      <c r="G232" s="113" t="s">
        <v>569</v>
      </c>
      <c r="H232" s="110">
        <f t="shared" si="11"/>
        <v>2025</v>
      </c>
      <c r="I232" s="111" t="s">
        <v>426</v>
      </c>
      <c r="J232" s="106" t="s">
        <v>572</v>
      </c>
      <c r="K232" s="98"/>
    </row>
    <row r="233" spans="1:11">
      <c r="A233" s="75" t="str">
        <f t="shared" si="10"/>
        <v/>
      </c>
      <c r="B233" s="104">
        <f>IF(D233="","",COUNTIF($D$10:D233,D233))</f>
        <v>16</v>
      </c>
      <c r="C233" s="112">
        <v>45946</v>
      </c>
      <c r="D233" s="106">
        <v>10</v>
      </c>
      <c r="E233" s="107" t="s">
        <v>570</v>
      </c>
      <c r="F233" s="108">
        <v>4</v>
      </c>
      <c r="G233" s="113" t="s">
        <v>446</v>
      </c>
      <c r="H233" s="110">
        <f t="shared" si="11"/>
        <v>2025</v>
      </c>
      <c r="I233" s="111" t="s">
        <v>426</v>
      </c>
      <c r="J233" s="106" t="s">
        <v>572</v>
      </c>
      <c r="K233" s="98"/>
    </row>
    <row r="234" spans="1:11">
      <c r="A234" s="75" t="str">
        <f t="shared" si="10"/>
        <v/>
      </c>
      <c r="B234" s="104">
        <f>IF(D234="","",COUNTIF($D$10:D234,D234))</f>
        <v>17</v>
      </c>
      <c r="C234" s="112">
        <v>45946</v>
      </c>
      <c r="D234" s="106">
        <v>10</v>
      </c>
      <c r="E234" s="107" t="s">
        <v>570</v>
      </c>
      <c r="F234" s="108">
        <v>4</v>
      </c>
      <c r="G234" s="113" t="s">
        <v>510</v>
      </c>
      <c r="H234" s="110">
        <f t="shared" si="11"/>
        <v>2025</v>
      </c>
      <c r="I234" s="111" t="s">
        <v>426</v>
      </c>
      <c r="J234" s="106" t="s">
        <v>572</v>
      </c>
      <c r="K234" s="98"/>
    </row>
    <row r="235" spans="1:11">
      <c r="A235" s="75" t="str">
        <f t="shared" si="10"/>
        <v/>
      </c>
      <c r="B235" s="104">
        <f>IF(D235="","",COUNTIF($D$10:D235,D235))</f>
        <v>18</v>
      </c>
      <c r="C235" s="112">
        <v>45947</v>
      </c>
      <c r="D235" s="106">
        <v>10</v>
      </c>
      <c r="E235" s="107" t="s">
        <v>503</v>
      </c>
      <c r="F235" s="108">
        <v>2</v>
      </c>
      <c r="G235" s="113" t="s">
        <v>506</v>
      </c>
      <c r="H235" s="110">
        <f t="shared" si="11"/>
        <v>2025</v>
      </c>
      <c r="I235" s="111" t="s">
        <v>426</v>
      </c>
      <c r="J235" s="106" t="s">
        <v>572</v>
      </c>
      <c r="K235" s="98"/>
    </row>
    <row r="236" spans="1:11">
      <c r="A236" s="75" t="str">
        <f t="shared" si="10"/>
        <v/>
      </c>
      <c r="B236" s="104">
        <f>IF(D236="","",COUNTIF($D$10:D236,D236))</f>
        <v>19</v>
      </c>
      <c r="C236" s="112">
        <v>45947</v>
      </c>
      <c r="D236" s="106">
        <v>10</v>
      </c>
      <c r="E236" s="107" t="s">
        <v>449</v>
      </c>
      <c r="F236" s="108">
        <v>2</v>
      </c>
      <c r="G236" s="113" t="s">
        <v>562</v>
      </c>
      <c r="H236" s="110">
        <f t="shared" si="11"/>
        <v>2025</v>
      </c>
      <c r="I236" s="111" t="s">
        <v>426</v>
      </c>
      <c r="J236" s="106" t="s">
        <v>572</v>
      </c>
      <c r="K236" s="98"/>
    </row>
    <row r="237" spans="1:11">
      <c r="A237" s="75" t="str">
        <f t="shared" si="10"/>
        <v/>
      </c>
      <c r="B237" s="104">
        <f>IF(D237="","",COUNTIF($D$10:D237,D237))</f>
        <v>20</v>
      </c>
      <c r="C237" s="112">
        <v>45950</v>
      </c>
      <c r="D237" s="106">
        <v>10</v>
      </c>
      <c r="E237" s="107" t="s">
        <v>453</v>
      </c>
      <c r="F237" s="108">
        <v>4</v>
      </c>
      <c r="G237" s="113" t="s">
        <v>577</v>
      </c>
      <c r="H237" s="110">
        <f t="shared" si="11"/>
        <v>2025</v>
      </c>
      <c r="I237" s="111" t="s">
        <v>426</v>
      </c>
      <c r="J237" s="106" t="s">
        <v>572</v>
      </c>
      <c r="K237" s="98"/>
    </row>
    <row r="238" spans="1:11">
      <c r="A238" s="75" t="str">
        <f t="shared" si="10"/>
        <v/>
      </c>
      <c r="B238" s="104">
        <f>IF(D238="","",COUNTIF($D$10:D238,D238))</f>
        <v>21</v>
      </c>
      <c r="C238" s="112">
        <v>45951</v>
      </c>
      <c r="D238" s="106">
        <v>10</v>
      </c>
      <c r="E238" s="107" t="s">
        <v>438</v>
      </c>
      <c r="F238" s="108">
        <v>4</v>
      </c>
      <c r="G238" s="113" t="s">
        <v>439</v>
      </c>
      <c r="H238" s="110">
        <f t="shared" si="11"/>
        <v>2025</v>
      </c>
      <c r="I238" s="111" t="s">
        <v>426</v>
      </c>
      <c r="J238" s="106" t="s">
        <v>572</v>
      </c>
      <c r="K238" s="98"/>
    </row>
    <row r="239" spans="1:11">
      <c r="A239" s="75" t="str">
        <f t="shared" si="10"/>
        <v/>
      </c>
      <c r="B239" s="104">
        <f>IF(D239="","",COUNTIF($D$10:D239,D239))</f>
        <v>22</v>
      </c>
      <c r="C239" s="112">
        <v>45953</v>
      </c>
      <c r="D239" s="106">
        <v>10</v>
      </c>
      <c r="E239" s="107" t="s">
        <v>424</v>
      </c>
      <c r="F239" s="108">
        <v>4</v>
      </c>
      <c r="G239" s="113" t="s">
        <v>459</v>
      </c>
      <c r="H239" s="110">
        <f t="shared" si="11"/>
        <v>2025</v>
      </c>
      <c r="I239" s="111" t="s">
        <v>426</v>
      </c>
      <c r="J239" s="106" t="s">
        <v>572</v>
      </c>
      <c r="K239" s="98"/>
    </row>
    <row r="240" spans="1:11">
      <c r="A240" s="75" t="str">
        <f t="shared" si="10"/>
        <v/>
      </c>
      <c r="B240" s="104">
        <f>IF(D240="","",COUNTIF($D$10:D240,D240))</f>
        <v>23</v>
      </c>
      <c r="C240" s="112">
        <v>45954</v>
      </c>
      <c r="D240" s="106">
        <v>10</v>
      </c>
      <c r="E240" s="107" t="s">
        <v>570</v>
      </c>
      <c r="F240" s="108">
        <v>4</v>
      </c>
      <c r="G240" s="113" t="s">
        <v>578</v>
      </c>
      <c r="H240" s="110">
        <f t="shared" si="11"/>
        <v>2025</v>
      </c>
      <c r="I240" s="111" t="s">
        <v>426</v>
      </c>
      <c r="J240" s="106" t="s">
        <v>572</v>
      </c>
      <c r="K240" s="98"/>
    </row>
    <row r="241" spans="1:11">
      <c r="A241" s="75" t="str">
        <f t="shared" si="10"/>
        <v/>
      </c>
      <c r="B241" s="104">
        <f>IF(D241="","",COUNTIF($D$10:D241,D241))</f>
        <v>24</v>
      </c>
      <c r="C241" s="112">
        <v>45956</v>
      </c>
      <c r="D241" s="106">
        <v>10</v>
      </c>
      <c r="E241" s="107" t="s">
        <v>424</v>
      </c>
      <c r="F241" s="108">
        <v>4</v>
      </c>
      <c r="G241" s="113" t="s">
        <v>579</v>
      </c>
      <c r="H241" s="110">
        <f t="shared" si="11"/>
        <v>2025</v>
      </c>
      <c r="I241" s="111" t="s">
        <v>426</v>
      </c>
      <c r="J241" s="106" t="s">
        <v>572</v>
      </c>
      <c r="K241" s="98"/>
    </row>
    <row r="242" spans="1:11">
      <c r="A242" s="75" t="str">
        <f t="shared" si="10"/>
        <v/>
      </c>
      <c r="B242" s="104">
        <f>IF(D242="","",COUNTIF($D$10:D242,D242))</f>
        <v>25</v>
      </c>
      <c r="C242" s="112">
        <v>45957</v>
      </c>
      <c r="D242" s="106">
        <v>10</v>
      </c>
      <c r="E242" s="107" t="s">
        <v>438</v>
      </c>
      <c r="F242" s="108">
        <v>4</v>
      </c>
      <c r="G242" s="113" t="s">
        <v>580</v>
      </c>
      <c r="H242" s="110">
        <f t="shared" si="11"/>
        <v>2025</v>
      </c>
      <c r="I242" s="111" t="s">
        <v>426</v>
      </c>
      <c r="J242" s="106" t="s">
        <v>572</v>
      </c>
      <c r="K242" s="98"/>
    </row>
    <row r="243" spans="1:11">
      <c r="A243" s="75" t="str">
        <f t="shared" si="10"/>
        <v/>
      </c>
      <c r="B243" s="87" t="str">
        <f>IF(D243="","",COUNTIF($D$10:D243,D243))</f>
        <v/>
      </c>
    </row>
    <row r="244" spans="1:11">
      <c r="A244" s="75" t="str">
        <f t="shared" si="10"/>
        <v/>
      </c>
      <c r="B244" s="87">
        <f>IF(D244="","",COUNTIF($D$10:D244,D244))</f>
        <v>1</v>
      </c>
      <c r="C244" s="96">
        <v>45717</v>
      </c>
      <c r="D244" s="76">
        <f t="shared" ref="D244:D270" si="12">MONTH(C244)</f>
        <v>3</v>
      </c>
      <c r="E244" s="77" t="s">
        <v>431</v>
      </c>
      <c r="F244" s="95">
        <v>4</v>
      </c>
      <c r="G244" s="78" t="s">
        <v>581</v>
      </c>
      <c r="H244" s="91">
        <f t="shared" ref="H244:H270" si="13">YEAR(C244)</f>
        <v>2025</v>
      </c>
      <c r="I244" s="7" t="s">
        <v>426</v>
      </c>
      <c r="J244" s="76" t="s">
        <v>582</v>
      </c>
    </row>
    <row r="245" spans="1:11">
      <c r="A245" s="75" t="str">
        <f t="shared" si="10"/>
        <v/>
      </c>
      <c r="B245" s="87">
        <f>IF(D245="","",COUNTIF($D$10:D245,D245))</f>
        <v>2</v>
      </c>
      <c r="C245" s="96">
        <v>45719</v>
      </c>
      <c r="D245" s="76">
        <f t="shared" si="12"/>
        <v>3</v>
      </c>
      <c r="E245" s="77" t="s">
        <v>449</v>
      </c>
      <c r="F245" s="95">
        <v>2</v>
      </c>
      <c r="G245" s="78" t="s">
        <v>491</v>
      </c>
      <c r="H245" s="91">
        <f t="shared" si="13"/>
        <v>2025</v>
      </c>
      <c r="I245" s="7" t="s">
        <v>426</v>
      </c>
      <c r="J245" s="76" t="s">
        <v>582</v>
      </c>
    </row>
    <row r="246" spans="1:11">
      <c r="A246" s="75" t="str">
        <f t="shared" si="10"/>
        <v/>
      </c>
      <c r="B246" s="87">
        <f>IF(D246="","",COUNTIF($D$10:D246,D246))</f>
        <v>3</v>
      </c>
      <c r="C246" s="96">
        <v>45719</v>
      </c>
      <c r="D246" s="76">
        <f t="shared" si="12"/>
        <v>3</v>
      </c>
      <c r="E246" s="77" t="s">
        <v>447</v>
      </c>
      <c r="F246" s="95">
        <v>2</v>
      </c>
      <c r="G246" s="78" t="s">
        <v>452</v>
      </c>
      <c r="H246" s="91">
        <f t="shared" si="13"/>
        <v>2025</v>
      </c>
      <c r="I246" s="7" t="s">
        <v>426</v>
      </c>
      <c r="J246" s="76" t="s">
        <v>582</v>
      </c>
    </row>
    <row r="247" spans="1:11">
      <c r="A247" s="75" t="str">
        <f t="shared" si="10"/>
        <v/>
      </c>
      <c r="B247" s="87">
        <f>IF(D247="","",COUNTIF($D$10:D247,D247))</f>
        <v>4</v>
      </c>
      <c r="C247" s="96">
        <v>45719</v>
      </c>
      <c r="D247" s="76">
        <f t="shared" si="12"/>
        <v>3</v>
      </c>
      <c r="E247" s="77" t="s">
        <v>424</v>
      </c>
      <c r="F247" s="95">
        <v>4</v>
      </c>
      <c r="G247" s="78" t="s">
        <v>583</v>
      </c>
      <c r="H247" s="91">
        <f t="shared" si="13"/>
        <v>2025</v>
      </c>
      <c r="I247" s="7" t="s">
        <v>426</v>
      </c>
      <c r="J247" s="76" t="s">
        <v>582</v>
      </c>
    </row>
    <row r="248" spans="1:11">
      <c r="A248" s="75" t="str">
        <f t="shared" si="10"/>
        <v/>
      </c>
      <c r="B248" s="87">
        <f>IF(D248="","",COUNTIF($D$10:D248,D248))</f>
        <v>5</v>
      </c>
      <c r="C248" s="96">
        <v>45720</v>
      </c>
      <c r="D248" s="76">
        <f t="shared" si="12"/>
        <v>3</v>
      </c>
      <c r="E248" s="77" t="s">
        <v>492</v>
      </c>
      <c r="F248" s="95">
        <v>4</v>
      </c>
      <c r="G248" s="78" t="s">
        <v>474</v>
      </c>
      <c r="H248" s="91">
        <f t="shared" si="13"/>
        <v>2025</v>
      </c>
      <c r="I248" s="7" t="s">
        <v>426</v>
      </c>
      <c r="J248" s="76" t="s">
        <v>582</v>
      </c>
    </row>
    <row r="249" spans="1:11">
      <c r="A249" s="75" t="str">
        <f t="shared" si="10"/>
        <v/>
      </c>
      <c r="B249" s="87">
        <f>IF(D249="","",COUNTIF($D$10:D249,D249))</f>
        <v>6</v>
      </c>
      <c r="C249" s="96">
        <v>45721</v>
      </c>
      <c r="D249" s="76">
        <f t="shared" si="12"/>
        <v>3</v>
      </c>
      <c r="E249" s="77" t="s">
        <v>424</v>
      </c>
      <c r="F249" s="95">
        <v>4</v>
      </c>
      <c r="G249" s="78" t="s">
        <v>491</v>
      </c>
      <c r="H249" s="91">
        <f t="shared" si="13"/>
        <v>2025</v>
      </c>
      <c r="I249" s="7" t="s">
        <v>426</v>
      </c>
      <c r="J249" s="76" t="s">
        <v>582</v>
      </c>
    </row>
    <row r="250" spans="1:11">
      <c r="A250" s="75" t="str">
        <f t="shared" si="10"/>
        <v/>
      </c>
      <c r="B250" s="87">
        <f>IF(D250="","",COUNTIF($D$10:D250,D250))</f>
        <v>7</v>
      </c>
      <c r="C250" s="96">
        <v>45722</v>
      </c>
      <c r="D250" s="76">
        <f t="shared" si="12"/>
        <v>3</v>
      </c>
      <c r="E250" s="77" t="s">
        <v>492</v>
      </c>
      <c r="F250" s="95">
        <v>4</v>
      </c>
      <c r="G250" s="78" t="s">
        <v>434</v>
      </c>
      <c r="H250" s="91">
        <f t="shared" si="13"/>
        <v>2025</v>
      </c>
      <c r="I250" s="7" t="s">
        <v>426</v>
      </c>
      <c r="J250" s="76" t="s">
        <v>582</v>
      </c>
    </row>
    <row r="251" spans="1:11">
      <c r="A251" s="75" t="str">
        <f t="shared" si="10"/>
        <v/>
      </c>
      <c r="B251" s="87">
        <f>IF(D251="","",COUNTIF($D$10:D251,D251))</f>
        <v>8</v>
      </c>
      <c r="C251" s="96">
        <v>45723</v>
      </c>
      <c r="D251" s="76">
        <f t="shared" si="12"/>
        <v>3</v>
      </c>
      <c r="E251" s="77" t="s">
        <v>453</v>
      </c>
      <c r="F251" s="95">
        <v>4</v>
      </c>
      <c r="G251" s="78" t="s">
        <v>584</v>
      </c>
      <c r="H251" s="91">
        <f t="shared" si="13"/>
        <v>2025</v>
      </c>
      <c r="I251" s="7" t="s">
        <v>426</v>
      </c>
      <c r="J251" s="76" t="s">
        <v>582</v>
      </c>
    </row>
    <row r="252" spans="1:11">
      <c r="A252" s="75" t="str">
        <f t="shared" si="10"/>
        <v/>
      </c>
      <c r="B252" s="87">
        <f>IF(D252="","",COUNTIF($D$10:D252,D252))</f>
        <v>9</v>
      </c>
      <c r="C252" s="96">
        <v>45724</v>
      </c>
      <c r="D252" s="76">
        <f t="shared" si="12"/>
        <v>3</v>
      </c>
      <c r="E252" s="77" t="s">
        <v>424</v>
      </c>
      <c r="F252" s="95">
        <v>4</v>
      </c>
      <c r="G252" s="78" t="s">
        <v>472</v>
      </c>
      <c r="H252" s="91">
        <f t="shared" si="13"/>
        <v>2025</v>
      </c>
      <c r="I252" s="7" t="s">
        <v>426</v>
      </c>
      <c r="J252" s="76" t="s">
        <v>582</v>
      </c>
    </row>
    <row r="253" spans="1:11">
      <c r="A253" s="75" t="str">
        <f t="shared" si="10"/>
        <v/>
      </c>
      <c r="B253" s="87">
        <f>IF(D253="","",COUNTIF($D$10:D253,D253))</f>
        <v>10</v>
      </c>
      <c r="C253" s="96">
        <v>45724</v>
      </c>
      <c r="D253" s="76">
        <f t="shared" si="12"/>
        <v>3</v>
      </c>
      <c r="E253" s="77" t="s">
        <v>431</v>
      </c>
      <c r="F253" s="95">
        <v>4</v>
      </c>
      <c r="G253" s="78" t="s">
        <v>585</v>
      </c>
      <c r="H253" s="91">
        <f t="shared" si="13"/>
        <v>2025</v>
      </c>
      <c r="I253" s="7" t="s">
        <v>426</v>
      </c>
      <c r="J253" s="76" t="s">
        <v>582</v>
      </c>
    </row>
    <row r="254" spans="1:11">
      <c r="A254" s="75" t="str">
        <f t="shared" si="10"/>
        <v/>
      </c>
      <c r="B254" s="87">
        <f>IF(D254="","",COUNTIF($D$10:D254,D254))</f>
        <v>11</v>
      </c>
      <c r="C254" s="96">
        <v>45726</v>
      </c>
      <c r="D254" s="76">
        <f t="shared" si="12"/>
        <v>3</v>
      </c>
      <c r="E254" s="77" t="s">
        <v>438</v>
      </c>
      <c r="F254" s="95">
        <v>4</v>
      </c>
      <c r="G254" s="78" t="s">
        <v>559</v>
      </c>
      <c r="H254" s="91">
        <f t="shared" si="13"/>
        <v>2025</v>
      </c>
      <c r="I254" s="7" t="s">
        <v>426</v>
      </c>
      <c r="J254" s="76" t="s">
        <v>582</v>
      </c>
    </row>
    <row r="255" spans="1:11">
      <c r="A255" s="75" t="str">
        <f t="shared" si="10"/>
        <v/>
      </c>
      <c r="B255" s="87">
        <f>IF(D255="","",COUNTIF($D$10:D255,D255))</f>
        <v>12</v>
      </c>
      <c r="C255" s="96">
        <v>45727</v>
      </c>
      <c r="D255" s="76">
        <f t="shared" si="12"/>
        <v>3</v>
      </c>
      <c r="E255" s="77" t="s">
        <v>453</v>
      </c>
      <c r="F255" s="95">
        <v>4</v>
      </c>
      <c r="G255" s="78" t="s">
        <v>585</v>
      </c>
      <c r="H255" s="91">
        <f t="shared" si="13"/>
        <v>2025</v>
      </c>
      <c r="I255" s="7" t="s">
        <v>426</v>
      </c>
      <c r="J255" s="76" t="s">
        <v>582</v>
      </c>
    </row>
    <row r="256" spans="1:11">
      <c r="A256" s="75" t="str">
        <f t="shared" si="10"/>
        <v/>
      </c>
      <c r="B256" s="87">
        <f>IF(D256="","",COUNTIF($D$10:D256,D256))</f>
        <v>13</v>
      </c>
      <c r="C256" s="96">
        <v>45727</v>
      </c>
      <c r="D256" s="76">
        <f t="shared" si="12"/>
        <v>3</v>
      </c>
      <c r="E256" s="77" t="s">
        <v>433</v>
      </c>
      <c r="F256" s="95">
        <v>4</v>
      </c>
      <c r="G256" s="78" t="s">
        <v>584</v>
      </c>
      <c r="H256" s="91">
        <f t="shared" si="13"/>
        <v>2025</v>
      </c>
      <c r="I256" s="7" t="s">
        <v>426</v>
      </c>
      <c r="J256" s="76" t="s">
        <v>582</v>
      </c>
    </row>
    <row r="257" spans="1:10">
      <c r="A257" s="75" t="str">
        <f t="shared" si="10"/>
        <v/>
      </c>
      <c r="B257" s="87">
        <f>IF(D257="","",COUNTIF($D$10:D257,D257))</f>
        <v>14</v>
      </c>
      <c r="C257" s="96">
        <v>45728</v>
      </c>
      <c r="D257" s="76">
        <f t="shared" si="12"/>
        <v>3</v>
      </c>
      <c r="E257" s="77" t="s">
        <v>492</v>
      </c>
      <c r="F257" s="95">
        <v>4</v>
      </c>
      <c r="G257" s="78" t="s">
        <v>466</v>
      </c>
      <c r="H257" s="91">
        <f t="shared" si="13"/>
        <v>2025</v>
      </c>
      <c r="I257" s="7" t="s">
        <v>426</v>
      </c>
      <c r="J257" s="76" t="s">
        <v>582</v>
      </c>
    </row>
    <row r="258" spans="1:10">
      <c r="A258" s="75" t="str">
        <f t="shared" si="10"/>
        <v/>
      </c>
      <c r="B258" s="87">
        <f>IF(D258="","",COUNTIF($D$10:D258,D258))</f>
        <v>15</v>
      </c>
      <c r="C258" s="96">
        <v>45729</v>
      </c>
      <c r="D258" s="76">
        <f t="shared" si="12"/>
        <v>3</v>
      </c>
      <c r="E258" s="77" t="s">
        <v>431</v>
      </c>
      <c r="F258" s="95">
        <v>4</v>
      </c>
      <c r="G258" s="78" t="s">
        <v>569</v>
      </c>
      <c r="H258" s="91">
        <f t="shared" si="13"/>
        <v>2025</v>
      </c>
      <c r="I258" s="7" t="s">
        <v>426</v>
      </c>
      <c r="J258" s="76" t="s">
        <v>582</v>
      </c>
    </row>
    <row r="259" spans="1:10">
      <c r="A259" s="75" t="str">
        <f t="shared" si="10"/>
        <v/>
      </c>
      <c r="B259" s="87">
        <f>IF(D259="","",COUNTIF($D$10:D259,D259))</f>
        <v>16</v>
      </c>
      <c r="C259" s="96">
        <v>45729</v>
      </c>
      <c r="D259" s="76">
        <f t="shared" si="12"/>
        <v>3</v>
      </c>
      <c r="E259" s="77" t="s">
        <v>438</v>
      </c>
      <c r="F259" s="95">
        <v>4</v>
      </c>
      <c r="G259" s="78" t="s">
        <v>468</v>
      </c>
      <c r="H259" s="91">
        <f t="shared" si="13"/>
        <v>2025</v>
      </c>
      <c r="I259" s="7" t="s">
        <v>426</v>
      </c>
      <c r="J259" s="76" t="s">
        <v>582</v>
      </c>
    </row>
    <row r="260" spans="1:10">
      <c r="A260" s="75" t="str">
        <f t="shared" si="10"/>
        <v/>
      </c>
      <c r="B260" s="87">
        <f>IF(D260="","",COUNTIF($D$10:D260,D260))</f>
        <v>17</v>
      </c>
      <c r="C260" s="96">
        <v>45730</v>
      </c>
      <c r="D260" s="76">
        <f t="shared" si="12"/>
        <v>3</v>
      </c>
      <c r="E260" s="77" t="s">
        <v>492</v>
      </c>
      <c r="F260" s="95">
        <v>4</v>
      </c>
      <c r="G260" s="78" t="s">
        <v>480</v>
      </c>
      <c r="H260" s="91">
        <f t="shared" si="13"/>
        <v>2025</v>
      </c>
      <c r="I260" s="7" t="s">
        <v>426</v>
      </c>
      <c r="J260" s="76" t="s">
        <v>582</v>
      </c>
    </row>
    <row r="261" spans="1:10">
      <c r="A261" s="75" t="str">
        <f t="shared" si="10"/>
        <v/>
      </c>
      <c r="B261" s="87">
        <f>IF(D261="","",COUNTIF($D$10:D261,D261))</f>
        <v>18</v>
      </c>
      <c r="C261" s="96">
        <v>45731</v>
      </c>
      <c r="D261" s="76">
        <f t="shared" si="12"/>
        <v>3</v>
      </c>
      <c r="E261" s="77" t="s">
        <v>435</v>
      </c>
      <c r="F261" s="95">
        <v>4</v>
      </c>
      <c r="G261" s="78" t="s">
        <v>584</v>
      </c>
      <c r="H261" s="91">
        <f t="shared" si="13"/>
        <v>2025</v>
      </c>
      <c r="I261" s="7" t="s">
        <v>426</v>
      </c>
      <c r="J261" s="76" t="s">
        <v>582</v>
      </c>
    </row>
    <row r="262" spans="1:10">
      <c r="A262" s="75" t="str">
        <f t="shared" si="10"/>
        <v/>
      </c>
      <c r="B262" s="87">
        <f>IF(D262="","",COUNTIF($D$10:D262,D262))</f>
        <v>19</v>
      </c>
      <c r="C262" s="96">
        <v>45731</v>
      </c>
      <c r="D262" s="76">
        <f t="shared" si="12"/>
        <v>3</v>
      </c>
      <c r="E262" s="77" t="s">
        <v>438</v>
      </c>
      <c r="F262" s="95">
        <v>4</v>
      </c>
      <c r="G262" s="78" t="s">
        <v>556</v>
      </c>
      <c r="H262" s="91">
        <f t="shared" si="13"/>
        <v>2025</v>
      </c>
      <c r="I262" s="7" t="s">
        <v>426</v>
      </c>
      <c r="J262" s="76" t="s">
        <v>582</v>
      </c>
    </row>
    <row r="263" spans="1:10">
      <c r="A263" s="75" t="str">
        <f t="shared" si="10"/>
        <v/>
      </c>
      <c r="B263" s="87">
        <f>IF(D263="","",COUNTIF($D$10:D263,D263))</f>
        <v>20</v>
      </c>
      <c r="C263" s="96">
        <v>45733</v>
      </c>
      <c r="D263" s="76">
        <f t="shared" si="12"/>
        <v>3</v>
      </c>
      <c r="E263" s="77" t="s">
        <v>453</v>
      </c>
      <c r="F263" s="95">
        <v>4</v>
      </c>
      <c r="G263" s="78" t="s">
        <v>562</v>
      </c>
      <c r="H263" s="91">
        <f t="shared" si="13"/>
        <v>2025</v>
      </c>
      <c r="I263" s="7" t="s">
        <v>426</v>
      </c>
      <c r="J263" s="76" t="s">
        <v>582</v>
      </c>
    </row>
    <row r="264" spans="1:10">
      <c r="A264" s="75" t="str">
        <f t="shared" si="10"/>
        <v/>
      </c>
      <c r="B264" s="87">
        <f>IF(D264="","",COUNTIF($D$10:D264,D264))</f>
        <v>21</v>
      </c>
      <c r="C264" s="96">
        <v>45733</v>
      </c>
      <c r="D264" s="76">
        <f t="shared" si="12"/>
        <v>3</v>
      </c>
      <c r="E264" s="77" t="s">
        <v>492</v>
      </c>
      <c r="F264" s="95">
        <v>4</v>
      </c>
      <c r="G264" s="78" t="s">
        <v>451</v>
      </c>
      <c r="H264" s="91">
        <f t="shared" si="13"/>
        <v>2025</v>
      </c>
      <c r="I264" s="7" t="s">
        <v>426</v>
      </c>
      <c r="J264" s="76" t="s">
        <v>582</v>
      </c>
    </row>
    <row r="265" spans="1:10">
      <c r="A265" s="75" t="str">
        <f t="shared" si="10"/>
        <v/>
      </c>
      <c r="B265" s="87">
        <f>IF(D265="","",COUNTIF($D$10:D265,D265))</f>
        <v>22</v>
      </c>
      <c r="C265" s="96">
        <v>45734</v>
      </c>
      <c r="D265" s="76">
        <f t="shared" si="12"/>
        <v>3</v>
      </c>
      <c r="E265" s="77" t="s">
        <v>428</v>
      </c>
      <c r="F265" s="95">
        <v>4</v>
      </c>
      <c r="G265" s="78" t="s">
        <v>445</v>
      </c>
      <c r="H265" s="91">
        <f t="shared" si="13"/>
        <v>2025</v>
      </c>
      <c r="I265" s="7" t="s">
        <v>426</v>
      </c>
      <c r="J265" s="76" t="s">
        <v>582</v>
      </c>
    </row>
    <row r="266" spans="1:10">
      <c r="A266" s="75" t="str">
        <f t="shared" si="10"/>
        <v/>
      </c>
      <c r="B266" s="87">
        <f>IF(D266="","",COUNTIF($D$10:D266,D266))</f>
        <v>23</v>
      </c>
      <c r="C266" s="96">
        <v>45735</v>
      </c>
      <c r="D266" s="76">
        <f t="shared" si="12"/>
        <v>3</v>
      </c>
      <c r="E266" s="77" t="s">
        <v>435</v>
      </c>
      <c r="F266" s="95">
        <v>4</v>
      </c>
      <c r="G266" s="78" t="s">
        <v>429</v>
      </c>
      <c r="H266" s="91">
        <f t="shared" si="13"/>
        <v>2025</v>
      </c>
      <c r="I266" s="7" t="s">
        <v>426</v>
      </c>
      <c r="J266" s="76" t="s">
        <v>582</v>
      </c>
    </row>
    <row r="267" spans="1:10">
      <c r="A267" s="75" t="str">
        <f t="shared" ref="A267:A330" si="14">IF(AND($E$3="ALL",$E$4="ALL"),"ALL",IF(AND($E$3="ALL",$E$4&lt;&gt;"ALL"),IF(D267=$E$4,D267,""),IF(AND($E$3&lt;&gt;"ALL",$E$4="ALL"),IF(I267=$E$3,I267,""),"")))</f>
        <v/>
      </c>
      <c r="B267" s="87">
        <f>IF(D267="","",COUNTIF($D$10:D267,D267))</f>
        <v>24</v>
      </c>
      <c r="C267" s="96">
        <v>45736</v>
      </c>
      <c r="D267" s="76">
        <f t="shared" si="12"/>
        <v>3</v>
      </c>
      <c r="E267" s="77" t="s">
        <v>433</v>
      </c>
      <c r="F267" s="95">
        <v>4</v>
      </c>
      <c r="G267" s="78" t="s">
        <v>576</v>
      </c>
      <c r="H267" s="91">
        <f t="shared" si="13"/>
        <v>2025</v>
      </c>
      <c r="I267" s="7" t="s">
        <v>426</v>
      </c>
      <c r="J267" s="76" t="s">
        <v>582</v>
      </c>
    </row>
    <row r="268" spans="1:10">
      <c r="A268" s="75" t="str">
        <f t="shared" si="14"/>
        <v/>
      </c>
      <c r="B268" s="87">
        <f>IF(D268="","",COUNTIF($D$10:D268,D268))</f>
        <v>25</v>
      </c>
      <c r="C268" s="96">
        <v>45737</v>
      </c>
      <c r="D268" s="76">
        <f t="shared" si="12"/>
        <v>3</v>
      </c>
      <c r="E268" s="77" t="s">
        <v>453</v>
      </c>
      <c r="F268" s="95">
        <v>4</v>
      </c>
      <c r="G268" s="78" t="s">
        <v>563</v>
      </c>
      <c r="H268" s="91">
        <f t="shared" si="13"/>
        <v>2025</v>
      </c>
      <c r="I268" s="7" t="s">
        <v>426</v>
      </c>
      <c r="J268" s="76" t="s">
        <v>582</v>
      </c>
    </row>
    <row r="269" spans="1:10">
      <c r="A269" s="75" t="str">
        <f t="shared" si="14"/>
        <v/>
      </c>
      <c r="B269" s="87">
        <f>IF(D269="","",COUNTIF($D$10:D269,D269))</f>
        <v>26</v>
      </c>
      <c r="C269" s="96">
        <v>45738</v>
      </c>
      <c r="D269" s="76">
        <f t="shared" si="12"/>
        <v>3</v>
      </c>
      <c r="E269" s="77" t="s">
        <v>438</v>
      </c>
      <c r="F269" s="95">
        <v>4</v>
      </c>
      <c r="G269" s="78" t="s">
        <v>586</v>
      </c>
      <c r="H269" s="91">
        <f t="shared" si="13"/>
        <v>2025</v>
      </c>
      <c r="I269" s="7" t="s">
        <v>426</v>
      </c>
      <c r="J269" s="76" t="s">
        <v>582</v>
      </c>
    </row>
    <row r="270" spans="1:10">
      <c r="A270" s="75" t="str">
        <f t="shared" si="14"/>
        <v/>
      </c>
      <c r="B270" s="87">
        <f>IF(D270="","",COUNTIF($D$10:D270,D270))</f>
        <v>27</v>
      </c>
      <c r="C270" s="96">
        <v>45740</v>
      </c>
      <c r="D270" s="76">
        <f t="shared" si="12"/>
        <v>3</v>
      </c>
      <c r="E270" s="77" t="s">
        <v>435</v>
      </c>
      <c r="F270" s="95">
        <v>4</v>
      </c>
      <c r="G270" s="78" t="s">
        <v>442</v>
      </c>
      <c r="H270" s="91">
        <f t="shared" si="13"/>
        <v>2025</v>
      </c>
      <c r="I270" s="7" t="s">
        <v>426</v>
      </c>
      <c r="J270" s="76" t="s">
        <v>582</v>
      </c>
    </row>
    <row r="271" spans="1:10">
      <c r="A271" s="75" t="str">
        <f t="shared" si="14"/>
        <v/>
      </c>
    </row>
    <row r="272" spans="1:10">
      <c r="A272" s="75" t="str">
        <f t="shared" si="14"/>
        <v/>
      </c>
      <c r="B272" s="87">
        <f>IF(D272="","",COUNTIF($D$10:D272,D272))</f>
        <v>1</v>
      </c>
      <c r="C272" s="96">
        <v>45689</v>
      </c>
      <c r="D272" s="76">
        <f t="shared" ref="D272:D302" si="15">MONTH(C272)</f>
        <v>2</v>
      </c>
      <c r="E272" s="77" t="s">
        <v>447</v>
      </c>
      <c r="F272" s="95">
        <v>2</v>
      </c>
      <c r="G272" s="78">
        <v>0</v>
      </c>
      <c r="H272" s="91">
        <f t="shared" ref="H272:H302" si="16">YEAR(C272)</f>
        <v>2025</v>
      </c>
      <c r="I272" s="7" t="s">
        <v>426</v>
      </c>
      <c r="J272" s="76" t="s">
        <v>587</v>
      </c>
    </row>
    <row r="273" spans="1:10">
      <c r="A273" s="75" t="str">
        <f t="shared" si="14"/>
        <v/>
      </c>
      <c r="B273" s="87">
        <f>IF(D273="","",COUNTIF($D$10:D273,D273))</f>
        <v>2</v>
      </c>
      <c r="C273" s="96">
        <v>45689</v>
      </c>
      <c r="D273" s="76">
        <f t="shared" si="15"/>
        <v>2</v>
      </c>
      <c r="E273" s="77" t="s">
        <v>454</v>
      </c>
      <c r="F273" s="95">
        <v>2</v>
      </c>
      <c r="G273" s="78" t="s">
        <v>473</v>
      </c>
      <c r="H273" s="91">
        <f t="shared" si="16"/>
        <v>2025</v>
      </c>
      <c r="I273" s="7" t="s">
        <v>426</v>
      </c>
      <c r="J273" s="76" t="s">
        <v>587</v>
      </c>
    </row>
    <row r="274" spans="1:10">
      <c r="A274" s="75" t="str">
        <f t="shared" si="14"/>
        <v/>
      </c>
      <c r="B274" s="87">
        <f>IF(D274="","",COUNTIF($D$10:D274,D274))</f>
        <v>3</v>
      </c>
      <c r="C274" s="96">
        <v>45691</v>
      </c>
      <c r="D274" s="76">
        <f t="shared" si="15"/>
        <v>2</v>
      </c>
      <c r="E274" s="77" t="s">
        <v>449</v>
      </c>
      <c r="F274" s="95">
        <v>2</v>
      </c>
      <c r="G274" s="78" t="s">
        <v>588</v>
      </c>
      <c r="H274" s="91">
        <f t="shared" si="16"/>
        <v>2025</v>
      </c>
      <c r="I274" s="7" t="s">
        <v>426</v>
      </c>
      <c r="J274" s="76" t="s">
        <v>587</v>
      </c>
    </row>
    <row r="275" spans="1:10">
      <c r="A275" s="75" t="str">
        <f t="shared" si="14"/>
        <v/>
      </c>
      <c r="B275" s="87">
        <f>IF(D275="","",COUNTIF($D$10:D275,D275))</f>
        <v>4</v>
      </c>
      <c r="C275" s="96">
        <v>45691</v>
      </c>
      <c r="D275" s="76">
        <f t="shared" si="15"/>
        <v>2</v>
      </c>
      <c r="E275" s="77" t="s">
        <v>449</v>
      </c>
      <c r="F275" s="95">
        <v>2</v>
      </c>
      <c r="G275" s="78" t="s">
        <v>589</v>
      </c>
      <c r="H275" s="91">
        <f t="shared" si="16"/>
        <v>2025</v>
      </c>
      <c r="I275" s="7" t="s">
        <v>426</v>
      </c>
      <c r="J275" s="76" t="s">
        <v>587</v>
      </c>
    </row>
    <row r="276" spans="1:10">
      <c r="A276" s="75" t="str">
        <f t="shared" si="14"/>
        <v/>
      </c>
      <c r="B276" s="87">
        <f>IF(D276="","",COUNTIF($D$10:D276,D276))</f>
        <v>5</v>
      </c>
      <c r="C276" s="96">
        <v>45692</v>
      </c>
      <c r="D276" s="76">
        <f t="shared" si="15"/>
        <v>2</v>
      </c>
      <c r="E276" s="77" t="s">
        <v>449</v>
      </c>
      <c r="F276" s="95">
        <v>2</v>
      </c>
      <c r="G276" s="78" t="s">
        <v>590</v>
      </c>
      <c r="H276" s="91">
        <f t="shared" si="16"/>
        <v>2025</v>
      </c>
      <c r="I276" s="7" t="s">
        <v>426</v>
      </c>
      <c r="J276" s="76" t="s">
        <v>587</v>
      </c>
    </row>
    <row r="277" spans="1:10">
      <c r="A277" s="75" t="str">
        <f t="shared" si="14"/>
        <v/>
      </c>
      <c r="B277" s="87">
        <f>IF(D277="","",COUNTIF($D$10:D277,D277))</f>
        <v>6</v>
      </c>
      <c r="C277" s="96">
        <v>45692</v>
      </c>
      <c r="D277" s="76">
        <f t="shared" si="15"/>
        <v>2</v>
      </c>
      <c r="E277" s="77" t="s">
        <v>447</v>
      </c>
      <c r="F277" s="95">
        <v>2</v>
      </c>
      <c r="G277" s="78" t="s">
        <v>591</v>
      </c>
      <c r="H277" s="91">
        <f t="shared" si="16"/>
        <v>2025</v>
      </c>
      <c r="I277" s="7" t="s">
        <v>426</v>
      </c>
      <c r="J277" s="76" t="s">
        <v>587</v>
      </c>
    </row>
    <row r="278" spans="1:10">
      <c r="A278" s="75" t="str">
        <f t="shared" si="14"/>
        <v/>
      </c>
      <c r="B278" s="87">
        <f>IF(D278="","",COUNTIF($D$10:D278,D278))</f>
        <v>7</v>
      </c>
      <c r="C278" s="96">
        <v>45694</v>
      </c>
      <c r="D278" s="76">
        <f t="shared" si="15"/>
        <v>2</v>
      </c>
      <c r="E278" s="77" t="s">
        <v>570</v>
      </c>
      <c r="F278" s="95">
        <v>4</v>
      </c>
      <c r="G278" s="78" t="s">
        <v>439</v>
      </c>
      <c r="H278" s="91">
        <f t="shared" si="16"/>
        <v>2025</v>
      </c>
      <c r="I278" s="7" t="s">
        <v>426</v>
      </c>
      <c r="J278" s="76" t="s">
        <v>587</v>
      </c>
    </row>
    <row r="279" spans="1:10">
      <c r="A279" s="75" t="str">
        <f t="shared" si="14"/>
        <v/>
      </c>
      <c r="B279" s="87">
        <f>IF(D279="","",COUNTIF($D$10:D279,D279))</f>
        <v>8</v>
      </c>
      <c r="C279" s="96">
        <v>45695</v>
      </c>
      <c r="D279" s="76">
        <f t="shared" si="15"/>
        <v>2</v>
      </c>
      <c r="E279" s="77" t="s">
        <v>570</v>
      </c>
      <c r="F279" s="95">
        <v>4</v>
      </c>
      <c r="G279" s="78" t="s">
        <v>475</v>
      </c>
      <c r="H279" s="91">
        <f t="shared" si="16"/>
        <v>2025</v>
      </c>
      <c r="I279" s="7" t="s">
        <v>426</v>
      </c>
      <c r="J279" s="76" t="s">
        <v>587</v>
      </c>
    </row>
    <row r="280" spans="1:10">
      <c r="A280" s="75" t="str">
        <f t="shared" si="14"/>
        <v/>
      </c>
      <c r="B280" s="87">
        <f>IF(D280="","",COUNTIF($D$10:D280,D280))</f>
        <v>9</v>
      </c>
      <c r="C280" s="96">
        <v>45696</v>
      </c>
      <c r="D280" s="76">
        <f t="shared" si="15"/>
        <v>2</v>
      </c>
      <c r="E280" s="77" t="s">
        <v>435</v>
      </c>
      <c r="F280" s="95">
        <v>4</v>
      </c>
      <c r="G280" s="78" t="s">
        <v>491</v>
      </c>
      <c r="H280" s="91">
        <f t="shared" si="16"/>
        <v>2025</v>
      </c>
      <c r="I280" s="7" t="s">
        <v>426</v>
      </c>
      <c r="J280" s="76" t="s">
        <v>587</v>
      </c>
    </row>
    <row r="281" spans="1:10">
      <c r="A281" s="75" t="str">
        <f t="shared" si="14"/>
        <v/>
      </c>
      <c r="B281" s="87">
        <f>IF(D281="","",COUNTIF($D$10:D281,D281))</f>
        <v>10</v>
      </c>
      <c r="C281" s="96">
        <v>45698</v>
      </c>
      <c r="D281" s="76">
        <f t="shared" si="15"/>
        <v>2</v>
      </c>
      <c r="E281" s="77" t="s">
        <v>492</v>
      </c>
      <c r="F281" s="95">
        <v>4</v>
      </c>
      <c r="G281" s="78" t="s">
        <v>466</v>
      </c>
      <c r="H281" s="91">
        <f t="shared" si="16"/>
        <v>2025</v>
      </c>
      <c r="I281" s="7" t="s">
        <v>426</v>
      </c>
      <c r="J281" s="76" t="s">
        <v>587</v>
      </c>
    </row>
    <row r="282" spans="1:10">
      <c r="A282" s="75" t="str">
        <f t="shared" si="14"/>
        <v/>
      </c>
      <c r="B282" s="87">
        <f>IF(D282="","",COUNTIF($D$10:D282,D282))</f>
        <v>11</v>
      </c>
      <c r="C282" s="96">
        <v>45699</v>
      </c>
      <c r="D282" s="76">
        <f t="shared" si="15"/>
        <v>2</v>
      </c>
      <c r="E282" s="77" t="s">
        <v>433</v>
      </c>
      <c r="F282" s="95">
        <v>4</v>
      </c>
      <c r="G282" s="78" t="s">
        <v>586</v>
      </c>
      <c r="H282" s="91">
        <f t="shared" si="16"/>
        <v>2025</v>
      </c>
      <c r="I282" s="7" t="s">
        <v>426</v>
      </c>
      <c r="J282" s="76" t="s">
        <v>587</v>
      </c>
    </row>
    <row r="283" spans="1:10">
      <c r="A283" s="75" t="str">
        <f t="shared" si="14"/>
        <v/>
      </c>
      <c r="B283" s="87">
        <f>IF(D283="","",COUNTIF($D$10:D283,D283))</f>
        <v>12</v>
      </c>
      <c r="C283" s="96">
        <v>45700</v>
      </c>
      <c r="D283" s="76">
        <f t="shared" si="15"/>
        <v>2</v>
      </c>
      <c r="E283" s="77" t="s">
        <v>492</v>
      </c>
      <c r="F283" s="95">
        <v>4</v>
      </c>
      <c r="G283" s="78" t="s">
        <v>545</v>
      </c>
      <c r="H283" s="91">
        <f t="shared" si="16"/>
        <v>2025</v>
      </c>
      <c r="I283" s="7" t="s">
        <v>426</v>
      </c>
      <c r="J283" s="76" t="s">
        <v>587</v>
      </c>
    </row>
    <row r="284" spans="1:10">
      <c r="A284" s="75" t="str">
        <f t="shared" si="14"/>
        <v/>
      </c>
      <c r="B284" s="87">
        <f>IF(D284="","",COUNTIF($D$10:D284,D284))</f>
        <v>13</v>
      </c>
      <c r="C284" s="96">
        <v>45701</v>
      </c>
      <c r="D284" s="76">
        <f t="shared" si="15"/>
        <v>2</v>
      </c>
      <c r="E284" s="77" t="s">
        <v>454</v>
      </c>
      <c r="F284" s="95">
        <v>2</v>
      </c>
      <c r="G284" s="78" t="s">
        <v>592</v>
      </c>
      <c r="H284" s="91">
        <f t="shared" si="16"/>
        <v>2025</v>
      </c>
      <c r="I284" s="7" t="s">
        <v>426</v>
      </c>
      <c r="J284" s="76" t="s">
        <v>587</v>
      </c>
    </row>
    <row r="285" spans="1:10">
      <c r="A285" s="75" t="str">
        <f t="shared" si="14"/>
        <v/>
      </c>
      <c r="B285" s="87">
        <f>IF(D285="","",COUNTIF($D$10:D285,D285))</f>
        <v>14</v>
      </c>
      <c r="C285" s="96">
        <v>45701</v>
      </c>
      <c r="D285" s="76">
        <f t="shared" si="15"/>
        <v>2</v>
      </c>
      <c r="E285" s="77" t="s">
        <v>454</v>
      </c>
      <c r="F285" s="95">
        <v>2</v>
      </c>
      <c r="G285" s="78" t="s">
        <v>549</v>
      </c>
      <c r="H285" s="91">
        <f t="shared" si="16"/>
        <v>2025</v>
      </c>
      <c r="I285" s="7" t="s">
        <v>426</v>
      </c>
      <c r="J285" s="76" t="s">
        <v>587</v>
      </c>
    </row>
    <row r="286" spans="1:10">
      <c r="A286" s="75" t="str">
        <f t="shared" si="14"/>
        <v/>
      </c>
      <c r="B286" s="87">
        <f>IF(D286="","",COUNTIF($D$10:D286,D286))</f>
        <v>15</v>
      </c>
      <c r="C286" s="96">
        <v>45702</v>
      </c>
      <c r="D286" s="76">
        <f t="shared" si="15"/>
        <v>2</v>
      </c>
      <c r="E286" s="77" t="s">
        <v>431</v>
      </c>
      <c r="F286" s="95">
        <v>4</v>
      </c>
      <c r="G286" s="78" t="s">
        <v>491</v>
      </c>
      <c r="H286" s="91">
        <f t="shared" si="16"/>
        <v>2025</v>
      </c>
      <c r="I286" s="7" t="s">
        <v>426</v>
      </c>
      <c r="J286" s="76" t="s">
        <v>587</v>
      </c>
    </row>
    <row r="287" spans="1:10">
      <c r="A287" s="75" t="str">
        <f t="shared" si="14"/>
        <v/>
      </c>
      <c r="B287" s="87">
        <f>IF(D287="","",COUNTIF($D$10:D287,D287))</f>
        <v>16</v>
      </c>
      <c r="C287" s="96">
        <v>45703</v>
      </c>
      <c r="D287" s="76">
        <f t="shared" si="15"/>
        <v>2</v>
      </c>
      <c r="E287" s="77" t="s">
        <v>424</v>
      </c>
      <c r="F287" s="95">
        <v>4</v>
      </c>
      <c r="G287" s="78" t="s">
        <v>491</v>
      </c>
      <c r="H287" s="91">
        <f t="shared" si="16"/>
        <v>2025</v>
      </c>
      <c r="I287" s="7" t="s">
        <v>426</v>
      </c>
      <c r="J287" s="76" t="s">
        <v>587</v>
      </c>
    </row>
    <row r="288" spans="1:10">
      <c r="A288" s="75" t="str">
        <f t="shared" si="14"/>
        <v/>
      </c>
      <c r="B288" s="87">
        <f>IF(D288="","",COUNTIF($D$10:D288,D288))</f>
        <v>17</v>
      </c>
      <c r="C288" s="96">
        <v>45703</v>
      </c>
      <c r="D288" s="76">
        <f t="shared" si="15"/>
        <v>2</v>
      </c>
      <c r="E288" s="77" t="s">
        <v>428</v>
      </c>
      <c r="F288" s="95">
        <v>4</v>
      </c>
      <c r="G288" s="78" t="s">
        <v>491</v>
      </c>
      <c r="H288" s="91">
        <f t="shared" si="16"/>
        <v>2025</v>
      </c>
      <c r="I288" s="7" t="s">
        <v>426</v>
      </c>
      <c r="J288" s="76" t="s">
        <v>587</v>
      </c>
    </row>
    <row r="289" spans="1:10">
      <c r="A289" s="75" t="str">
        <f t="shared" si="14"/>
        <v/>
      </c>
      <c r="B289" s="87">
        <f>IF(D289="","",COUNTIF($D$10:D289,D289))</f>
        <v>18</v>
      </c>
      <c r="C289" s="96">
        <v>45705</v>
      </c>
      <c r="D289" s="76">
        <f t="shared" si="15"/>
        <v>2</v>
      </c>
      <c r="E289" s="77" t="s">
        <v>428</v>
      </c>
      <c r="F289" s="95">
        <v>4</v>
      </c>
      <c r="G289" s="78" t="s">
        <v>491</v>
      </c>
      <c r="H289" s="91">
        <f t="shared" si="16"/>
        <v>2025</v>
      </c>
      <c r="I289" s="7" t="s">
        <v>426</v>
      </c>
      <c r="J289" s="76" t="s">
        <v>587</v>
      </c>
    </row>
    <row r="290" spans="1:10">
      <c r="A290" s="75" t="str">
        <f t="shared" si="14"/>
        <v/>
      </c>
      <c r="B290" s="87">
        <f>IF(D290="","",COUNTIF($D$10:D290,D290))</f>
        <v>19</v>
      </c>
      <c r="C290" s="96">
        <v>45706</v>
      </c>
      <c r="D290" s="76">
        <f t="shared" si="15"/>
        <v>2</v>
      </c>
      <c r="E290" s="77" t="s">
        <v>435</v>
      </c>
      <c r="F290" s="95">
        <v>4</v>
      </c>
      <c r="G290" s="78" t="s">
        <v>472</v>
      </c>
      <c r="H290" s="91">
        <f t="shared" si="16"/>
        <v>2025</v>
      </c>
      <c r="I290" s="7" t="s">
        <v>426</v>
      </c>
      <c r="J290" s="76" t="s">
        <v>587</v>
      </c>
    </row>
    <row r="291" spans="1:10">
      <c r="A291" s="75" t="str">
        <f t="shared" si="14"/>
        <v/>
      </c>
      <c r="B291" s="87">
        <f>IF(D291="","",COUNTIF($D$10:D291,D291))</f>
        <v>20</v>
      </c>
      <c r="C291" s="96">
        <v>45707</v>
      </c>
      <c r="D291" s="76">
        <f t="shared" si="15"/>
        <v>2</v>
      </c>
      <c r="E291" s="77" t="s">
        <v>424</v>
      </c>
      <c r="F291" s="95">
        <v>4</v>
      </c>
      <c r="G291" s="78" t="s">
        <v>593</v>
      </c>
      <c r="H291" s="91">
        <f t="shared" si="16"/>
        <v>2025</v>
      </c>
      <c r="I291" s="7" t="s">
        <v>426</v>
      </c>
      <c r="J291" s="76" t="s">
        <v>587</v>
      </c>
    </row>
    <row r="292" spans="1:10">
      <c r="A292" s="75" t="str">
        <f t="shared" si="14"/>
        <v/>
      </c>
      <c r="B292" s="87">
        <f>IF(D292="","",COUNTIF($D$10:D292,D292))</f>
        <v>21</v>
      </c>
      <c r="C292" s="96">
        <v>45707</v>
      </c>
      <c r="D292" s="76">
        <f t="shared" si="15"/>
        <v>2</v>
      </c>
      <c r="E292" s="77" t="s">
        <v>447</v>
      </c>
      <c r="F292" s="95">
        <v>2</v>
      </c>
      <c r="G292" s="78" t="s">
        <v>471</v>
      </c>
      <c r="H292" s="91">
        <f t="shared" si="16"/>
        <v>2025</v>
      </c>
      <c r="I292" s="7" t="s">
        <v>426</v>
      </c>
      <c r="J292" s="76" t="s">
        <v>587</v>
      </c>
    </row>
    <row r="293" spans="1:10">
      <c r="A293" s="75" t="str">
        <f t="shared" si="14"/>
        <v/>
      </c>
      <c r="B293" s="87">
        <f>IF(D293="","",COUNTIF($D$10:D293,D293))</f>
        <v>22</v>
      </c>
      <c r="C293" s="96">
        <v>45707</v>
      </c>
      <c r="D293" s="76">
        <f t="shared" si="15"/>
        <v>2</v>
      </c>
      <c r="E293" s="77" t="s">
        <v>447</v>
      </c>
      <c r="F293" s="95">
        <v>2</v>
      </c>
      <c r="G293" s="78" t="s">
        <v>594</v>
      </c>
      <c r="H293" s="91">
        <f t="shared" si="16"/>
        <v>2025</v>
      </c>
      <c r="I293" s="7" t="s">
        <v>426</v>
      </c>
      <c r="J293" s="76" t="s">
        <v>587</v>
      </c>
    </row>
    <row r="294" spans="1:10">
      <c r="A294" s="75" t="str">
        <f t="shared" si="14"/>
        <v/>
      </c>
      <c r="B294" s="87">
        <f>IF(D294="","",COUNTIF($D$10:D294,D294))</f>
        <v>23</v>
      </c>
      <c r="C294" s="96">
        <v>45708</v>
      </c>
      <c r="D294" s="76">
        <f t="shared" si="15"/>
        <v>2</v>
      </c>
      <c r="E294" s="77" t="s">
        <v>454</v>
      </c>
      <c r="F294" s="95">
        <v>2</v>
      </c>
      <c r="G294" s="78" t="s">
        <v>591</v>
      </c>
      <c r="H294" s="91">
        <f t="shared" si="16"/>
        <v>2025</v>
      </c>
      <c r="I294" s="7" t="s">
        <v>426</v>
      </c>
      <c r="J294" s="76" t="s">
        <v>587</v>
      </c>
    </row>
    <row r="295" spans="1:10">
      <c r="A295" s="75" t="str">
        <f t="shared" si="14"/>
        <v/>
      </c>
      <c r="B295" s="87">
        <f>IF(D295="","",COUNTIF($D$10:D295,D295))</f>
        <v>24</v>
      </c>
      <c r="C295" s="96">
        <v>45708</v>
      </c>
      <c r="D295" s="76">
        <f t="shared" si="15"/>
        <v>2</v>
      </c>
      <c r="E295" s="77" t="s">
        <v>454</v>
      </c>
      <c r="F295" s="95">
        <v>2</v>
      </c>
      <c r="G295" s="78" t="s">
        <v>595</v>
      </c>
      <c r="H295" s="91">
        <f t="shared" si="16"/>
        <v>2025</v>
      </c>
      <c r="I295" s="7" t="s">
        <v>426</v>
      </c>
      <c r="J295" s="76" t="s">
        <v>587</v>
      </c>
    </row>
    <row r="296" spans="1:10">
      <c r="A296" s="75" t="str">
        <f t="shared" si="14"/>
        <v/>
      </c>
      <c r="B296" s="87">
        <f>IF(D296="","",COUNTIF($D$10:D296,D296))</f>
        <v>25</v>
      </c>
      <c r="C296" s="96">
        <v>45710</v>
      </c>
      <c r="D296" s="76">
        <f t="shared" si="15"/>
        <v>2</v>
      </c>
      <c r="E296" s="77" t="s">
        <v>438</v>
      </c>
      <c r="F296" s="95">
        <v>4</v>
      </c>
      <c r="G296" s="78" t="s">
        <v>473</v>
      </c>
      <c r="H296" s="91">
        <f t="shared" si="16"/>
        <v>2025</v>
      </c>
      <c r="I296" s="7" t="s">
        <v>426</v>
      </c>
      <c r="J296" s="76" t="s">
        <v>587</v>
      </c>
    </row>
    <row r="297" spans="1:10">
      <c r="A297" s="75" t="str">
        <f t="shared" si="14"/>
        <v/>
      </c>
      <c r="B297" s="87">
        <f>IF(D297="","",COUNTIF($D$10:D297,D297))</f>
        <v>26</v>
      </c>
      <c r="C297" s="96">
        <v>45712</v>
      </c>
      <c r="D297" s="76">
        <f t="shared" si="15"/>
        <v>2</v>
      </c>
      <c r="E297" s="77" t="s">
        <v>435</v>
      </c>
      <c r="F297" s="95">
        <v>4</v>
      </c>
      <c r="G297" s="78" t="s">
        <v>596</v>
      </c>
      <c r="H297" s="91">
        <f t="shared" si="16"/>
        <v>2025</v>
      </c>
      <c r="I297" s="7" t="s">
        <v>426</v>
      </c>
      <c r="J297" s="76" t="s">
        <v>587</v>
      </c>
    </row>
    <row r="298" spans="1:10">
      <c r="A298" s="75" t="str">
        <f t="shared" si="14"/>
        <v/>
      </c>
      <c r="B298" s="87">
        <f>IF(D298="","",COUNTIF($D$10:D298,D298))</f>
        <v>27</v>
      </c>
      <c r="C298" s="96">
        <v>45712</v>
      </c>
      <c r="D298" s="76">
        <f t="shared" si="15"/>
        <v>2</v>
      </c>
      <c r="E298" s="77" t="s">
        <v>428</v>
      </c>
      <c r="F298" s="95">
        <v>4</v>
      </c>
      <c r="G298" s="78" t="s">
        <v>472</v>
      </c>
      <c r="H298" s="91">
        <f t="shared" si="16"/>
        <v>2025</v>
      </c>
      <c r="I298" s="7" t="s">
        <v>426</v>
      </c>
      <c r="J298" s="76" t="s">
        <v>587</v>
      </c>
    </row>
    <row r="299" spans="1:10">
      <c r="A299" s="75" t="str">
        <f t="shared" si="14"/>
        <v/>
      </c>
      <c r="B299" s="87">
        <f>IF(D299="","",COUNTIF($D$10:D299,D299))</f>
        <v>28</v>
      </c>
      <c r="C299" s="96">
        <v>45713</v>
      </c>
      <c r="D299" s="76">
        <f t="shared" si="15"/>
        <v>2</v>
      </c>
      <c r="E299" s="77" t="s">
        <v>438</v>
      </c>
      <c r="F299" s="95">
        <v>4</v>
      </c>
      <c r="G299" s="78" t="s">
        <v>597</v>
      </c>
      <c r="H299" s="91">
        <f t="shared" si="16"/>
        <v>2025</v>
      </c>
      <c r="I299" s="7" t="s">
        <v>426</v>
      </c>
      <c r="J299" s="76" t="s">
        <v>587</v>
      </c>
    </row>
    <row r="300" spans="1:10">
      <c r="A300" s="75" t="str">
        <f t="shared" si="14"/>
        <v/>
      </c>
      <c r="B300" s="87">
        <f>IF(D300="","",COUNTIF($D$10:D300,D300))</f>
        <v>29</v>
      </c>
      <c r="C300" s="96">
        <v>45714</v>
      </c>
      <c r="D300" s="76">
        <f t="shared" si="15"/>
        <v>2</v>
      </c>
      <c r="E300" s="77" t="s">
        <v>431</v>
      </c>
      <c r="F300" s="95">
        <v>4</v>
      </c>
      <c r="G300" s="78" t="s">
        <v>442</v>
      </c>
      <c r="H300" s="91">
        <f t="shared" si="16"/>
        <v>2025</v>
      </c>
      <c r="I300" s="7" t="s">
        <v>426</v>
      </c>
      <c r="J300" s="76" t="s">
        <v>587</v>
      </c>
    </row>
    <row r="301" spans="1:10">
      <c r="A301" s="75" t="str">
        <f t="shared" si="14"/>
        <v/>
      </c>
      <c r="B301" s="87">
        <f>IF(D301="","",COUNTIF($D$10:D301,D301))</f>
        <v>30</v>
      </c>
      <c r="C301" s="96">
        <v>45715</v>
      </c>
      <c r="D301" s="76">
        <f t="shared" si="15"/>
        <v>2</v>
      </c>
      <c r="E301" s="77" t="s">
        <v>424</v>
      </c>
      <c r="F301" s="95">
        <v>4</v>
      </c>
      <c r="G301" s="78" t="s">
        <v>549</v>
      </c>
      <c r="H301" s="91">
        <f t="shared" si="16"/>
        <v>2025</v>
      </c>
      <c r="I301" s="7" t="s">
        <v>426</v>
      </c>
      <c r="J301" s="76" t="s">
        <v>587</v>
      </c>
    </row>
    <row r="302" spans="1:10">
      <c r="A302" s="75" t="str">
        <f t="shared" si="14"/>
        <v/>
      </c>
      <c r="B302" s="87">
        <f>IF(D302="","",COUNTIF($D$10:D302,D302))</f>
        <v>31</v>
      </c>
      <c r="C302" s="96">
        <v>45716</v>
      </c>
      <c r="D302" s="76">
        <f t="shared" si="15"/>
        <v>2</v>
      </c>
      <c r="E302" s="77" t="s">
        <v>435</v>
      </c>
      <c r="F302" s="95">
        <v>4</v>
      </c>
      <c r="G302" s="78" t="s">
        <v>598</v>
      </c>
      <c r="H302" s="91">
        <f t="shared" si="16"/>
        <v>2025</v>
      </c>
      <c r="I302" s="7" t="s">
        <v>426</v>
      </c>
      <c r="J302" s="76" t="s">
        <v>587</v>
      </c>
    </row>
    <row r="303" spans="1:10">
      <c r="A303" s="75" t="str">
        <f t="shared" si="14"/>
        <v/>
      </c>
    </row>
    <row r="304" spans="1:10">
      <c r="A304" s="75" t="str">
        <f t="shared" si="14"/>
        <v/>
      </c>
      <c r="B304" s="87">
        <f>IF(D304="","",COUNTIF($D$10:D304,D304))</f>
        <v>1</v>
      </c>
      <c r="C304" s="96">
        <v>45661</v>
      </c>
      <c r="D304" s="76">
        <f t="shared" ref="D304:D344" si="17">MONTH(C304)</f>
        <v>1</v>
      </c>
      <c r="E304" s="77" t="s">
        <v>453</v>
      </c>
      <c r="F304" s="95">
        <v>4</v>
      </c>
      <c r="G304" s="78" t="s">
        <v>458</v>
      </c>
      <c r="H304" s="91">
        <f t="shared" ref="H304:H344" si="18">YEAR(C304)</f>
        <v>2025</v>
      </c>
      <c r="I304" s="7" t="s">
        <v>426</v>
      </c>
      <c r="J304" s="76" t="s">
        <v>599</v>
      </c>
    </row>
    <row r="305" spans="1:10">
      <c r="A305" s="75" t="str">
        <f t="shared" si="14"/>
        <v/>
      </c>
      <c r="B305" s="87">
        <f>IF(D305="","",COUNTIF($D$10:D305,D305))</f>
        <v>2</v>
      </c>
      <c r="C305" s="96">
        <v>45663</v>
      </c>
      <c r="D305" s="76">
        <f t="shared" si="17"/>
        <v>1</v>
      </c>
      <c r="E305" s="77" t="s">
        <v>431</v>
      </c>
      <c r="F305" s="95">
        <v>4</v>
      </c>
      <c r="G305" s="78" t="s">
        <v>555</v>
      </c>
      <c r="H305" s="91">
        <f t="shared" si="18"/>
        <v>2025</v>
      </c>
      <c r="I305" s="7" t="s">
        <v>426</v>
      </c>
      <c r="J305" s="76" t="s">
        <v>599</v>
      </c>
    </row>
    <row r="306" spans="1:10">
      <c r="A306" s="75" t="str">
        <f t="shared" si="14"/>
        <v/>
      </c>
      <c r="B306" s="87">
        <f>IF(D306="","",COUNTIF($D$10:D306,D306))</f>
        <v>3</v>
      </c>
      <c r="C306" s="96">
        <v>45664</v>
      </c>
      <c r="D306" s="76">
        <f t="shared" si="17"/>
        <v>1</v>
      </c>
      <c r="E306" s="77" t="s">
        <v>453</v>
      </c>
      <c r="F306" s="95">
        <v>4</v>
      </c>
      <c r="G306" s="78" t="s">
        <v>567</v>
      </c>
      <c r="H306" s="91">
        <f t="shared" si="18"/>
        <v>2025</v>
      </c>
      <c r="I306" s="7" t="s">
        <v>426</v>
      </c>
      <c r="J306" s="76" t="s">
        <v>599</v>
      </c>
    </row>
    <row r="307" spans="1:10">
      <c r="A307" s="75" t="str">
        <f t="shared" si="14"/>
        <v/>
      </c>
      <c r="B307" s="87">
        <f>IF(D307="","",COUNTIF($D$10:D307,D307))</f>
        <v>4</v>
      </c>
      <c r="C307" s="96">
        <v>45665</v>
      </c>
      <c r="D307" s="76">
        <f t="shared" si="17"/>
        <v>1</v>
      </c>
      <c r="E307" s="77" t="s">
        <v>600</v>
      </c>
      <c r="F307" s="95">
        <v>4</v>
      </c>
      <c r="G307" s="78" t="s">
        <v>601</v>
      </c>
      <c r="H307" s="91">
        <f t="shared" si="18"/>
        <v>2025</v>
      </c>
      <c r="I307" s="7" t="s">
        <v>426</v>
      </c>
      <c r="J307" s="76" t="s">
        <v>599</v>
      </c>
    </row>
    <row r="308" spans="1:10">
      <c r="A308" s="75" t="str">
        <f t="shared" si="14"/>
        <v/>
      </c>
      <c r="B308" s="87">
        <f>IF(D308="","",COUNTIF($D$10:D308,D308))</f>
        <v>5</v>
      </c>
      <c r="C308" s="96">
        <v>45666</v>
      </c>
      <c r="D308" s="76">
        <f t="shared" si="17"/>
        <v>1</v>
      </c>
      <c r="E308" s="77" t="s">
        <v>453</v>
      </c>
      <c r="F308" s="95">
        <v>4</v>
      </c>
      <c r="G308" s="78" t="s">
        <v>602</v>
      </c>
      <c r="H308" s="91">
        <f t="shared" si="18"/>
        <v>2025</v>
      </c>
      <c r="I308" s="7" t="s">
        <v>426</v>
      </c>
      <c r="J308" s="76" t="s">
        <v>599</v>
      </c>
    </row>
    <row r="309" spans="1:10">
      <c r="A309" s="75" t="str">
        <f t="shared" si="14"/>
        <v/>
      </c>
      <c r="B309" s="87">
        <f>IF(D309="","",COUNTIF($D$10:D309,D309))</f>
        <v>6</v>
      </c>
      <c r="C309" s="96">
        <v>45667</v>
      </c>
      <c r="D309" s="76">
        <f t="shared" si="17"/>
        <v>1</v>
      </c>
      <c r="E309" s="77" t="s">
        <v>492</v>
      </c>
      <c r="F309" s="95">
        <v>4</v>
      </c>
      <c r="G309" s="78" t="s">
        <v>603</v>
      </c>
      <c r="H309" s="91">
        <f t="shared" si="18"/>
        <v>2025</v>
      </c>
      <c r="I309" s="7" t="s">
        <v>426</v>
      </c>
      <c r="J309" s="76" t="s">
        <v>599</v>
      </c>
    </row>
    <row r="310" spans="1:10">
      <c r="A310" s="75" t="str">
        <f t="shared" si="14"/>
        <v/>
      </c>
      <c r="B310" s="87">
        <f>IF(D310="","",COUNTIF($D$10:D310,D310))</f>
        <v>7</v>
      </c>
      <c r="C310" s="96">
        <v>45668</v>
      </c>
      <c r="D310" s="76">
        <f t="shared" si="17"/>
        <v>1</v>
      </c>
      <c r="E310" s="77" t="s">
        <v>428</v>
      </c>
      <c r="F310" s="95">
        <v>4</v>
      </c>
      <c r="G310" s="78" t="s">
        <v>491</v>
      </c>
      <c r="H310" s="91">
        <f t="shared" si="18"/>
        <v>2025</v>
      </c>
      <c r="I310" s="7" t="s">
        <v>426</v>
      </c>
      <c r="J310" s="76" t="s">
        <v>599</v>
      </c>
    </row>
    <row r="311" spans="1:10">
      <c r="A311" s="75" t="str">
        <f t="shared" si="14"/>
        <v/>
      </c>
      <c r="B311" s="87">
        <f>IF(D311="","",COUNTIF($D$10:D311,D311))</f>
        <v>8</v>
      </c>
      <c r="C311" s="96">
        <v>45670</v>
      </c>
      <c r="D311" s="76">
        <f t="shared" si="17"/>
        <v>1</v>
      </c>
      <c r="E311" s="77" t="s">
        <v>433</v>
      </c>
      <c r="F311" s="95">
        <v>4</v>
      </c>
      <c r="G311" s="78">
        <v>15.15</v>
      </c>
      <c r="H311" s="91">
        <f t="shared" si="18"/>
        <v>2025</v>
      </c>
      <c r="I311" s="7" t="s">
        <v>426</v>
      </c>
      <c r="J311" s="76" t="s">
        <v>599</v>
      </c>
    </row>
    <row r="312" spans="1:10">
      <c r="A312" s="75" t="str">
        <f t="shared" si="14"/>
        <v/>
      </c>
      <c r="B312" s="87">
        <f>IF(D312="","",COUNTIF($D$10:D312,D312))</f>
        <v>9</v>
      </c>
      <c r="C312" s="96">
        <v>45670</v>
      </c>
      <c r="D312" s="76">
        <f t="shared" si="17"/>
        <v>1</v>
      </c>
      <c r="E312" s="77" t="s">
        <v>431</v>
      </c>
      <c r="F312" s="95">
        <v>4</v>
      </c>
      <c r="G312" s="78" t="s">
        <v>482</v>
      </c>
      <c r="H312" s="91">
        <f t="shared" si="18"/>
        <v>2025</v>
      </c>
      <c r="I312" s="7" t="s">
        <v>426</v>
      </c>
      <c r="J312" s="76" t="s">
        <v>599</v>
      </c>
    </row>
    <row r="313" spans="1:10">
      <c r="A313" s="75" t="str">
        <f t="shared" si="14"/>
        <v/>
      </c>
      <c r="B313" s="87">
        <f>IF(D313="","",COUNTIF($D$10:D313,D313))</f>
        <v>10</v>
      </c>
      <c r="C313" s="96">
        <v>45671</v>
      </c>
      <c r="D313" s="76">
        <f t="shared" si="17"/>
        <v>1</v>
      </c>
      <c r="E313" s="77" t="s">
        <v>454</v>
      </c>
      <c r="F313" s="95">
        <v>2</v>
      </c>
      <c r="G313" s="78" t="s">
        <v>604</v>
      </c>
      <c r="H313" s="91">
        <f t="shared" si="18"/>
        <v>2025</v>
      </c>
      <c r="I313" s="7" t="s">
        <v>426</v>
      </c>
      <c r="J313" s="76" t="s">
        <v>599</v>
      </c>
    </row>
    <row r="314" spans="1:10">
      <c r="A314" s="75" t="str">
        <f t="shared" si="14"/>
        <v/>
      </c>
      <c r="B314" s="87">
        <f>IF(D314="","",COUNTIF($D$10:D314,D314))</f>
        <v>11</v>
      </c>
      <c r="C314" s="96">
        <v>45671</v>
      </c>
      <c r="D314" s="76">
        <f t="shared" si="17"/>
        <v>1</v>
      </c>
      <c r="E314" s="77" t="s">
        <v>454</v>
      </c>
      <c r="F314" s="95">
        <v>2</v>
      </c>
      <c r="G314" s="78" t="s">
        <v>605</v>
      </c>
      <c r="H314" s="91">
        <f t="shared" si="18"/>
        <v>2025</v>
      </c>
      <c r="I314" s="7" t="s">
        <v>426</v>
      </c>
      <c r="J314" s="76" t="s">
        <v>599</v>
      </c>
    </row>
    <row r="315" spans="1:10">
      <c r="A315" s="75" t="str">
        <f t="shared" si="14"/>
        <v/>
      </c>
      <c r="B315" s="87">
        <f>IF(D315="","",COUNTIF($D$10:D315,D315))</f>
        <v>12</v>
      </c>
      <c r="C315" s="96">
        <v>45672</v>
      </c>
      <c r="D315" s="76">
        <f t="shared" si="17"/>
        <v>1</v>
      </c>
      <c r="E315" s="77" t="s">
        <v>454</v>
      </c>
      <c r="F315" s="95">
        <v>2</v>
      </c>
      <c r="G315" s="78" t="s">
        <v>442</v>
      </c>
      <c r="H315" s="91">
        <f t="shared" si="18"/>
        <v>2025</v>
      </c>
      <c r="I315" s="7" t="s">
        <v>426</v>
      </c>
      <c r="J315" s="76" t="s">
        <v>599</v>
      </c>
    </row>
    <row r="316" spans="1:10">
      <c r="A316" s="75" t="str">
        <f t="shared" si="14"/>
        <v/>
      </c>
      <c r="B316" s="87">
        <f>IF(D316="","",COUNTIF($D$10:D316,D316))</f>
        <v>13</v>
      </c>
      <c r="C316" s="96">
        <v>45672</v>
      </c>
      <c r="D316" s="76">
        <f t="shared" si="17"/>
        <v>1</v>
      </c>
      <c r="E316" s="77" t="s">
        <v>454</v>
      </c>
      <c r="F316" s="95">
        <v>2</v>
      </c>
      <c r="G316" s="78" t="s">
        <v>606</v>
      </c>
      <c r="H316" s="91">
        <f t="shared" si="18"/>
        <v>2025</v>
      </c>
      <c r="I316" s="7" t="s">
        <v>426</v>
      </c>
      <c r="J316" s="76" t="s">
        <v>599</v>
      </c>
    </row>
    <row r="317" spans="1:10">
      <c r="A317" s="75" t="str">
        <f t="shared" si="14"/>
        <v/>
      </c>
      <c r="B317" s="87">
        <f>IF(D317="","",COUNTIF($D$10:D317,D317))</f>
        <v>14</v>
      </c>
      <c r="C317" s="96">
        <v>45673</v>
      </c>
      <c r="D317" s="76">
        <f t="shared" si="17"/>
        <v>1</v>
      </c>
      <c r="E317" s="77" t="s">
        <v>449</v>
      </c>
      <c r="F317" s="95">
        <v>2</v>
      </c>
      <c r="G317" s="78" t="s">
        <v>478</v>
      </c>
      <c r="H317" s="91">
        <f t="shared" si="18"/>
        <v>2025</v>
      </c>
      <c r="I317" s="7" t="s">
        <v>426</v>
      </c>
      <c r="J317" s="76" t="s">
        <v>599</v>
      </c>
    </row>
    <row r="318" spans="1:10">
      <c r="A318" s="75" t="str">
        <f t="shared" si="14"/>
        <v/>
      </c>
      <c r="B318" s="87">
        <f>IF(D318="","",COUNTIF($D$10:D318,D318))</f>
        <v>15</v>
      </c>
      <c r="C318" s="96">
        <v>45673</v>
      </c>
      <c r="D318" s="76">
        <f t="shared" si="17"/>
        <v>1</v>
      </c>
      <c r="E318" s="77" t="s">
        <v>449</v>
      </c>
      <c r="F318" s="95">
        <v>2</v>
      </c>
      <c r="G318" s="78" t="s">
        <v>556</v>
      </c>
      <c r="H318" s="91">
        <f t="shared" si="18"/>
        <v>2025</v>
      </c>
      <c r="I318" s="7" t="s">
        <v>426</v>
      </c>
      <c r="J318" s="76" t="s">
        <v>599</v>
      </c>
    </row>
    <row r="319" spans="1:10">
      <c r="A319" s="75" t="str">
        <f t="shared" si="14"/>
        <v/>
      </c>
      <c r="B319" s="87">
        <f>IF(D319="","",COUNTIF($D$10:D319,D319))</f>
        <v>16</v>
      </c>
      <c r="C319" s="96">
        <v>45674</v>
      </c>
      <c r="D319" s="76">
        <f t="shared" si="17"/>
        <v>1</v>
      </c>
      <c r="E319" s="77" t="s">
        <v>447</v>
      </c>
      <c r="F319" s="95">
        <v>2</v>
      </c>
      <c r="G319" s="78" t="s">
        <v>442</v>
      </c>
      <c r="H319" s="91">
        <f t="shared" si="18"/>
        <v>2025</v>
      </c>
      <c r="I319" s="7" t="s">
        <v>426</v>
      </c>
      <c r="J319" s="76" t="s">
        <v>599</v>
      </c>
    </row>
    <row r="320" spans="1:10">
      <c r="A320" s="75" t="str">
        <f t="shared" si="14"/>
        <v/>
      </c>
      <c r="B320" s="87">
        <f>IF(D320="","",COUNTIF($D$10:D320,D320))</f>
        <v>17</v>
      </c>
      <c r="C320" s="96">
        <v>45674</v>
      </c>
      <c r="D320" s="76">
        <f t="shared" si="17"/>
        <v>1</v>
      </c>
      <c r="E320" s="77" t="s">
        <v>447</v>
      </c>
      <c r="F320" s="95">
        <v>2</v>
      </c>
      <c r="G320" s="78" t="s">
        <v>607</v>
      </c>
      <c r="H320" s="91">
        <f t="shared" si="18"/>
        <v>2025</v>
      </c>
      <c r="I320" s="7" t="s">
        <v>426</v>
      </c>
      <c r="J320" s="76" t="s">
        <v>599</v>
      </c>
    </row>
    <row r="321" spans="1:10">
      <c r="A321" s="75" t="str">
        <f t="shared" si="14"/>
        <v/>
      </c>
      <c r="B321" s="87">
        <f>IF(D321="","",COUNTIF($D$10:D321,D321))</f>
        <v>18</v>
      </c>
      <c r="C321" s="96">
        <v>45674</v>
      </c>
      <c r="D321" s="76">
        <f t="shared" si="17"/>
        <v>1</v>
      </c>
      <c r="E321" s="77" t="s">
        <v>453</v>
      </c>
      <c r="F321" s="95">
        <v>4</v>
      </c>
      <c r="G321" s="78" t="s">
        <v>608</v>
      </c>
      <c r="H321" s="91">
        <f t="shared" si="18"/>
        <v>2025</v>
      </c>
      <c r="I321" s="7" t="s">
        <v>426</v>
      </c>
      <c r="J321" s="76" t="s">
        <v>599</v>
      </c>
    </row>
    <row r="322" spans="1:10">
      <c r="A322" s="75" t="str">
        <f t="shared" si="14"/>
        <v/>
      </c>
      <c r="B322" s="87">
        <f>IF(D322="","",COUNTIF($D$10:D322,D322))</f>
        <v>19</v>
      </c>
      <c r="C322" s="96">
        <v>45675</v>
      </c>
      <c r="D322" s="76">
        <f t="shared" si="17"/>
        <v>1</v>
      </c>
      <c r="E322" s="77" t="s">
        <v>447</v>
      </c>
      <c r="F322" s="95">
        <v>2</v>
      </c>
      <c r="G322" s="78" t="s">
        <v>609</v>
      </c>
      <c r="H322" s="91">
        <f t="shared" si="18"/>
        <v>2025</v>
      </c>
      <c r="I322" s="7" t="s">
        <v>426</v>
      </c>
      <c r="J322" s="76" t="s">
        <v>599</v>
      </c>
    </row>
    <row r="323" spans="1:10">
      <c r="A323" s="75" t="str">
        <f t="shared" si="14"/>
        <v/>
      </c>
      <c r="B323" s="87">
        <f>IF(D323="","",COUNTIF($D$10:D323,D323))</f>
        <v>20</v>
      </c>
      <c r="C323" s="96">
        <v>45675</v>
      </c>
      <c r="D323" s="76">
        <f t="shared" si="17"/>
        <v>1</v>
      </c>
      <c r="E323" s="77" t="s">
        <v>447</v>
      </c>
      <c r="F323" s="95">
        <v>2</v>
      </c>
      <c r="G323" s="78">
        <v>16.25</v>
      </c>
      <c r="H323" s="91">
        <f t="shared" si="18"/>
        <v>2025</v>
      </c>
      <c r="I323" s="7" t="s">
        <v>426</v>
      </c>
      <c r="J323" s="76" t="s">
        <v>599</v>
      </c>
    </row>
    <row r="324" spans="1:10">
      <c r="A324" s="75" t="str">
        <f t="shared" si="14"/>
        <v/>
      </c>
      <c r="B324" s="87">
        <f>IF(D324="","",COUNTIF($D$10:D324,D324))</f>
        <v>21</v>
      </c>
      <c r="C324" s="96">
        <v>45677</v>
      </c>
      <c r="D324" s="76">
        <f t="shared" si="17"/>
        <v>1</v>
      </c>
      <c r="E324" s="77" t="s">
        <v>447</v>
      </c>
      <c r="F324" s="95">
        <v>2</v>
      </c>
      <c r="G324" s="78" t="s">
        <v>610</v>
      </c>
      <c r="H324" s="91">
        <f t="shared" si="18"/>
        <v>2025</v>
      </c>
      <c r="I324" s="7" t="s">
        <v>426</v>
      </c>
      <c r="J324" s="76" t="s">
        <v>599</v>
      </c>
    </row>
    <row r="325" spans="1:10">
      <c r="A325" s="75" t="str">
        <f t="shared" si="14"/>
        <v/>
      </c>
      <c r="B325" s="87">
        <f>IF(D325="","",COUNTIF($D$10:D325,D325))</f>
        <v>22</v>
      </c>
      <c r="C325" s="96">
        <v>45677</v>
      </c>
      <c r="D325" s="76">
        <f t="shared" si="17"/>
        <v>1</v>
      </c>
      <c r="E325" s="77" t="s">
        <v>447</v>
      </c>
      <c r="F325" s="95">
        <v>2</v>
      </c>
      <c r="G325" s="78" t="s">
        <v>429</v>
      </c>
      <c r="H325" s="91">
        <f t="shared" si="18"/>
        <v>2025</v>
      </c>
      <c r="I325" s="7" t="s">
        <v>426</v>
      </c>
      <c r="J325" s="76" t="s">
        <v>599</v>
      </c>
    </row>
    <row r="326" spans="1:10">
      <c r="A326" s="75" t="str">
        <f t="shared" si="14"/>
        <v/>
      </c>
      <c r="B326" s="87">
        <f>IF(D326="","",COUNTIF($D$10:D326,D326))</f>
        <v>23</v>
      </c>
      <c r="C326" s="96">
        <v>45678</v>
      </c>
      <c r="D326" s="76">
        <f t="shared" si="17"/>
        <v>1</v>
      </c>
      <c r="E326" s="77" t="s">
        <v>449</v>
      </c>
      <c r="F326" s="95">
        <v>2</v>
      </c>
      <c r="G326" s="78" t="s">
        <v>491</v>
      </c>
      <c r="H326" s="91">
        <f t="shared" si="18"/>
        <v>2025</v>
      </c>
      <c r="I326" s="7" t="s">
        <v>426</v>
      </c>
      <c r="J326" s="76" t="s">
        <v>599</v>
      </c>
    </row>
    <row r="327" spans="1:10">
      <c r="A327" s="75" t="str">
        <f t="shared" si="14"/>
        <v/>
      </c>
      <c r="B327" s="87">
        <f>IF(D327="","",COUNTIF($D$10:D327,D327))</f>
        <v>24</v>
      </c>
      <c r="C327" s="96">
        <v>45678</v>
      </c>
      <c r="D327" s="76">
        <f t="shared" si="17"/>
        <v>1</v>
      </c>
      <c r="E327" s="77" t="s">
        <v>447</v>
      </c>
      <c r="F327" s="95">
        <v>2</v>
      </c>
      <c r="G327" s="78" t="s">
        <v>611</v>
      </c>
      <c r="H327" s="91">
        <f t="shared" si="18"/>
        <v>2025</v>
      </c>
      <c r="I327" s="7" t="s">
        <v>426</v>
      </c>
      <c r="J327" s="76" t="s">
        <v>599</v>
      </c>
    </row>
    <row r="328" spans="1:10">
      <c r="A328" s="75" t="str">
        <f t="shared" si="14"/>
        <v/>
      </c>
      <c r="B328" s="87">
        <f>IF(D328="","",COUNTIF($D$10:D328,D328))</f>
        <v>25</v>
      </c>
      <c r="C328" s="96">
        <v>45679</v>
      </c>
      <c r="D328" s="76">
        <f t="shared" si="17"/>
        <v>1</v>
      </c>
      <c r="E328" s="77" t="s">
        <v>449</v>
      </c>
      <c r="F328" s="95">
        <v>2</v>
      </c>
      <c r="G328" s="78" t="s">
        <v>586</v>
      </c>
      <c r="H328" s="91">
        <f t="shared" si="18"/>
        <v>2025</v>
      </c>
      <c r="I328" s="7" t="s">
        <v>426</v>
      </c>
      <c r="J328" s="76" t="s">
        <v>599</v>
      </c>
    </row>
    <row r="329" spans="1:10">
      <c r="A329" s="75" t="str">
        <f t="shared" si="14"/>
        <v/>
      </c>
      <c r="B329" s="87">
        <f>IF(D329="","",COUNTIF($D$10:D329,D329))</f>
        <v>26</v>
      </c>
      <c r="C329" s="96">
        <v>45679</v>
      </c>
      <c r="D329" s="76">
        <f t="shared" si="17"/>
        <v>1</v>
      </c>
      <c r="E329" s="77" t="s">
        <v>447</v>
      </c>
      <c r="F329" s="95">
        <v>2</v>
      </c>
      <c r="G329" s="78" t="s">
        <v>612</v>
      </c>
      <c r="H329" s="91">
        <f t="shared" si="18"/>
        <v>2025</v>
      </c>
      <c r="I329" s="7" t="s">
        <v>426</v>
      </c>
      <c r="J329" s="76" t="s">
        <v>599</v>
      </c>
    </row>
    <row r="330" spans="1:10">
      <c r="A330" s="75" t="str">
        <f t="shared" si="14"/>
        <v/>
      </c>
      <c r="B330" s="87">
        <f>IF(D330="","",COUNTIF($D$10:D330,D330))</f>
        <v>27</v>
      </c>
      <c r="C330" s="96">
        <v>45680</v>
      </c>
      <c r="D330" s="76">
        <f t="shared" si="17"/>
        <v>1</v>
      </c>
      <c r="E330" s="77" t="s">
        <v>449</v>
      </c>
      <c r="F330" s="95">
        <v>2</v>
      </c>
      <c r="G330" s="78" t="s">
        <v>458</v>
      </c>
      <c r="H330" s="91">
        <f t="shared" si="18"/>
        <v>2025</v>
      </c>
      <c r="I330" s="7" t="s">
        <v>426</v>
      </c>
      <c r="J330" s="76" t="s">
        <v>599</v>
      </c>
    </row>
    <row r="331" spans="1:10">
      <c r="A331" s="75" t="str">
        <f t="shared" ref="A331:A394" si="19">IF(AND($E$3="ALL",$E$4="ALL"),"ALL",IF(AND($E$3="ALL",$E$4&lt;&gt;"ALL"),IF(D331=$E$4,D331,""),IF(AND($E$3&lt;&gt;"ALL",$E$4="ALL"),IF(I331=$E$3,I331,""),"")))</f>
        <v/>
      </c>
      <c r="B331" s="87">
        <f>IF(D331="","",COUNTIF($D$10:D331,D331))</f>
        <v>28</v>
      </c>
      <c r="C331" s="96">
        <v>45680</v>
      </c>
      <c r="D331" s="76">
        <f t="shared" si="17"/>
        <v>1</v>
      </c>
      <c r="E331" s="77" t="s">
        <v>447</v>
      </c>
      <c r="F331" s="95">
        <v>2</v>
      </c>
      <c r="G331" s="78">
        <v>10.029999999999999</v>
      </c>
      <c r="H331" s="91">
        <f t="shared" si="18"/>
        <v>2025</v>
      </c>
      <c r="I331" s="7" t="s">
        <v>426</v>
      </c>
      <c r="J331" s="76" t="s">
        <v>599</v>
      </c>
    </row>
    <row r="332" spans="1:10">
      <c r="A332" s="75" t="str">
        <f t="shared" si="19"/>
        <v/>
      </c>
      <c r="B332" s="87">
        <f>IF(D332="","",COUNTIF($D$10:D332,D332))</f>
        <v>29</v>
      </c>
      <c r="C332" s="96">
        <v>45681</v>
      </c>
      <c r="D332" s="76">
        <f t="shared" si="17"/>
        <v>1</v>
      </c>
      <c r="E332" s="77" t="s">
        <v>454</v>
      </c>
      <c r="F332" s="95">
        <v>2</v>
      </c>
      <c r="G332" s="78" t="s">
        <v>613</v>
      </c>
      <c r="H332" s="91">
        <f t="shared" si="18"/>
        <v>2025</v>
      </c>
      <c r="I332" s="7" t="s">
        <v>426</v>
      </c>
      <c r="J332" s="76" t="s">
        <v>599</v>
      </c>
    </row>
    <row r="333" spans="1:10">
      <c r="A333" s="75" t="str">
        <f t="shared" si="19"/>
        <v/>
      </c>
      <c r="B333" s="87">
        <f>IF(D333="","",COUNTIF($D$10:D333,D333))</f>
        <v>30</v>
      </c>
      <c r="C333" s="96">
        <v>45681</v>
      </c>
      <c r="D333" s="76">
        <f t="shared" si="17"/>
        <v>1</v>
      </c>
      <c r="E333" s="77" t="s">
        <v>449</v>
      </c>
      <c r="F333" s="95">
        <v>2</v>
      </c>
      <c r="G333" s="78" t="s">
        <v>441</v>
      </c>
      <c r="H333" s="91">
        <f t="shared" si="18"/>
        <v>2025</v>
      </c>
      <c r="I333" s="7" t="s">
        <v>426</v>
      </c>
      <c r="J333" s="76" t="s">
        <v>599</v>
      </c>
    </row>
    <row r="334" spans="1:10">
      <c r="A334" s="75" t="str">
        <f t="shared" si="19"/>
        <v/>
      </c>
      <c r="B334" s="87">
        <f>IF(D334="","",COUNTIF($D$10:D334,D334))</f>
        <v>31</v>
      </c>
      <c r="C334" s="96">
        <v>45682</v>
      </c>
      <c r="D334" s="76">
        <f t="shared" si="17"/>
        <v>1</v>
      </c>
      <c r="E334" s="77" t="s">
        <v>454</v>
      </c>
      <c r="F334" s="95">
        <v>2</v>
      </c>
      <c r="G334" s="78" t="s">
        <v>510</v>
      </c>
      <c r="H334" s="91">
        <f t="shared" si="18"/>
        <v>2025</v>
      </c>
      <c r="I334" s="7" t="s">
        <v>426</v>
      </c>
      <c r="J334" s="76" t="s">
        <v>599</v>
      </c>
    </row>
    <row r="335" spans="1:10">
      <c r="A335" s="75" t="str">
        <f t="shared" si="19"/>
        <v/>
      </c>
      <c r="B335" s="87">
        <f>IF(D335="","",COUNTIF($D$10:D335,D335))</f>
        <v>32</v>
      </c>
      <c r="C335" s="96">
        <v>45682</v>
      </c>
      <c r="D335" s="76">
        <f t="shared" si="17"/>
        <v>1</v>
      </c>
      <c r="E335" s="77" t="s">
        <v>454</v>
      </c>
      <c r="F335" s="95">
        <v>2</v>
      </c>
      <c r="G335" s="78" t="s">
        <v>614</v>
      </c>
      <c r="H335" s="91">
        <f t="shared" si="18"/>
        <v>2025</v>
      </c>
      <c r="I335" s="7" t="s">
        <v>426</v>
      </c>
      <c r="J335" s="76" t="s">
        <v>599</v>
      </c>
    </row>
    <row r="336" spans="1:10">
      <c r="A336" s="75" t="str">
        <f t="shared" si="19"/>
        <v/>
      </c>
      <c r="B336" s="87">
        <f>IF(D336="","",COUNTIF($D$10:D336,D336))</f>
        <v>33</v>
      </c>
      <c r="C336" s="96">
        <v>45684</v>
      </c>
      <c r="D336" s="76">
        <f t="shared" si="17"/>
        <v>1</v>
      </c>
      <c r="E336" s="77" t="s">
        <v>454</v>
      </c>
      <c r="F336" s="95">
        <v>2</v>
      </c>
      <c r="G336" s="78" t="s">
        <v>504</v>
      </c>
      <c r="H336" s="91">
        <f t="shared" si="18"/>
        <v>2025</v>
      </c>
      <c r="I336" s="7" t="s">
        <v>426</v>
      </c>
      <c r="J336" s="76" t="s">
        <v>599</v>
      </c>
    </row>
    <row r="337" spans="1:10">
      <c r="A337" s="75" t="str">
        <f t="shared" si="19"/>
        <v/>
      </c>
      <c r="B337" s="87">
        <f>IF(D337="","",COUNTIF($D$10:D337,D337))</f>
        <v>34</v>
      </c>
      <c r="C337" s="96">
        <v>45684</v>
      </c>
      <c r="D337" s="76">
        <f t="shared" si="17"/>
        <v>1</v>
      </c>
      <c r="E337" s="77" t="s">
        <v>449</v>
      </c>
      <c r="F337" s="95">
        <v>2</v>
      </c>
      <c r="G337" s="78" t="s">
        <v>504</v>
      </c>
      <c r="H337" s="91">
        <f t="shared" si="18"/>
        <v>2025</v>
      </c>
      <c r="I337" s="7" t="s">
        <v>426</v>
      </c>
      <c r="J337" s="76" t="s">
        <v>599</v>
      </c>
    </row>
    <row r="338" spans="1:10">
      <c r="A338" s="75" t="str">
        <f t="shared" si="19"/>
        <v/>
      </c>
      <c r="B338" s="87">
        <f>IF(D338="","",COUNTIF($D$10:D338,D338))</f>
        <v>35</v>
      </c>
      <c r="C338" s="96">
        <v>45685</v>
      </c>
      <c r="D338" s="76">
        <f t="shared" si="17"/>
        <v>1</v>
      </c>
      <c r="E338" s="77" t="s">
        <v>431</v>
      </c>
      <c r="F338" s="95">
        <v>4</v>
      </c>
      <c r="G338" s="78" t="s">
        <v>508</v>
      </c>
      <c r="H338" s="91">
        <f t="shared" si="18"/>
        <v>2025</v>
      </c>
      <c r="I338" s="7" t="s">
        <v>426</v>
      </c>
      <c r="J338" s="76" t="s">
        <v>599</v>
      </c>
    </row>
    <row r="339" spans="1:10">
      <c r="A339" s="75" t="str">
        <f t="shared" si="19"/>
        <v/>
      </c>
      <c r="B339" s="87">
        <f>IF(D339="","",COUNTIF($D$10:D339,D339))</f>
        <v>36</v>
      </c>
      <c r="C339" s="96">
        <v>45686</v>
      </c>
      <c r="D339" s="76">
        <f t="shared" si="17"/>
        <v>1</v>
      </c>
      <c r="E339" s="77" t="s">
        <v>449</v>
      </c>
      <c r="F339" s="95">
        <v>2</v>
      </c>
      <c r="G339" s="78" t="s">
        <v>567</v>
      </c>
      <c r="H339" s="91">
        <f t="shared" si="18"/>
        <v>2025</v>
      </c>
      <c r="I339" s="7" t="s">
        <v>426</v>
      </c>
      <c r="J339" s="76" t="s">
        <v>599</v>
      </c>
    </row>
    <row r="340" spans="1:10">
      <c r="A340" s="75" t="str">
        <f t="shared" si="19"/>
        <v/>
      </c>
      <c r="B340" s="87">
        <f>IF(D340="","",COUNTIF($D$10:D340,D340))</f>
        <v>37</v>
      </c>
      <c r="C340" s="96">
        <v>45686</v>
      </c>
      <c r="D340" s="76">
        <f t="shared" si="17"/>
        <v>1</v>
      </c>
      <c r="E340" s="77" t="s">
        <v>454</v>
      </c>
      <c r="F340" s="95">
        <v>2</v>
      </c>
      <c r="G340" s="78" t="s">
        <v>462</v>
      </c>
      <c r="H340" s="91">
        <f t="shared" si="18"/>
        <v>2025</v>
      </c>
      <c r="I340" s="7" t="s">
        <v>426</v>
      </c>
      <c r="J340" s="76" t="s">
        <v>599</v>
      </c>
    </row>
    <row r="341" spans="1:10">
      <c r="A341" s="75" t="str">
        <f t="shared" si="19"/>
        <v/>
      </c>
      <c r="B341" s="87">
        <f>IF(D341="","",COUNTIF($D$10:D341,D341))</f>
        <v>38</v>
      </c>
      <c r="C341" s="96">
        <v>45687</v>
      </c>
      <c r="D341" s="76">
        <f t="shared" si="17"/>
        <v>1</v>
      </c>
      <c r="E341" s="77" t="s">
        <v>447</v>
      </c>
      <c r="F341" s="95">
        <v>2</v>
      </c>
      <c r="G341" s="78" t="s">
        <v>615</v>
      </c>
      <c r="H341" s="91">
        <f t="shared" si="18"/>
        <v>2025</v>
      </c>
      <c r="I341" s="7" t="s">
        <v>426</v>
      </c>
      <c r="J341" s="76" t="s">
        <v>599</v>
      </c>
    </row>
    <row r="342" spans="1:10">
      <c r="A342" s="75" t="str">
        <f t="shared" si="19"/>
        <v/>
      </c>
      <c r="B342" s="87">
        <f>IF(D342="","",COUNTIF($D$10:D342,D342))</f>
        <v>39</v>
      </c>
      <c r="C342" s="96">
        <v>45687</v>
      </c>
      <c r="D342" s="76">
        <f t="shared" si="17"/>
        <v>1</v>
      </c>
      <c r="E342" s="77" t="s">
        <v>447</v>
      </c>
      <c r="F342" s="95">
        <v>2</v>
      </c>
      <c r="G342" s="78" t="s">
        <v>597</v>
      </c>
      <c r="H342" s="91">
        <f t="shared" si="18"/>
        <v>2025</v>
      </c>
      <c r="I342" s="7" t="s">
        <v>426</v>
      </c>
      <c r="J342" s="76" t="s">
        <v>599</v>
      </c>
    </row>
    <row r="343" spans="1:10">
      <c r="A343" s="75" t="str">
        <f t="shared" si="19"/>
        <v/>
      </c>
      <c r="B343" s="87">
        <f>IF(D343="","",COUNTIF($D$10:D343,D343))</f>
        <v>40</v>
      </c>
      <c r="C343" s="96">
        <v>45688</v>
      </c>
      <c r="D343" s="76">
        <f t="shared" si="17"/>
        <v>1</v>
      </c>
      <c r="E343" s="77" t="s">
        <v>449</v>
      </c>
      <c r="F343" s="95">
        <v>2</v>
      </c>
      <c r="G343" s="78" t="s">
        <v>459</v>
      </c>
      <c r="H343" s="91">
        <f t="shared" si="18"/>
        <v>2025</v>
      </c>
      <c r="I343" s="7" t="s">
        <v>426</v>
      </c>
      <c r="J343" s="76" t="s">
        <v>599</v>
      </c>
    </row>
    <row r="344" spans="1:10">
      <c r="A344" s="75" t="str">
        <f t="shared" si="19"/>
        <v/>
      </c>
      <c r="B344" s="87">
        <f>IF(D344="","",COUNTIF($D$10:D344,D344))</f>
        <v>41</v>
      </c>
      <c r="C344" s="96">
        <v>45688</v>
      </c>
      <c r="D344" s="76">
        <f t="shared" si="17"/>
        <v>1</v>
      </c>
      <c r="E344" s="77" t="s">
        <v>447</v>
      </c>
      <c r="F344" s="95">
        <v>2</v>
      </c>
      <c r="G344" s="78" t="s">
        <v>462</v>
      </c>
      <c r="H344" s="91">
        <f t="shared" si="18"/>
        <v>2025</v>
      </c>
      <c r="I344" s="7" t="s">
        <v>426</v>
      </c>
      <c r="J344" s="76" t="s">
        <v>599</v>
      </c>
    </row>
    <row r="345" spans="1:10">
      <c r="A345" s="75" t="str">
        <f t="shared" si="19"/>
        <v/>
      </c>
    </row>
    <row r="346" spans="1:10">
      <c r="A346" s="75" t="str">
        <f t="shared" si="19"/>
        <v/>
      </c>
      <c r="B346" s="87">
        <f>IF(D346="","",COUNTIF($D$10:D346,D346))</f>
        <v>1</v>
      </c>
      <c r="C346" s="96">
        <v>45628</v>
      </c>
      <c r="D346" s="76">
        <f t="shared" ref="D346:D374" si="20">MONTH(C346)</f>
        <v>12</v>
      </c>
      <c r="E346" s="77" t="s">
        <v>616</v>
      </c>
      <c r="F346" s="95">
        <v>4</v>
      </c>
      <c r="G346" s="99">
        <v>0.28402777777777777</v>
      </c>
      <c r="H346" s="91">
        <f t="shared" ref="H346:H374" si="21">YEAR(C346)</f>
        <v>2024</v>
      </c>
      <c r="I346" s="7" t="s">
        <v>426</v>
      </c>
      <c r="J346" s="76" t="s">
        <v>617</v>
      </c>
    </row>
    <row r="347" spans="1:10">
      <c r="A347" s="75" t="str">
        <f t="shared" si="19"/>
        <v/>
      </c>
      <c r="B347" s="87">
        <f>IF(D347="","",COUNTIF($D$10:D347,D347))</f>
        <v>2</v>
      </c>
      <c r="C347" s="96">
        <v>45631</v>
      </c>
      <c r="D347" s="76">
        <f t="shared" si="20"/>
        <v>12</v>
      </c>
      <c r="E347" s="77" t="s">
        <v>431</v>
      </c>
      <c r="F347" s="95">
        <v>4</v>
      </c>
      <c r="G347" s="99">
        <v>0.31388888888888888</v>
      </c>
      <c r="H347" s="91">
        <f t="shared" si="21"/>
        <v>2024</v>
      </c>
      <c r="I347" s="7" t="s">
        <v>426</v>
      </c>
      <c r="J347" s="76" t="s">
        <v>617</v>
      </c>
    </row>
    <row r="348" spans="1:10">
      <c r="A348" s="75" t="str">
        <f t="shared" si="19"/>
        <v/>
      </c>
      <c r="B348" s="87">
        <f>IF(D348="","",COUNTIF($D$10:D348,D348))</f>
        <v>3</v>
      </c>
      <c r="C348" s="96">
        <v>45632</v>
      </c>
      <c r="D348" s="76">
        <f t="shared" si="20"/>
        <v>12</v>
      </c>
      <c r="E348" s="77" t="s">
        <v>435</v>
      </c>
      <c r="F348" s="95">
        <v>4</v>
      </c>
      <c r="G348" s="99">
        <v>0.30555555555555558</v>
      </c>
      <c r="H348" s="91">
        <f t="shared" si="21"/>
        <v>2024</v>
      </c>
      <c r="I348" s="7" t="s">
        <v>426</v>
      </c>
      <c r="J348" s="76" t="s">
        <v>617</v>
      </c>
    </row>
    <row r="349" spans="1:10">
      <c r="A349" s="75" t="str">
        <f t="shared" si="19"/>
        <v/>
      </c>
      <c r="B349" s="87">
        <f>IF(D349="","",COUNTIF($D$10:D349,D349))</f>
        <v>4</v>
      </c>
      <c r="C349" s="96">
        <v>45633</v>
      </c>
      <c r="D349" s="76">
        <f t="shared" si="20"/>
        <v>12</v>
      </c>
      <c r="E349" s="77" t="s">
        <v>447</v>
      </c>
      <c r="F349" s="95">
        <v>2</v>
      </c>
      <c r="G349" s="99">
        <v>0.27777777777777779</v>
      </c>
      <c r="H349" s="91">
        <f t="shared" si="21"/>
        <v>2024</v>
      </c>
      <c r="I349" s="7" t="s">
        <v>426</v>
      </c>
      <c r="J349" s="76" t="s">
        <v>617</v>
      </c>
    </row>
    <row r="350" spans="1:10">
      <c r="A350" s="75" t="str">
        <f t="shared" si="19"/>
        <v/>
      </c>
      <c r="B350" s="87">
        <f>IF(D350="","",COUNTIF($D$10:D350,D350))</f>
        <v>5</v>
      </c>
      <c r="C350" s="96">
        <v>45633</v>
      </c>
      <c r="D350" s="76">
        <f t="shared" si="20"/>
        <v>12</v>
      </c>
      <c r="E350" s="77" t="s">
        <v>447</v>
      </c>
      <c r="F350" s="95">
        <v>2</v>
      </c>
      <c r="G350" s="99">
        <v>8.01</v>
      </c>
      <c r="H350" s="91">
        <f t="shared" si="21"/>
        <v>2024</v>
      </c>
      <c r="I350" s="7" t="s">
        <v>426</v>
      </c>
      <c r="J350" s="76" t="s">
        <v>617</v>
      </c>
    </row>
    <row r="351" spans="1:10">
      <c r="A351" s="75" t="str">
        <f t="shared" si="19"/>
        <v/>
      </c>
      <c r="B351" s="87">
        <f>IF(D351="","",COUNTIF($D$10:D351,D351))</f>
        <v>6</v>
      </c>
      <c r="C351" s="96">
        <v>45635</v>
      </c>
      <c r="D351" s="76">
        <f t="shared" si="20"/>
        <v>12</v>
      </c>
      <c r="E351" s="77" t="s">
        <v>449</v>
      </c>
      <c r="F351" s="95">
        <v>2</v>
      </c>
      <c r="G351" s="99">
        <v>0.29166666666666669</v>
      </c>
      <c r="H351" s="91">
        <f t="shared" si="21"/>
        <v>2024</v>
      </c>
      <c r="I351" s="7" t="s">
        <v>426</v>
      </c>
      <c r="J351" s="76" t="s">
        <v>617</v>
      </c>
    </row>
    <row r="352" spans="1:10">
      <c r="A352" s="75" t="str">
        <f t="shared" si="19"/>
        <v/>
      </c>
      <c r="B352" s="87">
        <f>IF(D352="","",COUNTIF($D$10:D352,D352))</f>
        <v>7</v>
      </c>
      <c r="C352" s="96">
        <v>45635</v>
      </c>
      <c r="D352" s="76">
        <f t="shared" si="20"/>
        <v>12</v>
      </c>
      <c r="E352" s="77" t="s">
        <v>454</v>
      </c>
      <c r="F352" s="95">
        <v>2</v>
      </c>
      <c r="G352" s="99">
        <v>0.3263888888888889</v>
      </c>
      <c r="H352" s="91">
        <f t="shared" si="21"/>
        <v>2024</v>
      </c>
      <c r="I352" s="7" t="s">
        <v>426</v>
      </c>
      <c r="J352" s="76" t="s">
        <v>617</v>
      </c>
    </row>
    <row r="353" spans="1:10">
      <c r="A353" s="75" t="str">
        <f t="shared" si="19"/>
        <v/>
      </c>
      <c r="B353" s="87">
        <f>IF(D353="","",COUNTIF($D$10:D353,D353))</f>
        <v>8</v>
      </c>
      <c r="C353" s="96">
        <v>45636</v>
      </c>
      <c r="D353" s="76">
        <f t="shared" si="20"/>
        <v>12</v>
      </c>
      <c r="E353" s="77" t="s">
        <v>447</v>
      </c>
      <c r="F353" s="95">
        <v>2</v>
      </c>
      <c r="G353" s="99">
        <v>0.29375000000000001</v>
      </c>
      <c r="H353" s="91">
        <f t="shared" si="21"/>
        <v>2024</v>
      </c>
      <c r="I353" s="7" t="s">
        <v>426</v>
      </c>
      <c r="J353" s="76" t="s">
        <v>617</v>
      </c>
    </row>
    <row r="354" spans="1:10">
      <c r="A354" s="75" t="str">
        <f t="shared" si="19"/>
        <v/>
      </c>
      <c r="B354" s="87">
        <f>IF(D354="","",COUNTIF($D$10:D354,D354))</f>
        <v>9</v>
      </c>
      <c r="C354" s="96">
        <v>45636</v>
      </c>
      <c r="D354" s="76">
        <f t="shared" si="20"/>
        <v>12</v>
      </c>
      <c r="E354" s="77" t="s">
        <v>447</v>
      </c>
      <c r="F354" s="95">
        <v>2</v>
      </c>
      <c r="G354" s="99">
        <v>0.34027777777777773</v>
      </c>
      <c r="H354" s="91">
        <f t="shared" si="21"/>
        <v>2024</v>
      </c>
      <c r="I354" s="7" t="s">
        <v>426</v>
      </c>
      <c r="J354" s="76" t="s">
        <v>617</v>
      </c>
    </row>
    <row r="355" spans="1:10">
      <c r="A355" s="75" t="str">
        <f t="shared" si="19"/>
        <v/>
      </c>
      <c r="B355" s="87">
        <f>IF(D355="","",COUNTIF($D$10:D355,D355))</f>
        <v>10</v>
      </c>
      <c r="C355" s="96">
        <v>45637</v>
      </c>
      <c r="D355" s="76">
        <f t="shared" si="20"/>
        <v>12</v>
      </c>
      <c r="E355" s="77" t="s">
        <v>618</v>
      </c>
      <c r="F355" s="95">
        <v>4</v>
      </c>
      <c r="G355" s="99">
        <v>0.29652777777777778</v>
      </c>
      <c r="H355" s="91">
        <f t="shared" si="21"/>
        <v>2024</v>
      </c>
      <c r="I355" s="7" t="s">
        <v>426</v>
      </c>
      <c r="J355" s="76" t="s">
        <v>617</v>
      </c>
    </row>
    <row r="356" spans="1:10">
      <c r="A356" s="75" t="str">
        <f t="shared" si="19"/>
        <v/>
      </c>
      <c r="B356" s="87">
        <f>IF(D356="","",COUNTIF($D$10:D356,D356))</f>
        <v>11</v>
      </c>
      <c r="C356" s="96">
        <v>45637</v>
      </c>
      <c r="D356" s="76">
        <f t="shared" si="20"/>
        <v>12</v>
      </c>
      <c r="E356" s="77" t="s">
        <v>454</v>
      </c>
      <c r="F356" s="95">
        <v>2</v>
      </c>
      <c r="G356" s="99">
        <v>0.44791666666666669</v>
      </c>
      <c r="H356" s="91">
        <f t="shared" si="21"/>
        <v>2024</v>
      </c>
      <c r="I356" s="7" t="s">
        <v>426</v>
      </c>
      <c r="J356" s="76" t="s">
        <v>617</v>
      </c>
    </row>
    <row r="357" spans="1:10">
      <c r="A357" s="75" t="str">
        <f t="shared" si="19"/>
        <v/>
      </c>
      <c r="B357" s="87">
        <f>IF(D357="","",COUNTIF($D$10:D357,D357))</f>
        <v>12</v>
      </c>
      <c r="C357" s="96">
        <v>45637</v>
      </c>
      <c r="D357" s="76">
        <f t="shared" si="20"/>
        <v>12</v>
      </c>
      <c r="E357" s="77" t="s">
        <v>454</v>
      </c>
      <c r="F357" s="95">
        <v>2</v>
      </c>
      <c r="G357" s="99">
        <v>0.53333333333333333</v>
      </c>
      <c r="H357" s="91">
        <f t="shared" si="21"/>
        <v>2024</v>
      </c>
      <c r="I357" s="7" t="s">
        <v>426</v>
      </c>
      <c r="J357" s="76" t="s">
        <v>617</v>
      </c>
    </row>
    <row r="358" spans="1:10">
      <c r="A358" s="75" t="str">
        <f t="shared" si="19"/>
        <v/>
      </c>
      <c r="B358" s="87">
        <f>IF(D358="","",COUNTIF($D$10:D358,D358))</f>
        <v>13</v>
      </c>
      <c r="C358" s="96">
        <v>45638</v>
      </c>
      <c r="D358" s="76">
        <f t="shared" si="20"/>
        <v>12</v>
      </c>
      <c r="E358" s="77" t="s">
        <v>619</v>
      </c>
      <c r="F358" s="95">
        <v>2</v>
      </c>
      <c r="G358" s="99">
        <v>0.27638888888888891</v>
      </c>
      <c r="H358" s="91">
        <f t="shared" si="21"/>
        <v>2024</v>
      </c>
      <c r="I358" s="7" t="s">
        <v>426</v>
      </c>
      <c r="J358" s="76" t="s">
        <v>617</v>
      </c>
    </row>
    <row r="359" spans="1:10">
      <c r="A359" s="75" t="str">
        <f t="shared" si="19"/>
        <v/>
      </c>
      <c r="B359" s="87">
        <f>IF(D359="","",COUNTIF($D$10:D359,D359))</f>
        <v>14</v>
      </c>
      <c r="C359" s="96">
        <v>45638</v>
      </c>
      <c r="D359" s="76">
        <f t="shared" si="20"/>
        <v>12</v>
      </c>
      <c r="E359" s="77" t="s">
        <v>619</v>
      </c>
      <c r="F359" s="95">
        <v>2</v>
      </c>
      <c r="G359" s="99">
        <v>0.32500000000000001</v>
      </c>
      <c r="H359" s="91">
        <f t="shared" si="21"/>
        <v>2024</v>
      </c>
      <c r="I359" s="7" t="s">
        <v>426</v>
      </c>
      <c r="J359" s="76" t="s">
        <v>617</v>
      </c>
    </row>
    <row r="360" spans="1:10">
      <c r="A360" s="75" t="str">
        <f t="shared" si="19"/>
        <v/>
      </c>
      <c r="B360" s="87">
        <f>IF(D360="","",COUNTIF($D$10:D360,D360))</f>
        <v>15</v>
      </c>
      <c r="C360" s="96">
        <v>45638</v>
      </c>
      <c r="D360" s="76">
        <f t="shared" si="20"/>
        <v>12</v>
      </c>
      <c r="E360" s="77" t="s">
        <v>620</v>
      </c>
      <c r="F360" s="95">
        <v>4</v>
      </c>
      <c r="G360" s="99">
        <v>0.2722222222222222</v>
      </c>
      <c r="H360" s="91">
        <f t="shared" si="21"/>
        <v>2024</v>
      </c>
      <c r="I360" s="7" t="s">
        <v>426</v>
      </c>
      <c r="J360" s="76" t="s">
        <v>617</v>
      </c>
    </row>
    <row r="361" spans="1:10">
      <c r="A361" s="75" t="str">
        <f t="shared" si="19"/>
        <v/>
      </c>
      <c r="B361" s="87">
        <f>IF(D361="","",COUNTIF($D$10:D361,D361))</f>
        <v>16</v>
      </c>
      <c r="C361" s="96">
        <v>45639</v>
      </c>
      <c r="D361" s="76">
        <f t="shared" si="20"/>
        <v>12</v>
      </c>
      <c r="E361" s="77" t="s">
        <v>620</v>
      </c>
      <c r="F361" s="95">
        <v>4</v>
      </c>
      <c r="G361" s="99">
        <v>0.60555555555555562</v>
      </c>
      <c r="H361" s="91">
        <f t="shared" si="21"/>
        <v>2024</v>
      </c>
      <c r="I361" s="7" t="s">
        <v>426</v>
      </c>
      <c r="J361" s="76" t="s">
        <v>617</v>
      </c>
    </row>
    <row r="362" spans="1:10">
      <c r="A362" s="75" t="str">
        <f t="shared" si="19"/>
        <v/>
      </c>
      <c r="B362" s="87">
        <f>IF(D362="","",COUNTIF($D$10:D362,D362))</f>
        <v>17</v>
      </c>
      <c r="C362" s="96">
        <v>45640</v>
      </c>
      <c r="D362" s="76">
        <f t="shared" si="20"/>
        <v>12</v>
      </c>
      <c r="E362" s="77" t="s">
        <v>447</v>
      </c>
      <c r="F362" s="95">
        <v>2</v>
      </c>
      <c r="G362" s="99">
        <v>0.29930555555555555</v>
      </c>
      <c r="H362" s="91">
        <f t="shared" si="21"/>
        <v>2024</v>
      </c>
      <c r="I362" s="7" t="s">
        <v>426</v>
      </c>
      <c r="J362" s="76" t="s">
        <v>617</v>
      </c>
    </row>
    <row r="363" spans="1:10">
      <c r="A363" s="75" t="str">
        <f t="shared" si="19"/>
        <v/>
      </c>
      <c r="B363" s="87">
        <f>IF(D363="","",COUNTIF($D$10:D363,D363))</f>
        <v>18</v>
      </c>
      <c r="C363" s="96">
        <v>45640</v>
      </c>
      <c r="D363" s="76">
        <f t="shared" si="20"/>
        <v>12</v>
      </c>
      <c r="E363" s="77" t="s">
        <v>447</v>
      </c>
      <c r="F363" s="95">
        <v>2</v>
      </c>
      <c r="G363" s="99">
        <v>0.37916666666666665</v>
      </c>
      <c r="H363" s="91">
        <f t="shared" si="21"/>
        <v>2024</v>
      </c>
      <c r="I363" s="7" t="s">
        <v>426</v>
      </c>
      <c r="J363" s="76" t="s">
        <v>617</v>
      </c>
    </row>
    <row r="364" spans="1:10">
      <c r="A364" s="75" t="str">
        <f t="shared" si="19"/>
        <v/>
      </c>
      <c r="B364" s="87">
        <f>IF(D364="","",COUNTIF($D$10:D364,D364))</f>
        <v>19</v>
      </c>
      <c r="C364" s="96">
        <v>45643</v>
      </c>
      <c r="D364" s="76">
        <f t="shared" si="20"/>
        <v>12</v>
      </c>
      <c r="E364" s="77" t="s">
        <v>431</v>
      </c>
      <c r="F364" s="95">
        <v>4</v>
      </c>
      <c r="G364" s="99">
        <v>0.64583333333333337</v>
      </c>
      <c r="H364" s="91">
        <f t="shared" si="21"/>
        <v>2024</v>
      </c>
      <c r="I364" s="7" t="s">
        <v>426</v>
      </c>
      <c r="J364" s="76" t="s">
        <v>617</v>
      </c>
    </row>
    <row r="365" spans="1:10">
      <c r="A365" s="75" t="str">
        <f t="shared" si="19"/>
        <v/>
      </c>
      <c r="B365" s="87">
        <f>IF(D365="","",COUNTIF($D$10:D365,D365))</f>
        <v>20</v>
      </c>
      <c r="C365" s="96">
        <v>45644</v>
      </c>
      <c r="D365" s="76">
        <f t="shared" si="20"/>
        <v>12</v>
      </c>
      <c r="E365" s="77" t="s">
        <v>620</v>
      </c>
      <c r="F365" s="95">
        <v>4</v>
      </c>
      <c r="G365" s="99">
        <v>0.30486111111111114</v>
      </c>
      <c r="H365" s="91">
        <f t="shared" si="21"/>
        <v>2024</v>
      </c>
      <c r="I365" s="7" t="s">
        <v>426</v>
      </c>
      <c r="J365" s="76" t="s">
        <v>617</v>
      </c>
    </row>
    <row r="366" spans="1:10">
      <c r="A366" s="75" t="str">
        <f t="shared" si="19"/>
        <v/>
      </c>
      <c r="B366" s="87">
        <f>IF(D366="","",COUNTIF($D$10:D366,D366))</f>
        <v>21</v>
      </c>
      <c r="C366" s="96">
        <v>45646</v>
      </c>
      <c r="D366" s="76">
        <f t="shared" si="20"/>
        <v>12</v>
      </c>
      <c r="E366" s="77" t="s">
        <v>453</v>
      </c>
      <c r="F366" s="95">
        <v>4</v>
      </c>
      <c r="G366" s="99">
        <v>0.2722222222222222</v>
      </c>
      <c r="H366" s="91">
        <f t="shared" si="21"/>
        <v>2024</v>
      </c>
      <c r="I366" s="7" t="s">
        <v>426</v>
      </c>
      <c r="J366" s="76" t="s">
        <v>617</v>
      </c>
    </row>
    <row r="367" spans="1:10">
      <c r="A367" s="75" t="str">
        <f t="shared" si="19"/>
        <v/>
      </c>
      <c r="B367" s="87">
        <f>IF(D367="","",COUNTIF($D$10:D367,D367))</f>
        <v>22</v>
      </c>
      <c r="C367" s="96">
        <v>45647</v>
      </c>
      <c r="D367" s="76">
        <f t="shared" si="20"/>
        <v>12</v>
      </c>
      <c r="E367" s="77" t="s">
        <v>438</v>
      </c>
      <c r="F367" s="95">
        <v>4</v>
      </c>
      <c r="G367" s="99">
        <v>0.30555555555555558</v>
      </c>
      <c r="H367" s="91">
        <f t="shared" si="21"/>
        <v>2024</v>
      </c>
      <c r="I367" s="7" t="s">
        <v>426</v>
      </c>
      <c r="J367" s="76" t="s">
        <v>617</v>
      </c>
    </row>
    <row r="368" spans="1:10">
      <c r="A368" s="75" t="str">
        <f t="shared" si="19"/>
        <v/>
      </c>
      <c r="B368" s="87">
        <f>IF(D368="","",COUNTIF($D$10:D368,D368))</f>
        <v>23</v>
      </c>
      <c r="C368" s="96">
        <v>45649</v>
      </c>
      <c r="D368" s="76">
        <f t="shared" si="20"/>
        <v>12</v>
      </c>
      <c r="E368" s="77" t="s">
        <v>616</v>
      </c>
      <c r="F368" s="95">
        <v>4</v>
      </c>
      <c r="G368" s="99">
        <v>0.28472222222222221</v>
      </c>
      <c r="H368" s="91">
        <f t="shared" si="21"/>
        <v>2024</v>
      </c>
      <c r="I368" s="7" t="s">
        <v>426</v>
      </c>
      <c r="J368" s="76" t="s">
        <v>617</v>
      </c>
    </row>
    <row r="369" spans="1:10">
      <c r="A369" s="75" t="str">
        <f t="shared" si="19"/>
        <v/>
      </c>
      <c r="B369" s="87">
        <f>IF(D369="","",COUNTIF($D$10:D369,D369))</f>
        <v>24</v>
      </c>
      <c r="C369" s="96">
        <v>45650</v>
      </c>
      <c r="D369" s="76">
        <f t="shared" si="20"/>
        <v>12</v>
      </c>
      <c r="E369" s="77" t="s">
        <v>431</v>
      </c>
      <c r="F369" s="95">
        <v>4</v>
      </c>
      <c r="G369" s="99">
        <v>0.64861111111111114</v>
      </c>
      <c r="H369" s="91">
        <f t="shared" si="21"/>
        <v>2024</v>
      </c>
      <c r="I369" s="7" t="s">
        <v>426</v>
      </c>
      <c r="J369" s="76" t="s">
        <v>617</v>
      </c>
    </row>
    <row r="370" spans="1:10">
      <c r="A370" s="75" t="str">
        <f t="shared" si="19"/>
        <v/>
      </c>
      <c r="B370" s="87">
        <f>IF(D370="","",COUNTIF($D$10:D370,D370))</f>
        <v>25</v>
      </c>
      <c r="C370" s="96">
        <v>45650</v>
      </c>
      <c r="D370" s="76">
        <f t="shared" si="20"/>
        <v>12</v>
      </c>
      <c r="E370" s="77" t="s">
        <v>438</v>
      </c>
      <c r="F370" s="95">
        <v>4</v>
      </c>
      <c r="G370" s="99">
        <v>0.29930555555555555</v>
      </c>
      <c r="H370" s="91">
        <f t="shared" si="21"/>
        <v>2024</v>
      </c>
      <c r="I370" s="7" t="s">
        <v>426</v>
      </c>
      <c r="J370" s="76" t="s">
        <v>617</v>
      </c>
    </row>
    <row r="371" spans="1:10">
      <c r="A371" s="75" t="str">
        <f t="shared" si="19"/>
        <v/>
      </c>
      <c r="B371" s="87">
        <f>IF(D371="","",COUNTIF($D$10:D371,D371))</f>
        <v>26</v>
      </c>
      <c r="C371" s="96">
        <v>45651</v>
      </c>
      <c r="D371" s="76">
        <f t="shared" si="20"/>
        <v>12</v>
      </c>
      <c r="E371" s="77" t="s">
        <v>616</v>
      </c>
      <c r="F371" s="95">
        <v>4</v>
      </c>
      <c r="G371" s="99">
        <v>0.30208333333333337</v>
      </c>
      <c r="H371" s="91">
        <f t="shared" si="21"/>
        <v>2024</v>
      </c>
      <c r="I371" s="7" t="s">
        <v>426</v>
      </c>
      <c r="J371" s="76" t="s">
        <v>617</v>
      </c>
    </row>
    <row r="372" spans="1:10">
      <c r="A372" s="75" t="str">
        <f t="shared" si="19"/>
        <v/>
      </c>
      <c r="B372" s="87">
        <f>IF(D372="","",COUNTIF($D$10:D372,D372))</f>
        <v>27</v>
      </c>
      <c r="C372" s="96">
        <v>45652</v>
      </c>
      <c r="D372" s="76">
        <f t="shared" si="20"/>
        <v>12</v>
      </c>
      <c r="E372" s="77" t="s">
        <v>453</v>
      </c>
      <c r="F372" s="95">
        <v>4</v>
      </c>
      <c r="G372" s="99">
        <v>0.2673611111111111</v>
      </c>
      <c r="H372" s="91">
        <f t="shared" si="21"/>
        <v>2024</v>
      </c>
      <c r="I372" s="7" t="s">
        <v>426</v>
      </c>
      <c r="J372" s="76" t="s">
        <v>617</v>
      </c>
    </row>
    <row r="373" spans="1:10">
      <c r="A373" s="75" t="str">
        <f t="shared" si="19"/>
        <v/>
      </c>
      <c r="B373" s="87">
        <f>IF(D373="","",COUNTIF($D$10:D373,D373))</f>
        <v>28</v>
      </c>
      <c r="C373" s="96">
        <v>45653</v>
      </c>
      <c r="D373" s="76">
        <f t="shared" si="20"/>
        <v>12</v>
      </c>
      <c r="E373" s="77" t="s">
        <v>431</v>
      </c>
      <c r="F373" s="95">
        <v>4</v>
      </c>
      <c r="G373" s="99">
        <v>0.29166666666666669</v>
      </c>
      <c r="H373" s="91">
        <f t="shared" si="21"/>
        <v>2024</v>
      </c>
      <c r="I373" s="7" t="s">
        <v>426</v>
      </c>
      <c r="J373" s="76" t="s">
        <v>617</v>
      </c>
    </row>
    <row r="374" spans="1:10">
      <c r="A374" s="75" t="str">
        <f t="shared" si="19"/>
        <v/>
      </c>
      <c r="B374" s="87">
        <f>IF(D374="","",COUNTIF($D$10:D374,D374))</f>
        <v>29</v>
      </c>
      <c r="C374" s="96">
        <v>45656</v>
      </c>
      <c r="D374" s="76">
        <f t="shared" si="20"/>
        <v>12</v>
      </c>
      <c r="E374" s="77" t="s">
        <v>428</v>
      </c>
      <c r="F374" s="95">
        <v>4</v>
      </c>
      <c r="G374" s="99">
        <v>0.28125</v>
      </c>
      <c r="H374" s="91">
        <f t="shared" si="21"/>
        <v>2024</v>
      </c>
      <c r="I374" s="7" t="s">
        <v>426</v>
      </c>
      <c r="J374" s="76" t="s">
        <v>617</v>
      </c>
    </row>
    <row r="375" spans="1:10">
      <c r="A375" s="75" t="str">
        <f t="shared" si="19"/>
        <v/>
      </c>
    </row>
    <row r="376" spans="1:10">
      <c r="A376" s="75">
        <f t="shared" si="19"/>
        <v>11</v>
      </c>
      <c r="B376" s="87">
        <v>1</v>
      </c>
      <c r="C376" s="96">
        <v>45597</v>
      </c>
      <c r="D376" s="76">
        <f t="shared" ref="D376:D415" si="22">MONTH(C376)</f>
        <v>11</v>
      </c>
      <c r="E376" s="77" t="s">
        <v>428</v>
      </c>
      <c r="F376" s="95">
        <v>4</v>
      </c>
      <c r="G376" s="78" t="s">
        <v>569</v>
      </c>
      <c r="H376" s="91">
        <f t="shared" ref="H376:H415" si="23">YEAR(C376)</f>
        <v>2024</v>
      </c>
      <c r="I376" s="7" t="s">
        <v>426</v>
      </c>
      <c r="J376" s="76" t="s">
        <v>621</v>
      </c>
    </row>
    <row r="377" spans="1:10">
      <c r="A377" s="75">
        <f t="shared" si="19"/>
        <v>11</v>
      </c>
      <c r="B377" s="87">
        <v>2</v>
      </c>
      <c r="C377" s="96">
        <v>45598</v>
      </c>
      <c r="D377" s="76">
        <f t="shared" si="22"/>
        <v>11</v>
      </c>
      <c r="E377" s="77" t="s">
        <v>447</v>
      </c>
      <c r="F377" s="95">
        <v>2</v>
      </c>
      <c r="G377" s="78" t="s">
        <v>491</v>
      </c>
      <c r="H377" s="91">
        <f t="shared" si="23"/>
        <v>2024</v>
      </c>
      <c r="I377" s="7" t="s">
        <v>426</v>
      </c>
      <c r="J377" s="76" t="s">
        <v>621</v>
      </c>
    </row>
    <row r="378" spans="1:10">
      <c r="A378" s="75">
        <f t="shared" si="19"/>
        <v>11</v>
      </c>
      <c r="B378" s="87">
        <v>3</v>
      </c>
      <c r="C378" s="96">
        <v>45598</v>
      </c>
      <c r="D378" s="76">
        <f t="shared" si="22"/>
        <v>11</v>
      </c>
      <c r="E378" s="77" t="s">
        <v>449</v>
      </c>
      <c r="F378" s="95">
        <v>2</v>
      </c>
      <c r="G378" s="78" t="s">
        <v>622</v>
      </c>
      <c r="H378" s="91">
        <f t="shared" si="23"/>
        <v>2024</v>
      </c>
      <c r="I378" s="7" t="s">
        <v>426</v>
      </c>
      <c r="J378" s="76" t="s">
        <v>621</v>
      </c>
    </row>
    <row r="379" spans="1:10">
      <c r="A379" s="75">
        <f t="shared" si="19"/>
        <v>11</v>
      </c>
      <c r="B379" s="87">
        <v>4</v>
      </c>
      <c r="C379" s="96">
        <v>45600</v>
      </c>
      <c r="D379" s="76">
        <f t="shared" si="22"/>
        <v>11</v>
      </c>
      <c r="E379" s="77" t="s">
        <v>600</v>
      </c>
      <c r="F379" s="95">
        <v>4</v>
      </c>
      <c r="G379" s="78" t="s">
        <v>557</v>
      </c>
      <c r="H379" s="91">
        <f t="shared" si="23"/>
        <v>2024</v>
      </c>
      <c r="I379" s="7" t="s">
        <v>623</v>
      </c>
      <c r="J379" s="76" t="s">
        <v>621</v>
      </c>
    </row>
    <row r="380" spans="1:10">
      <c r="A380" s="75">
        <f t="shared" si="19"/>
        <v>11</v>
      </c>
      <c r="B380" s="87">
        <v>5</v>
      </c>
      <c r="C380" s="96">
        <v>45600</v>
      </c>
      <c r="D380" s="76">
        <f t="shared" si="22"/>
        <v>11</v>
      </c>
      <c r="E380" s="77" t="s">
        <v>431</v>
      </c>
      <c r="F380" s="95">
        <v>4</v>
      </c>
      <c r="G380" s="78" t="s">
        <v>624</v>
      </c>
      <c r="H380" s="91">
        <f t="shared" si="23"/>
        <v>2024</v>
      </c>
      <c r="I380" s="7" t="s">
        <v>625</v>
      </c>
      <c r="J380" s="76" t="s">
        <v>621</v>
      </c>
    </row>
    <row r="381" spans="1:10">
      <c r="A381" s="75">
        <f t="shared" si="19"/>
        <v>11</v>
      </c>
      <c r="B381" s="87">
        <v>6</v>
      </c>
      <c r="C381" s="96">
        <v>45600</v>
      </c>
      <c r="D381" s="76">
        <f t="shared" si="22"/>
        <v>11</v>
      </c>
      <c r="E381" s="77" t="s">
        <v>431</v>
      </c>
      <c r="F381" s="95">
        <v>4</v>
      </c>
      <c r="G381" s="78" t="s">
        <v>455</v>
      </c>
      <c r="H381" s="91">
        <f t="shared" si="23"/>
        <v>2024</v>
      </c>
      <c r="I381" s="7" t="s">
        <v>426</v>
      </c>
      <c r="J381" s="76" t="s">
        <v>621</v>
      </c>
    </row>
    <row r="382" spans="1:10">
      <c r="A382" s="75">
        <f t="shared" si="19"/>
        <v>11</v>
      </c>
      <c r="B382" s="87">
        <v>7</v>
      </c>
      <c r="C382" s="96">
        <v>45601</v>
      </c>
      <c r="D382" s="76">
        <f t="shared" si="22"/>
        <v>11</v>
      </c>
      <c r="E382" s="77" t="s">
        <v>600</v>
      </c>
      <c r="F382" s="95">
        <v>4</v>
      </c>
      <c r="G382" s="78" t="s">
        <v>557</v>
      </c>
      <c r="H382" s="91">
        <f t="shared" si="23"/>
        <v>2024</v>
      </c>
      <c r="I382" s="7" t="s">
        <v>426</v>
      </c>
      <c r="J382" s="76" t="s">
        <v>621</v>
      </c>
    </row>
    <row r="383" spans="1:10">
      <c r="A383" s="75">
        <f t="shared" si="19"/>
        <v>11</v>
      </c>
      <c r="B383" s="87">
        <v>8</v>
      </c>
      <c r="C383" s="96">
        <v>45602</v>
      </c>
      <c r="D383" s="76">
        <f t="shared" si="22"/>
        <v>11</v>
      </c>
      <c r="E383" s="77" t="s">
        <v>431</v>
      </c>
      <c r="F383" s="95">
        <v>4</v>
      </c>
      <c r="G383" s="78" t="s">
        <v>583</v>
      </c>
      <c r="H383" s="91">
        <f t="shared" si="23"/>
        <v>2024</v>
      </c>
      <c r="I383" s="7" t="s">
        <v>426</v>
      </c>
      <c r="J383" s="76" t="s">
        <v>621</v>
      </c>
    </row>
    <row r="384" spans="1:10">
      <c r="A384" s="75">
        <f t="shared" si="19"/>
        <v>11</v>
      </c>
      <c r="B384" s="87">
        <v>9</v>
      </c>
      <c r="C384" s="96">
        <v>45603</v>
      </c>
      <c r="D384" s="76">
        <f t="shared" si="22"/>
        <v>11</v>
      </c>
      <c r="E384" s="77" t="s">
        <v>435</v>
      </c>
      <c r="F384" s="95">
        <v>4</v>
      </c>
      <c r="G384" s="78" t="s">
        <v>437</v>
      </c>
      <c r="H384" s="91">
        <f t="shared" si="23"/>
        <v>2024</v>
      </c>
      <c r="I384" s="7" t="s">
        <v>426</v>
      </c>
      <c r="J384" s="76" t="s">
        <v>621</v>
      </c>
    </row>
    <row r="385" spans="1:10">
      <c r="A385" s="75">
        <f t="shared" si="19"/>
        <v>11</v>
      </c>
      <c r="B385" s="87">
        <v>10</v>
      </c>
      <c r="C385" s="96">
        <v>45604</v>
      </c>
      <c r="D385" s="76">
        <f t="shared" si="22"/>
        <v>11</v>
      </c>
      <c r="E385" s="77" t="s">
        <v>447</v>
      </c>
      <c r="F385" s="95">
        <v>2</v>
      </c>
      <c r="G385" s="78" t="s">
        <v>491</v>
      </c>
      <c r="H385" s="91">
        <f t="shared" si="23"/>
        <v>2024</v>
      </c>
      <c r="I385" s="7" t="s">
        <v>426</v>
      </c>
      <c r="J385" s="76" t="s">
        <v>621</v>
      </c>
    </row>
    <row r="386" spans="1:10">
      <c r="A386" s="75">
        <f t="shared" si="19"/>
        <v>11</v>
      </c>
      <c r="B386" s="87">
        <v>11</v>
      </c>
      <c r="C386" s="96">
        <v>45604</v>
      </c>
      <c r="D386" s="76">
        <f t="shared" si="22"/>
        <v>11</v>
      </c>
      <c r="E386" s="77" t="s">
        <v>447</v>
      </c>
      <c r="F386" s="95">
        <v>2</v>
      </c>
      <c r="G386" s="78" t="s">
        <v>626</v>
      </c>
      <c r="H386" s="91">
        <f t="shared" si="23"/>
        <v>2024</v>
      </c>
      <c r="I386" s="7" t="s">
        <v>426</v>
      </c>
      <c r="J386" s="76" t="s">
        <v>621</v>
      </c>
    </row>
    <row r="387" spans="1:10">
      <c r="A387" s="75">
        <f t="shared" si="19"/>
        <v>11</v>
      </c>
      <c r="B387" s="87">
        <v>12</v>
      </c>
      <c r="C387" s="96">
        <v>45605</v>
      </c>
      <c r="D387" s="76">
        <f t="shared" si="22"/>
        <v>11</v>
      </c>
      <c r="E387" s="77" t="s">
        <v>449</v>
      </c>
      <c r="F387" s="95">
        <v>2</v>
      </c>
      <c r="G387" s="78" t="s">
        <v>491</v>
      </c>
      <c r="H387" s="91">
        <f t="shared" si="23"/>
        <v>2024</v>
      </c>
      <c r="I387" s="7" t="s">
        <v>426</v>
      </c>
      <c r="J387" s="76" t="s">
        <v>621</v>
      </c>
    </row>
    <row r="388" spans="1:10">
      <c r="A388" s="75">
        <f t="shared" si="19"/>
        <v>11</v>
      </c>
      <c r="B388" s="87">
        <v>13</v>
      </c>
      <c r="C388" s="96">
        <v>45605</v>
      </c>
      <c r="D388" s="76">
        <f t="shared" si="22"/>
        <v>11</v>
      </c>
      <c r="E388" s="77" t="s">
        <v>449</v>
      </c>
      <c r="F388" s="95">
        <v>2</v>
      </c>
      <c r="G388" s="78" t="s">
        <v>627</v>
      </c>
      <c r="H388" s="91">
        <f t="shared" si="23"/>
        <v>2024</v>
      </c>
      <c r="I388" s="7" t="s">
        <v>426</v>
      </c>
      <c r="J388" s="76" t="s">
        <v>621</v>
      </c>
    </row>
    <row r="389" spans="1:10">
      <c r="A389" s="75">
        <f t="shared" si="19"/>
        <v>11</v>
      </c>
      <c r="B389" s="87">
        <v>14</v>
      </c>
      <c r="C389" s="96">
        <v>45607</v>
      </c>
      <c r="D389" s="76">
        <f t="shared" si="22"/>
        <v>11</v>
      </c>
      <c r="E389" s="77" t="s">
        <v>447</v>
      </c>
      <c r="F389" s="95">
        <v>2</v>
      </c>
      <c r="G389" s="78" t="s">
        <v>473</v>
      </c>
      <c r="H389" s="91">
        <f t="shared" si="23"/>
        <v>2024</v>
      </c>
      <c r="I389" s="7" t="s">
        <v>426</v>
      </c>
      <c r="J389" s="76" t="s">
        <v>621</v>
      </c>
    </row>
    <row r="390" spans="1:10">
      <c r="A390" s="75">
        <f t="shared" si="19"/>
        <v>11</v>
      </c>
      <c r="B390" s="87">
        <v>15</v>
      </c>
      <c r="C390" s="96">
        <v>45607</v>
      </c>
      <c r="D390" s="76">
        <f t="shared" si="22"/>
        <v>11</v>
      </c>
      <c r="E390" s="77" t="s">
        <v>447</v>
      </c>
      <c r="F390" s="95">
        <v>2</v>
      </c>
      <c r="G390" s="78" t="s">
        <v>602</v>
      </c>
      <c r="H390" s="91">
        <f t="shared" si="23"/>
        <v>2024</v>
      </c>
      <c r="I390" s="7" t="s">
        <v>426</v>
      </c>
      <c r="J390" s="76" t="s">
        <v>621</v>
      </c>
    </row>
    <row r="391" spans="1:10">
      <c r="A391" s="75">
        <f t="shared" si="19"/>
        <v>11</v>
      </c>
      <c r="B391" s="87">
        <v>16</v>
      </c>
      <c r="C391" s="96">
        <v>45608</v>
      </c>
      <c r="D391" s="76">
        <f t="shared" si="22"/>
        <v>11</v>
      </c>
      <c r="E391" s="77" t="s">
        <v>447</v>
      </c>
      <c r="F391" s="95">
        <v>2</v>
      </c>
      <c r="G391" s="78" t="s">
        <v>559</v>
      </c>
      <c r="H391" s="91">
        <f t="shared" si="23"/>
        <v>2024</v>
      </c>
      <c r="I391" s="7" t="s">
        <v>426</v>
      </c>
      <c r="J391" s="76" t="s">
        <v>621</v>
      </c>
    </row>
    <row r="392" spans="1:10">
      <c r="A392" s="75">
        <f t="shared" si="19"/>
        <v>11</v>
      </c>
      <c r="B392" s="87">
        <v>17</v>
      </c>
      <c r="C392" s="96">
        <v>45608</v>
      </c>
      <c r="D392" s="76">
        <f t="shared" si="22"/>
        <v>11</v>
      </c>
      <c r="E392" s="77" t="s">
        <v>447</v>
      </c>
      <c r="F392" s="95">
        <v>2</v>
      </c>
      <c r="G392" s="78" t="s">
        <v>628</v>
      </c>
      <c r="H392" s="91">
        <f t="shared" si="23"/>
        <v>2024</v>
      </c>
      <c r="I392" s="7" t="s">
        <v>426</v>
      </c>
      <c r="J392" s="76" t="s">
        <v>621</v>
      </c>
    </row>
    <row r="393" spans="1:10">
      <c r="A393" s="75">
        <f t="shared" si="19"/>
        <v>11</v>
      </c>
      <c r="B393" s="87">
        <v>18</v>
      </c>
      <c r="C393" s="96">
        <v>45609</v>
      </c>
      <c r="D393" s="76">
        <f t="shared" si="22"/>
        <v>11</v>
      </c>
      <c r="E393" s="77" t="s">
        <v>447</v>
      </c>
      <c r="F393" s="95">
        <v>2</v>
      </c>
      <c r="G393" s="78" t="s">
        <v>559</v>
      </c>
      <c r="H393" s="91">
        <f t="shared" si="23"/>
        <v>2024</v>
      </c>
      <c r="I393" s="7" t="s">
        <v>426</v>
      </c>
      <c r="J393" s="76" t="s">
        <v>621</v>
      </c>
    </row>
    <row r="394" spans="1:10">
      <c r="A394" s="75">
        <f t="shared" si="19"/>
        <v>11</v>
      </c>
      <c r="B394" s="87">
        <v>19</v>
      </c>
      <c r="C394" s="96">
        <v>45609</v>
      </c>
      <c r="D394" s="76">
        <f t="shared" si="22"/>
        <v>11</v>
      </c>
      <c r="E394" s="77" t="s">
        <v>449</v>
      </c>
      <c r="F394" s="95">
        <v>2</v>
      </c>
      <c r="G394" s="78" t="s">
        <v>589</v>
      </c>
      <c r="H394" s="91">
        <f t="shared" si="23"/>
        <v>2024</v>
      </c>
      <c r="I394" s="7" t="s">
        <v>426</v>
      </c>
      <c r="J394" s="76" t="s">
        <v>621</v>
      </c>
    </row>
    <row r="395" spans="1:10">
      <c r="A395" s="75">
        <f t="shared" ref="A395:A458" si="24">IF(AND($E$3="ALL",$E$4="ALL"),"ALL",IF(AND($E$3="ALL",$E$4&lt;&gt;"ALL"),IF(D395=$E$4,D395,""),IF(AND($E$3&lt;&gt;"ALL",$E$4="ALL"),IF(I395=$E$3,I395,""),"")))</f>
        <v>11</v>
      </c>
      <c r="B395" s="87">
        <v>20</v>
      </c>
      <c r="C395" s="96">
        <v>45610</v>
      </c>
      <c r="D395" s="76">
        <f t="shared" si="22"/>
        <v>11</v>
      </c>
      <c r="E395" s="77" t="s">
        <v>454</v>
      </c>
      <c r="F395" s="95">
        <v>2</v>
      </c>
      <c r="G395" s="78" t="s">
        <v>507</v>
      </c>
      <c r="H395" s="91">
        <f t="shared" si="23"/>
        <v>2024</v>
      </c>
      <c r="I395" s="7" t="s">
        <v>426</v>
      </c>
      <c r="J395" s="76" t="s">
        <v>621</v>
      </c>
    </row>
    <row r="396" spans="1:10">
      <c r="A396" s="75">
        <f t="shared" si="24"/>
        <v>11</v>
      </c>
      <c r="B396" s="87">
        <v>21</v>
      </c>
      <c r="C396" s="96">
        <v>45610</v>
      </c>
      <c r="D396" s="76">
        <f t="shared" si="22"/>
        <v>11</v>
      </c>
      <c r="E396" s="77" t="s">
        <v>447</v>
      </c>
      <c r="F396" s="95">
        <v>2</v>
      </c>
      <c r="G396" s="78" t="s">
        <v>559</v>
      </c>
      <c r="H396" s="91">
        <f t="shared" si="23"/>
        <v>2024</v>
      </c>
      <c r="I396" s="7" t="s">
        <v>426</v>
      </c>
      <c r="J396" s="76" t="s">
        <v>621</v>
      </c>
    </row>
    <row r="397" spans="1:10">
      <c r="A397" s="75">
        <f t="shared" si="24"/>
        <v>11</v>
      </c>
      <c r="B397" s="87">
        <v>22</v>
      </c>
      <c r="C397" s="96">
        <v>45611</v>
      </c>
      <c r="D397" s="76">
        <f t="shared" si="22"/>
        <v>11</v>
      </c>
      <c r="E397" s="77" t="s">
        <v>454</v>
      </c>
      <c r="F397" s="95">
        <v>2</v>
      </c>
      <c r="G397" s="78" t="s">
        <v>475</v>
      </c>
      <c r="H397" s="91">
        <f t="shared" si="23"/>
        <v>2024</v>
      </c>
      <c r="I397" s="7" t="s">
        <v>426</v>
      </c>
      <c r="J397" s="76" t="s">
        <v>621</v>
      </c>
    </row>
    <row r="398" spans="1:10">
      <c r="A398" s="75">
        <f t="shared" si="24"/>
        <v>11</v>
      </c>
      <c r="B398" s="87">
        <v>23</v>
      </c>
      <c r="C398" s="96">
        <v>45611</v>
      </c>
      <c r="D398" s="76">
        <f t="shared" si="22"/>
        <v>11</v>
      </c>
      <c r="E398" s="77" t="s">
        <v>454</v>
      </c>
      <c r="F398" s="95">
        <v>2</v>
      </c>
      <c r="G398" s="78" t="s">
        <v>575</v>
      </c>
      <c r="H398" s="91">
        <f t="shared" si="23"/>
        <v>2024</v>
      </c>
      <c r="I398" s="7" t="s">
        <v>426</v>
      </c>
      <c r="J398" s="76" t="s">
        <v>621</v>
      </c>
    </row>
    <row r="399" spans="1:10">
      <c r="A399" s="75">
        <f t="shared" si="24"/>
        <v>11</v>
      </c>
      <c r="B399" s="87">
        <v>24</v>
      </c>
      <c r="C399" s="96">
        <v>45612</v>
      </c>
      <c r="D399" s="76">
        <f t="shared" si="22"/>
        <v>11</v>
      </c>
      <c r="E399" s="77" t="s">
        <v>449</v>
      </c>
      <c r="F399" s="95">
        <v>2</v>
      </c>
      <c r="G399" s="78" t="s">
        <v>549</v>
      </c>
      <c r="H399" s="91">
        <f t="shared" si="23"/>
        <v>2024</v>
      </c>
      <c r="I399" s="7" t="s">
        <v>426</v>
      </c>
      <c r="J399" s="76" t="s">
        <v>621</v>
      </c>
    </row>
    <row r="400" spans="1:10">
      <c r="A400" s="75">
        <f t="shared" si="24"/>
        <v>11</v>
      </c>
      <c r="B400" s="87">
        <v>25</v>
      </c>
      <c r="C400" s="96">
        <v>45612</v>
      </c>
      <c r="D400" s="76">
        <f t="shared" si="22"/>
        <v>11</v>
      </c>
      <c r="E400" s="77" t="s">
        <v>449</v>
      </c>
      <c r="F400" s="95">
        <v>2</v>
      </c>
      <c r="G400" s="78" t="s">
        <v>470</v>
      </c>
      <c r="H400" s="91">
        <f t="shared" si="23"/>
        <v>2024</v>
      </c>
      <c r="I400" s="7" t="s">
        <v>426</v>
      </c>
      <c r="J400" s="76" t="s">
        <v>621</v>
      </c>
    </row>
    <row r="401" spans="1:10">
      <c r="A401" s="75">
        <f t="shared" si="24"/>
        <v>11</v>
      </c>
      <c r="B401" s="87">
        <v>26</v>
      </c>
      <c r="C401" s="96">
        <v>45614</v>
      </c>
      <c r="D401" s="76">
        <f t="shared" si="22"/>
        <v>11</v>
      </c>
      <c r="E401" s="77" t="s">
        <v>449</v>
      </c>
      <c r="F401" s="95">
        <v>2</v>
      </c>
      <c r="G401" s="78" t="s">
        <v>482</v>
      </c>
      <c r="H401" s="91">
        <f t="shared" si="23"/>
        <v>2024</v>
      </c>
      <c r="I401" s="7" t="s">
        <v>426</v>
      </c>
      <c r="J401" s="76" t="s">
        <v>621</v>
      </c>
    </row>
    <row r="402" spans="1:10">
      <c r="A402" s="75">
        <f t="shared" si="24"/>
        <v>11</v>
      </c>
      <c r="B402" s="87">
        <v>27</v>
      </c>
      <c r="C402" s="96">
        <v>45614</v>
      </c>
      <c r="D402" s="76">
        <f t="shared" si="22"/>
        <v>11</v>
      </c>
      <c r="E402" s="77" t="s">
        <v>454</v>
      </c>
      <c r="F402" s="95">
        <v>2</v>
      </c>
      <c r="G402" s="78" t="s">
        <v>512</v>
      </c>
      <c r="H402" s="91">
        <f t="shared" si="23"/>
        <v>2024</v>
      </c>
      <c r="I402" s="7" t="s">
        <v>426</v>
      </c>
      <c r="J402" s="76" t="s">
        <v>621</v>
      </c>
    </row>
    <row r="403" spans="1:10">
      <c r="A403" s="75">
        <f t="shared" si="24"/>
        <v>11</v>
      </c>
      <c r="B403" s="87">
        <v>28</v>
      </c>
      <c r="C403" s="96">
        <v>45614</v>
      </c>
      <c r="D403" s="76">
        <f t="shared" si="22"/>
        <v>11</v>
      </c>
      <c r="E403" s="77" t="s">
        <v>428</v>
      </c>
      <c r="F403" s="95">
        <v>4</v>
      </c>
      <c r="G403" s="78" t="s">
        <v>629</v>
      </c>
      <c r="H403" s="91">
        <f t="shared" si="23"/>
        <v>2024</v>
      </c>
      <c r="I403" s="7" t="s">
        <v>426</v>
      </c>
      <c r="J403" s="76" t="s">
        <v>621</v>
      </c>
    </row>
    <row r="404" spans="1:10">
      <c r="A404" s="75">
        <f t="shared" si="24"/>
        <v>11</v>
      </c>
      <c r="B404" s="87">
        <v>29</v>
      </c>
      <c r="C404" s="96">
        <v>45615</v>
      </c>
      <c r="D404" s="76">
        <f t="shared" si="22"/>
        <v>11</v>
      </c>
      <c r="E404" s="77" t="s">
        <v>447</v>
      </c>
      <c r="F404" s="95">
        <v>2</v>
      </c>
      <c r="G404" s="78" t="s">
        <v>442</v>
      </c>
      <c r="H404" s="91">
        <f t="shared" si="23"/>
        <v>2024</v>
      </c>
      <c r="I404" s="7" t="s">
        <v>426</v>
      </c>
      <c r="J404" s="76" t="s">
        <v>621</v>
      </c>
    </row>
    <row r="405" spans="1:10">
      <c r="A405" s="75">
        <f t="shared" si="24"/>
        <v>11</v>
      </c>
      <c r="B405" s="87">
        <v>30</v>
      </c>
      <c r="C405" s="96">
        <v>45615</v>
      </c>
      <c r="D405" s="76">
        <f t="shared" si="22"/>
        <v>11</v>
      </c>
      <c r="E405" s="77" t="s">
        <v>447</v>
      </c>
      <c r="F405" s="95">
        <v>2</v>
      </c>
      <c r="G405" s="78" t="s">
        <v>628</v>
      </c>
      <c r="H405" s="91">
        <f t="shared" si="23"/>
        <v>2024</v>
      </c>
      <c r="I405" s="7" t="s">
        <v>426</v>
      </c>
      <c r="J405" s="76" t="s">
        <v>621</v>
      </c>
    </row>
    <row r="406" spans="1:10">
      <c r="A406" s="75">
        <f t="shared" si="24"/>
        <v>11</v>
      </c>
      <c r="B406" s="87">
        <v>31</v>
      </c>
      <c r="C406" s="96">
        <v>45616</v>
      </c>
      <c r="D406" s="76">
        <f t="shared" si="22"/>
        <v>11</v>
      </c>
      <c r="E406" s="77" t="s">
        <v>453</v>
      </c>
      <c r="F406" s="95">
        <v>4</v>
      </c>
      <c r="G406" s="78" t="s">
        <v>630</v>
      </c>
      <c r="H406" s="91">
        <f t="shared" si="23"/>
        <v>2024</v>
      </c>
      <c r="I406" s="7" t="s">
        <v>426</v>
      </c>
      <c r="J406" s="76" t="s">
        <v>621</v>
      </c>
    </row>
    <row r="407" spans="1:10">
      <c r="A407" s="75">
        <f t="shared" si="24"/>
        <v>11</v>
      </c>
      <c r="B407" s="87">
        <v>32</v>
      </c>
      <c r="C407" s="96">
        <v>45617</v>
      </c>
      <c r="D407" s="76">
        <f t="shared" si="22"/>
        <v>11</v>
      </c>
      <c r="E407" s="77" t="s">
        <v>438</v>
      </c>
      <c r="F407" s="95">
        <v>4</v>
      </c>
      <c r="G407" s="78" t="s">
        <v>425</v>
      </c>
      <c r="H407" s="91">
        <f t="shared" si="23"/>
        <v>2024</v>
      </c>
      <c r="I407" s="7" t="s">
        <v>426</v>
      </c>
      <c r="J407" s="76" t="s">
        <v>621</v>
      </c>
    </row>
    <row r="408" spans="1:10">
      <c r="A408" s="75">
        <f t="shared" si="24"/>
        <v>11</v>
      </c>
      <c r="B408" s="87">
        <v>33</v>
      </c>
      <c r="C408" s="96">
        <v>45618</v>
      </c>
      <c r="D408" s="76">
        <f t="shared" si="22"/>
        <v>11</v>
      </c>
      <c r="E408" s="77" t="s">
        <v>492</v>
      </c>
      <c r="F408" s="95">
        <v>4</v>
      </c>
      <c r="G408" s="78" t="s">
        <v>473</v>
      </c>
      <c r="H408" s="91">
        <f t="shared" si="23"/>
        <v>2024</v>
      </c>
      <c r="I408" s="7" t="s">
        <v>426</v>
      </c>
      <c r="J408" s="76" t="s">
        <v>621</v>
      </c>
    </row>
    <row r="409" spans="1:10">
      <c r="A409" s="75">
        <f t="shared" si="24"/>
        <v>11</v>
      </c>
      <c r="B409" s="87">
        <v>34</v>
      </c>
      <c r="C409" s="96">
        <v>45619</v>
      </c>
      <c r="D409" s="76">
        <f t="shared" si="22"/>
        <v>11</v>
      </c>
      <c r="E409" s="77" t="s">
        <v>428</v>
      </c>
      <c r="F409" s="95">
        <v>4</v>
      </c>
      <c r="G409" s="78" t="s">
        <v>430</v>
      </c>
      <c r="H409" s="91">
        <f t="shared" si="23"/>
        <v>2024</v>
      </c>
      <c r="I409" s="7" t="s">
        <v>426</v>
      </c>
      <c r="J409" s="76" t="s">
        <v>621</v>
      </c>
    </row>
    <row r="410" spans="1:10">
      <c r="A410" s="75">
        <f t="shared" si="24"/>
        <v>11</v>
      </c>
      <c r="B410" s="87">
        <v>35</v>
      </c>
      <c r="C410" s="96">
        <v>45621</v>
      </c>
      <c r="D410" s="76">
        <f t="shared" si="22"/>
        <v>11</v>
      </c>
      <c r="E410" s="77" t="s">
        <v>438</v>
      </c>
      <c r="F410" s="95">
        <v>4</v>
      </c>
      <c r="G410" s="78" t="s">
        <v>563</v>
      </c>
      <c r="H410" s="91">
        <f t="shared" si="23"/>
        <v>2024</v>
      </c>
      <c r="I410" s="7" t="s">
        <v>426</v>
      </c>
      <c r="J410" s="76" t="s">
        <v>621</v>
      </c>
    </row>
    <row r="411" spans="1:10">
      <c r="A411" s="75">
        <f t="shared" si="24"/>
        <v>11</v>
      </c>
      <c r="B411" s="87">
        <v>36</v>
      </c>
      <c r="C411" s="96">
        <v>45622</v>
      </c>
      <c r="D411" s="76">
        <f t="shared" si="22"/>
        <v>11</v>
      </c>
      <c r="E411" s="77" t="s">
        <v>453</v>
      </c>
      <c r="F411" s="95">
        <v>4</v>
      </c>
      <c r="G411" s="78" t="s">
        <v>631</v>
      </c>
      <c r="H411" s="91">
        <f t="shared" si="23"/>
        <v>2024</v>
      </c>
      <c r="I411" s="7" t="s">
        <v>426</v>
      </c>
      <c r="J411" s="76" t="s">
        <v>621</v>
      </c>
    </row>
    <row r="412" spans="1:10">
      <c r="A412" s="75">
        <f t="shared" si="24"/>
        <v>11</v>
      </c>
      <c r="B412" s="87">
        <v>37</v>
      </c>
      <c r="C412" s="96">
        <v>45624</v>
      </c>
      <c r="D412" s="76">
        <f t="shared" si="22"/>
        <v>11</v>
      </c>
      <c r="E412" s="77" t="s">
        <v>431</v>
      </c>
      <c r="F412" s="95">
        <v>4</v>
      </c>
      <c r="G412" s="78" t="s">
        <v>632</v>
      </c>
      <c r="H412" s="91">
        <f t="shared" si="23"/>
        <v>2024</v>
      </c>
      <c r="I412" s="7" t="s">
        <v>426</v>
      </c>
      <c r="J412" s="76" t="s">
        <v>621</v>
      </c>
    </row>
    <row r="413" spans="1:10">
      <c r="A413" s="75">
        <f t="shared" si="24"/>
        <v>11</v>
      </c>
      <c r="B413" s="87">
        <v>38</v>
      </c>
      <c r="C413" s="96">
        <v>45624</v>
      </c>
      <c r="D413" s="76">
        <f t="shared" si="22"/>
        <v>11</v>
      </c>
      <c r="E413" s="77" t="s">
        <v>428</v>
      </c>
      <c r="F413" s="95">
        <v>4</v>
      </c>
      <c r="G413" s="78" t="s">
        <v>590</v>
      </c>
      <c r="H413" s="91">
        <f t="shared" si="23"/>
        <v>2024</v>
      </c>
      <c r="I413" s="7" t="s">
        <v>426</v>
      </c>
      <c r="J413" s="76" t="s">
        <v>621</v>
      </c>
    </row>
    <row r="414" spans="1:10">
      <c r="A414" s="75">
        <f t="shared" si="24"/>
        <v>11</v>
      </c>
      <c r="B414" s="87">
        <v>39</v>
      </c>
      <c r="C414" s="96">
        <v>45626</v>
      </c>
      <c r="D414" s="76">
        <f t="shared" si="22"/>
        <v>11</v>
      </c>
      <c r="E414" s="77" t="s">
        <v>431</v>
      </c>
      <c r="F414" s="95">
        <v>4</v>
      </c>
      <c r="G414" s="78" t="s">
        <v>446</v>
      </c>
      <c r="H414" s="91">
        <f t="shared" si="23"/>
        <v>2024</v>
      </c>
      <c r="I414" s="7" t="s">
        <v>426</v>
      </c>
      <c r="J414" s="76" t="s">
        <v>621</v>
      </c>
    </row>
    <row r="415" spans="1:10">
      <c r="A415" s="75">
        <f t="shared" si="24"/>
        <v>11</v>
      </c>
      <c r="B415" s="87">
        <v>40</v>
      </c>
      <c r="C415" s="96">
        <v>45626</v>
      </c>
      <c r="D415" s="76">
        <f t="shared" si="22"/>
        <v>11</v>
      </c>
      <c r="E415" s="77" t="s">
        <v>438</v>
      </c>
      <c r="F415" s="95">
        <v>4</v>
      </c>
      <c r="G415" s="78" t="s">
        <v>633</v>
      </c>
      <c r="H415" s="91">
        <f t="shared" si="23"/>
        <v>2024</v>
      </c>
      <c r="I415" s="7" t="s">
        <v>426</v>
      </c>
      <c r="J415" s="76" t="s">
        <v>621</v>
      </c>
    </row>
    <row r="416" spans="1:10">
      <c r="A416" s="75" t="str">
        <f t="shared" si="24"/>
        <v/>
      </c>
    </row>
    <row r="417" spans="1:10">
      <c r="A417" s="75" t="str">
        <f t="shared" si="24"/>
        <v/>
      </c>
      <c r="B417" s="87">
        <v>1</v>
      </c>
      <c r="C417" s="96">
        <v>45566</v>
      </c>
      <c r="D417" s="76">
        <f t="shared" ref="D417:D459" si="25">MONTH(C417)</f>
        <v>10</v>
      </c>
      <c r="E417" s="77" t="s">
        <v>435</v>
      </c>
      <c r="F417" s="95">
        <v>4</v>
      </c>
      <c r="G417" s="78" t="s">
        <v>559</v>
      </c>
      <c r="H417" s="91">
        <f t="shared" ref="H417:H459" si="26">YEAR(C417)</f>
        <v>2024</v>
      </c>
      <c r="I417" s="7" t="s">
        <v>426</v>
      </c>
      <c r="J417" s="76" t="s">
        <v>634</v>
      </c>
    </row>
    <row r="418" spans="1:10">
      <c r="A418" s="75" t="str">
        <f t="shared" si="24"/>
        <v/>
      </c>
      <c r="B418" s="87">
        <v>2</v>
      </c>
      <c r="C418" s="96">
        <v>45566</v>
      </c>
      <c r="D418" s="76">
        <f t="shared" si="25"/>
        <v>10</v>
      </c>
      <c r="E418" s="77" t="s">
        <v>438</v>
      </c>
      <c r="F418" s="95">
        <v>4</v>
      </c>
      <c r="G418" s="78" t="s">
        <v>635</v>
      </c>
      <c r="H418" s="91">
        <f t="shared" si="26"/>
        <v>2024</v>
      </c>
      <c r="I418" s="7" t="s">
        <v>426</v>
      </c>
      <c r="J418" s="76" t="s">
        <v>634</v>
      </c>
    </row>
    <row r="419" spans="1:10">
      <c r="A419" s="75" t="str">
        <f t="shared" si="24"/>
        <v/>
      </c>
      <c r="B419" s="87">
        <v>3</v>
      </c>
      <c r="C419" s="96">
        <v>45567</v>
      </c>
      <c r="D419" s="76">
        <f t="shared" si="25"/>
        <v>10</v>
      </c>
      <c r="E419" s="77" t="s">
        <v>431</v>
      </c>
      <c r="F419" s="95">
        <v>4</v>
      </c>
      <c r="G419" s="78" t="s">
        <v>636</v>
      </c>
      <c r="H419" s="91">
        <f t="shared" si="26"/>
        <v>2024</v>
      </c>
      <c r="I419" s="7" t="s">
        <v>623</v>
      </c>
      <c r="J419" s="76" t="s">
        <v>634</v>
      </c>
    </row>
    <row r="420" spans="1:10">
      <c r="A420" s="75" t="str">
        <f t="shared" si="24"/>
        <v/>
      </c>
      <c r="B420" s="87">
        <v>4</v>
      </c>
      <c r="C420" s="96">
        <v>45567</v>
      </c>
      <c r="D420" s="76">
        <f t="shared" si="25"/>
        <v>10</v>
      </c>
      <c r="E420" s="77" t="s">
        <v>428</v>
      </c>
      <c r="F420" s="95">
        <v>4</v>
      </c>
      <c r="G420" s="78" t="s">
        <v>569</v>
      </c>
      <c r="H420" s="91">
        <f t="shared" si="26"/>
        <v>2024</v>
      </c>
      <c r="I420" s="7" t="s">
        <v>623</v>
      </c>
      <c r="J420" s="76" t="s">
        <v>634</v>
      </c>
    </row>
    <row r="421" spans="1:10">
      <c r="A421" s="75" t="str">
        <f t="shared" si="24"/>
        <v/>
      </c>
      <c r="B421" s="87">
        <v>5</v>
      </c>
      <c r="C421" s="96">
        <v>45567</v>
      </c>
      <c r="D421" s="76">
        <f t="shared" si="25"/>
        <v>10</v>
      </c>
      <c r="E421" s="77" t="s">
        <v>447</v>
      </c>
      <c r="F421" s="95">
        <v>2</v>
      </c>
      <c r="G421" s="78" t="s">
        <v>491</v>
      </c>
      <c r="H421" s="91">
        <f t="shared" si="26"/>
        <v>2024</v>
      </c>
      <c r="I421" s="7" t="s">
        <v>426</v>
      </c>
      <c r="J421" s="76" t="s">
        <v>634</v>
      </c>
    </row>
    <row r="422" spans="1:10">
      <c r="A422" s="75" t="str">
        <f t="shared" si="24"/>
        <v/>
      </c>
      <c r="B422" s="87">
        <v>6</v>
      </c>
      <c r="C422" s="96">
        <v>45567</v>
      </c>
      <c r="D422" s="76">
        <f t="shared" si="25"/>
        <v>10</v>
      </c>
      <c r="E422" s="77" t="s">
        <v>447</v>
      </c>
      <c r="F422" s="95">
        <v>2</v>
      </c>
      <c r="G422" s="78" t="s">
        <v>588</v>
      </c>
      <c r="H422" s="91">
        <f t="shared" si="26"/>
        <v>2024</v>
      </c>
      <c r="I422" s="7" t="s">
        <v>426</v>
      </c>
      <c r="J422" s="76" t="s">
        <v>634</v>
      </c>
    </row>
    <row r="423" spans="1:10">
      <c r="A423" s="75" t="str">
        <f t="shared" si="24"/>
        <v/>
      </c>
      <c r="B423" s="87">
        <v>7</v>
      </c>
      <c r="C423" s="96">
        <v>45568</v>
      </c>
      <c r="D423" s="76">
        <f t="shared" si="25"/>
        <v>10</v>
      </c>
      <c r="E423" s="77" t="s">
        <v>449</v>
      </c>
      <c r="F423" s="95">
        <v>2</v>
      </c>
      <c r="G423" s="78" t="s">
        <v>622</v>
      </c>
      <c r="H423" s="91">
        <f t="shared" si="26"/>
        <v>2024</v>
      </c>
      <c r="I423" s="7" t="s">
        <v>426</v>
      </c>
      <c r="J423" s="76" t="s">
        <v>634</v>
      </c>
    </row>
    <row r="424" spans="1:10">
      <c r="A424" s="75" t="str">
        <f t="shared" si="24"/>
        <v/>
      </c>
      <c r="B424" s="87">
        <v>8</v>
      </c>
      <c r="C424" s="96">
        <v>45568</v>
      </c>
      <c r="D424" s="76">
        <f t="shared" si="25"/>
        <v>10</v>
      </c>
      <c r="E424" s="77" t="s">
        <v>449</v>
      </c>
      <c r="F424" s="95">
        <v>2</v>
      </c>
      <c r="G424" s="78" t="s">
        <v>482</v>
      </c>
      <c r="H424" s="91">
        <f t="shared" si="26"/>
        <v>2024</v>
      </c>
      <c r="I424" s="7" t="s">
        <v>426</v>
      </c>
      <c r="J424" s="76" t="s">
        <v>634</v>
      </c>
    </row>
    <row r="425" spans="1:10">
      <c r="A425" s="75" t="str">
        <f t="shared" si="24"/>
        <v/>
      </c>
      <c r="B425" s="87">
        <v>9</v>
      </c>
      <c r="C425" s="96">
        <v>45569</v>
      </c>
      <c r="D425" s="76">
        <f t="shared" si="25"/>
        <v>10</v>
      </c>
      <c r="E425" s="77" t="s">
        <v>453</v>
      </c>
      <c r="F425" s="95">
        <v>4</v>
      </c>
      <c r="G425" s="78" t="s">
        <v>637</v>
      </c>
      <c r="H425" s="91">
        <f t="shared" si="26"/>
        <v>2024</v>
      </c>
      <c r="I425" s="7" t="s">
        <v>426</v>
      </c>
      <c r="J425" s="76" t="s">
        <v>634</v>
      </c>
    </row>
    <row r="426" spans="1:10">
      <c r="A426" s="75" t="str">
        <f t="shared" si="24"/>
        <v/>
      </c>
      <c r="B426" s="87">
        <v>10</v>
      </c>
      <c r="C426" s="96">
        <v>45570</v>
      </c>
      <c r="D426" s="76">
        <f t="shared" si="25"/>
        <v>10</v>
      </c>
      <c r="E426" s="77" t="s">
        <v>447</v>
      </c>
      <c r="F426" s="95">
        <v>2</v>
      </c>
      <c r="G426" s="78" t="s">
        <v>506</v>
      </c>
      <c r="H426" s="91">
        <f t="shared" si="26"/>
        <v>2024</v>
      </c>
      <c r="I426" s="7" t="s">
        <v>426</v>
      </c>
      <c r="J426" s="76" t="s">
        <v>634</v>
      </c>
    </row>
    <row r="427" spans="1:10">
      <c r="A427" s="75" t="str">
        <f t="shared" si="24"/>
        <v/>
      </c>
      <c r="B427" s="87">
        <v>11</v>
      </c>
      <c r="C427" s="96">
        <v>45570</v>
      </c>
      <c r="D427" s="76">
        <f t="shared" si="25"/>
        <v>10</v>
      </c>
      <c r="E427" s="77" t="s">
        <v>447</v>
      </c>
      <c r="F427" s="95">
        <v>2</v>
      </c>
      <c r="G427" s="78" t="s">
        <v>441</v>
      </c>
      <c r="H427" s="91">
        <f t="shared" si="26"/>
        <v>2024</v>
      </c>
      <c r="I427" s="7" t="s">
        <v>426</v>
      </c>
      <c r="J427" s="76" t="s">
        <v>634</v>
      </c>
    </row>
    <row r="428" spans="1:10">
      <c r="A428" s="75" t="str">
        <f t="shared" si="24"/>
        <v/>
      </c>
      <c r="B428" s="87">
        <v>12</v>
      </c>
      <c r="C428" s="96">
        <v>45572</v>
      </c>
      <c r="D428" s="76">
        <f t="shared" si="25"/>
        <v>10</v>
      </c>
      <c r="E428" s="77" t="s">
        <v>447</v>
      </c>
      <c r="F428" s="95">
        <v>2</v>
      </c>
      <c r="G428" s="78" t="s">
        <v>569</v>
      </c>
      <c r="H428" s="91">
        <f t="shared" si="26"/>
        <v>2024</v>
      </c>
      <c r="I428" s="7" t="s">
        <v>426</v>
      </c>
      <c r="J428" s="76" t="s">
        <v>634</v>
      </c>
    </row>
    <row r="429" spans="1:10">
      <c r="A429" s="75" t="str">
        <f t="shared" si="24"/>
        <v/>
      </c>
      <c r="B429" s="87">
        <v>13</v>
      </c>
      <c r="C429" s="96">
        <v>45572</v>
      </c>
      <c r="D429" s="76">
        <f t="shared" si="25"/>
        <v>10</v>
      </c>
      <c r="E429" s="77" t="s">
        <v>449</v>
      </c>
      <c r="F429" s="95">
        <v>2</v>
      </c>
      <c r="G429" s="78" t="s">
        <v>482</v>
      </c>
      <c r="H429" s="91">
        <f t="shared" si="26"/>
        <v>2024</v>
      </c>
      <c r="I429" s="7" t="s">
        <v>426</v>
      </c>
      <c r="J429" s="76" t="s">
        <v>634</v>
      </c>
    </row>
    <row r="430" spans="1:10">
      <c r="A430" s="75" t="str">
        <f t="shared" si="24"/>
        <v/>
      </c>
      <c r="B430" s="87">
        <v>14</v>
      </c>
      <c r="C430" s="96">
        <v>45573</v>
      </c>
      <c r="D430" s="76">
        <f t="shared" si="25"/>
        <v>10</v>
      </c>
      <c r="E430" s="77" t="s">
        <v>447</v>
      </c>
      <c r="F430" s="95">
        <v>2</v>
      </c>
      <c r="G430" s="78" t="s">
        <v>562</v>
      </c>
      <c r="H430" s="91">
        <f t="shared" si="26"/>
        <v>2024</v>
      </c>
      <c r="I430" s="7" t="s">
        <v>426</v>
      </c>
      <c r="J430" s="76" t="s">
        <v>634</v>
      </c>
    </row>
    <row r="431" spans="1:10">
      <c r="A431" s="75" t="str">
        <f t="shared" si="24"/>
        <v/>
      </c>
      <c r="B431" s="87">
        <v>15</v>
      </c>
      <c r="C431" s="96">
        <v>45573</v>
      </c>
      <c r="D431" s="76">
        <f t="shared" si="25"/>
        <v>10</v>
      </c>
      <c r="E431" s="77" t="s">
        <v>449</v>
      </c>
      <c r="F431" s="95">
        <v>2</v>
      </c>
      <c r="G431" s="78" t="s">
        <v>482</v>
      </c>
      <c r="H431" s="91">
        <f t="shared" si="26"/>
        <v>2024</v>
      </c>
      <c r="I431" s="7" t="s">
        <v>426</v>
      </c>
      <c r="J431" s="76" t="s">
        <v>634</v>
      </c>
    </row>
    <row r="432" spans="1:10">
      <c r="A432" s="75" t="str">
        <f t="shared" si="24"/>
        <v/>
      </c>
      <c r="B432" s="87">
        <v>16</v>
      </c>
      <c r="C432" s="96">
        <v>45576</v>
      </c>
      <c r="D432" s="76">
        <f t="shared" si="25"/>
        <v>10</v>
      </c>
      <c r="E432" s="77" t="s">
        <v>431</v>
      </c>
      <c r="F432" s="95">
        <v>4</v>
      </c>
      <c r="G432" s="78" t="s">
        <v>437</v>
      </c>
      <c r="H432" s="91">
        <f t="shared" si="26"/>
        <v>2024</v>
      </c>
      <c r="I432" s="7" t="s">
        <v>426</v>
      </c>
      <c r="J432" s="76" t="s">
        <v>634</v>
      </c>
    </row>
    <row r="433" spans="1:10">
      <c r="A433" s="75" t="str">
        <f t="shared" si="24"/>
        <v/>
      </c>
      <c r="B433" s="87">
        <v>17</v>
      </c>
      <c r="C433" s="96">
        <v>45576</v>
      </c>
      <c r="D433" s="76">
        <f t="shared" si="25"/>
        <v>10</v>
      </c>
      <c r="E433" s="77" t="s">
        <v>453</v>
      </c>
      <c r="F433" s="95">
        <v>4</v>
      </c>
      <c r="G433" s="78" t="s">
        <v>465</v>
      </c>
      <c r="H433" s="91">
        <f t="shared" si="26"/>
        <v>2024</v>
      </c>
      <c r="I433" s="7" t="s">
        <v>426</v>
      </c>
      <c r="J433" s="76" t="s">
        <v>634</v>
      </c>
    </row>
    <row r="434" spans="1:10">
      <c r="A434" s="75" t="str">
        <f t="shared" si="24"/>
        <v/>
      </c>
      <c r="B434" s="87">
        <v>18</v>
      </c>
      <c r="C434" s="96">
        <v>45577</v>
      </c>
      <c r="D434" s="76">
        <f t="shared" si="25"/>
        <v>10</v>
      </c>
      <c r="E434" s="77" t="s">
        <v>435</v>
      </c>
      <c r="F434" s="95">
        <v>4</v>
      </c>
      <c r="G434" s="78" t="s">
        <v>638</v>
      </c>
      <c r="H434" s="91">
        <f t="shared" si="26"/>
        <v>2024</v>
      </c>
      <c r="I434" s="7" t="s">
        <v>426</v>
      </c>
      <c r="J434" s="76" t="s">
        <v>634</v>
      </c>
    </row>
    <row r="435" spans="1:10">
      <c r="A435" s="75" t="str">
        <f t="shared" si="24"/>
        <v/>
      </c>
      <c r="B435" s="87">
        <v>19</v>
      </c>
      <c r="C435" s="96">
        <v>45579</v>
      </c>
      <c r="D435" s="76">
        <f t="shared" si="25"/>
        <v>10</v>
      </c>
      <c r="E435" s="77" t="s">
        <v>454</v>
      </c>
      <c r="F435" s="95">
        <v>2</v>
      </c>
      <c r="G435" s="78" t="s">
        <v>507</v>
      </c>
      <c r="H435" s="91">
        <f t="shared" si="26"/>
        <v>2024</v>
      </c>
      <c r="I435" s="7" t="s">
        <v>426</v>
      </c>
      <c r="J435" s="76" t="s">
        <v>634</v>
      </c>
    </row>
    <row r="436" spans="1:10">
      <c r="A436" s="75" t="str">
        <f t="shared" si="24"/>
        <v/>
      </c>
      <c r="B436" s="87">
        <v>20</v>
      </c>
      <c r="C436" s="96">
        <v>45579</v>
      </c>
      <c r="D436" s="76">
        <f t="shared" si="25"/>
        <v>10</v>
      </c>
      <c r="E436" s="77" t="s">
        <v>454</v>
      </c>
      <c r="F436" s="95">
        <v>2</v>
      </c>
      <c r="G436" s="78" t="s">
        <v>475</v>
      </c>
      <c r="H436" s="91">
        <f t="shared" si="26"/>
        <v>2024</v>
      </c>
      <c r="I436" s="7" t="s">
        <v>426</v>
      </c>
      <c r="J436" s="76" t="s">
        <v>634</v>
      </c>
    </row>
    <row r="437" spans="1:10">
      <c r="A437" s="75" t="str">
        <f t="shared" si="24"/>
        <v/>
      </c>
      <c r="B437" s="87">
        <v>21</v>
      </c>
      <c r="C437" s="96">
        <v>45580</v>
      </c>
      <c r="D437" s="76">
        <f t="shared" si="25"/>
        <v>10</v>
      </c>
      <c r="E437" s="77" t="s">
        <v>447</v>
      </c>
      <c r="F437" s="95">
        <v>2</v>
      </c>
      <c r="G437" s="78" t="s">
        <v>549</v>
      </c>
      <c r="H437" s="91">
        <f t="shared" si="26"/>
        <v>2024</v>
      </c>
      <c r="I437" s="7" t="s">
        <v>426</v>
      </c>
      <c r="J437" s="76" t="s">
        <v>634</v>
      </c>
    </row>
    <row r="438" spans="1:10">
      <c r="A438" s="75" t="str">
        <f t="shared" si="24"/>
        <v/>
      </c>
      <c r="B438" s="87">
        <v>22</v>
      </c>
      <c r="C438" s="96">
        <v>45580</v>
      </c>
      <c r="D438" s="76">
        <f t="shared" si="25"/>
        <v>10</v>
      </c>
      <c r="E438" s="77" t="s">
        <v>447</v>
      </c>
      <c r="F438" s="95">
        <v>2</v>
      </c>
      <c r="G438" s="78" t="s">
        <v>590</v>
      </c>
      <c r="H438" s="91">
        <f t="shared" si="26"/>
        <v>2024</v>
      </c>
      <c r="I438" s="7" t="s">
        <v>426</v>
      </c>
      <c r="J438" s="76" t="s">
        <v>634</v>
      </c>
    </row>
    <row r="439" spans="1:10">
      <c r="A439" s="75" t="str">
        <f t="shared" si="24"/>
        <v/>
      </c>
      <c r="B439" s="87">
        <v>23</v>
      </c>
      <c r="C439" s="96">
        <v>45581</v>
      </c>
      <c r="D439" s="76">
        <f t="shared" si="25"/>
        <v>10</v>
      </c>
      <c r="E439" s="77" t="s">
        <v>449</v>
      </c>
      <c r="F439" s="95">
        <v>2</v>
      </c>
      <c r="G439" s="78" t="s">
        <v>477</v>
      </c>
      <c r="H439" s="91">
        <f t="shared" si="26"/>
        <v>2024</v>
      </c>
      <c r="I439" s="7" t="s">
        <v>426</v>
      </c>
      <c r="J439" s="76" t="s">
        <v>634</v>
      </c>
    </row>
    <row r="440" spans="1:10">
      <c r="A440" s="75" t="str">
        <f t="shared" si="24"/>
        <v/>
      </c>
      <c r="B440" s="87">
        <v>24</v>
      </c>
      <c r="C440" s="96">
        <v>45581</v>
      </c>
      <c r="D440" s="76">
        <f t="shared" si="25"/>
        <v>10</v>
      </c>
      <c r="E440" s="77" t="s">
        <v>447</v>
      </c>
      <c r="F440" s="95">
        <v>2</v>
      </c>
      <c r="G440" s="78" t="s">
        <v>556</v>
      </c>
      <c r="H440" s="91">
        <f t="shared" si="26"/>
        <v>2024</v>
      </c>
      <c r="I440" s="7" t="s">
        <v>426</v>
      </c>
      <c r="J440" s="76" t="s">
        <v>634</v>
      </c>
    </row>
    <row r="441" spans="1:10">
      <c r="A441" s="75" t="str">
        <f t="shared" si="24"/>
        <v/>
      </c>
      <c r="B441" s="87">
        <v>25</v>
      </c>
      <c r="C441" s="96">
        <v>45582</v>
      </c>
      <c r="D441" s="76">
        <f t="shared" si="25"/>
        <v>10</v>
      </c>
      <c r="E441" s="77" t="s">
        <v>447</v>
      </c>
      <c r="F441" s="95">
        <v>2</v>
      </c>
      <c r="G441" s="78" t="s">
        <v>636</v>
      </c>
      <c r="H441" s="91">
        <f t="shared" si="26"/>
        <v>2024</v>
      </c>
      <c r="I441" s="7" t="s">
        <v>426</v>
      </c>
      <c r="J441" s="76" t="s">
        <v>634</v>
      </c>
    </row>
    <row r="442" spans="1:10">
      <c r="A442" s="75" t="str">
        <f t="shared" si="24"/>
        <v/>
      </c>
      <c r="B442" s="87">
        <v>26</v>
      </c>
      <c r="C442" s="96">
        <v>45582</v>
      </c>
      <c r="D442" s="76">
        <f t="shared" si="25"/>
        <v>10</v>
      </c>
      <c r="E442" s="77" t="s">
        <v>447</v>
      </c>
      <c r="F442" s="95">
        <v>2</v>
      </c>
      <c r="G442" s="78" t="s">
        <v>636</v>
      </c>
      <c r="H442" s="91">
        <f t="shared" si="26"/>
        <v>2024</v>
      </c>
      <c r="I442" s="7" t="s">
        <v>426</v>
      </c>
      <c r="J442" s="76" t="s">
        <v>634</v>
      </c>
    </row>
    <row r="443" spans="1:10">
      <c r="A443" s="75" t="str">
        <f t="shared" si="24"/>
        <v/>
      </c>
      <c r="B443" s="87">
        <v>27</v>
      </c>
      <c r="C443" s="96">
        <v>45582</v>
      </c>
      <c r="D443" s="76">
        <f t="shared" si="25"/>
        <v>10</v>
      </c>
      <c r="E443" s="77" t="s">
        <v>438</v>
      </c>
      <c r="F443" s="95">
        <v>4</v>
      </c>
      <c r="G443" s="78" t="s">
        <v>636</v>
      </c>
      <c r="H443" s="91">
        <f t="shared" si="26"/>
        <v>2024</v>
      </c>
      <c r="I443" s="7" t="s">
        <v>623</v>
      </c>
      <c r="J443" s="76" t="s">
        <v>634</v>
      </c>
    </row>
    <row r="444" spans="1:10">
      <c r="A444" s="75" t="str">
        <f t="shared" si="24"/>
        <v/>
      </c>
      <c r="B444" s="87">
        <v>28</v>
      </c>
      <c r="C444" s="96">
        <v>45583</v>
      </c>
      <c r="D444" s="76">
        <f t="shared" si="25"/>
        <v>10</v>
      </c>
      <c r="E444" s="77" t="s">
        <v>447</v>
      </c>
      <c r="F444" s="95">
        <v>2</v>
      </c>
      <c r="G444" s="78" t="s">
        <v>591</v>
      </c>
      <c r="H444" s="91">
        <f t="shared" si="26"/>
        <v>2024</v>
      </c>
      <c r="I444" s="7" t="s">
        <v>426</v>
      </c>
      <c r="J444" s="76" t="s">
        <v>634</v>
      </c>
    </row>
    <row r="445" spans="1:10">
      <c r="A445" s="75" t="str">
        <f t="shared" si="24"/>
        <v/>
      </c>
      <c r="B445" s="87">
        <v>29</v>
      </c>
      <c r="C445" s="96">
        <v>45583</v>
      </c>
      <c r="D445" s="76">
        <f t="shared" si="25"/>
        <v>10</v>
      </c>
      <c r="E445" s="77" t="s">
        <v>447</v>
      </c>
      <c r="F445" s="95">
        <v>2</v>
      </c>
      <c r="G445" s="78" t="s">
        <v>569</v>
      </c>
      <c r="H445" s="91">
        <f t="shared" si="26"/>
        <v>2024</v>
      </c>
      <c r="I445" s="7" t="s">
        <v>426</v>
      </c>
      <c r="J445" s="76" t="s">
        <v>634</v>
      </c>
    </row>
    <row r="446" spans="1:10">
      <c r="A446" s="75" t="str">
        <f t="shared" si="24"/>
        <v/>
      </c>
      <c r="B446" s="87">
        <v>30</v>
      </c>
      <c r="C446" s="96">
        <v>45586</v>
      </c>
      <c r="D446" s="76">
        <f t="shared" si="25"/>
        <v>10</v>
      </c>
      <c r="E446" s="77" t="s">
        <v>428</v>
      </c>
      <c r="F446" s="95">
        <v>4</v>
      </c>
      <c r="G446" s="78" t="s">
        <v>639</v>
      </c>
      <c r="H446" s="91">
        <f t="shared" si="26"/>
        <v>2024</v>
      </c>
      <c r="I446" s="7" t="s">
        <v>426</v>
      </c>
      <c r="J446" s="76" t="s">
        <v>634</v>
      </c>
    </row>
    <row r="447" spans="1:10">
      <c r="A447" s="75" t="str">
        <f t="shared" si="24"/>
        <v/>
      </c>
      <c r="B447" s="87">
        <v>31</v>
      </c>
      <c r="C447" s="96">
        <v>45586</v>
      </c>
      <c r="D447" s="76">
        <f t="shared" si="25"/>
        <v>10</v>
      </c>
      <c r="E447" s="77" t="s">
        <v>454</v>
      </c>
      <c r="F447" s="95">
        <v>2</v>
      </c>
      <c r="G447" s="78" t="s">
        <v>640</v>
      </c>
      <c r="H447" s="91">
        <f t="shared" si="26"/>
        <v>2024</v>
      </c>
      <c r="I447" s="7" t="s">
        <v>426</v>
      </c>
      <c r="J447" s="76" t="s">
        <v>634</v>
      </c>
    </row>
    <row r="448" spans="1:10">
      <c r="A448" s="75" t="str">
        <f t="shared" si="24"/>
        <v/>
      </c>
      <c r="B448" s="87">
        <v>32</v>
      </c>
      <c r="C448" s="96">
        <v>45586</v>
      </c>
      <c r="D448" s="76">
        <f t="shared" si="25"/>
        <v>10</v>
      </c>
      <c r="E448" s="77" t="s">
        <v>447</v>
      </c>
      <c r="F448" s="95">
        <v>2</v>
      </c>
      <c r="G448" s="78" t="s">
        <v>569</v>
      </c>
      <c r="H448" s="91">
        <f t="shared" si="26"/>
        <v>2024</v>
      </c>
      <c r="I448" s="7" t="s">
        <v>426</v>
      </c>
      <c r="J448" s="76" t="s">
        <v>634</v>
      </c>
    </row>
    <row r="449" spans="1:10">
      <c r="A449" s="75" t="str">
        <f t="shared" si="24"/>
        <v/>
      </c>
      <c r="B449" s="87">
        <v>33</v>
      </c>
      <c r="C449" s="96">
        <v>45587</v>
      </c>
      <c r="D449" s="76">
        <f t="shared" si="25"/>
        <v>10</v>
      </c>
      <c r="E449" s="77" t="s">
        <v>447</v>
      </c>
      <c r="F449" s="95">
        <v>2</v>
      </c>
      <c r="G449" s="78" t="s">
        <v>472</v>
      </c>
      <c r="H449" s="91">
        <f t="shared" si="26"/>
        <v>2024</v>
      </c>
      <c r="I449" s="7" t="s">
        <v>426</v>
      </c>
      <c r="J449" s="76" t="s">
        <v>634</v>
      </c>
    </row>
    <row r="450" spans="1:10">
      <c r="A450" s="75" t="str">
        <f t="shared" si="24"/>
        <v/>
      </c>
      <c r="B450" s="87">
        <v>34</v>
      </c>
      <c r="C450" s="96">
        <v>45587</v>
      </c>
      <c r="D450" s="76">
        <f t="shared" si="25"/>
        <v>10</v>
      </c>
      <c r="E450" s="77" t="s">
        <v>447</v>
      </c>
      <c r="F450" s="95">
        <v>2</v>
      </c>
      <c r="G450" s="78" t="s">
        <v>641</v>
      </c>
      <c r="H450" s="91">
        <f t="shared" si="26"/>
        <v>2024</v>
      </c>
      <c r="I450" s="7" t="s">
        <v>426</v>
      </c>
      <c r="J450" s="76" t="s">
        <v>634</v>
      </c>
    </row>
    <row r="451" spans="1:10">
      <c r="A451" s="75" t="str">
        <f t="shared" si="24"/>
        <v/>
      </c>
      <c r="B451" s="87">
        <v>35</v>
      </c>
      <c r="C451" s="96">
        <v>45588</v>
      </c>
      <c r="D451" s="76">
        <f t="shared" si="25"/>
        <v>10</v>
      </c>
      <c r="E451" s="77" t="s">
        <v>433</v>
      </c>
      <c r="F451" s="95">
        <v>4</v>
      </c>
      <c r="G451" s="78" t="s">
        <v>446</v>
      </c>
      <c r="H451" s="91">
        <f t="shared" si="26"/>
        <v>2024</v>
      </c>
      <c r="I451" s="7" t="s">
        <v>426</v>
      </c>
      <c r="J451" s="76" t="s">
        <v>634</v>
      </c>
    </row>
    <row r="452" spans="1:10">
      <c r="A452" s="75" t="str">
        <f t="shared" si="24"/>
        <v/>
      </c>
      <c r="B452" s="87">
        <v>36</v>
      </c>
      <c r="C452" s="96">
        <v>45589</v>
      </c>
      <c r="D452" s="76">
        <f t="shared" si="25"/>
        <v>10</v>
      </c>
      <c r="E452" s="77" t="s">
        <v>431</v>
      </c>
      <c r="F452" s="95">
        <v>4</v>
      </c>
      <c r="G452" s="78" t="s">
        <v>563</v>
      </c>
      <c r="H452" s="91">
        <f t="shared" si="26"/>
        <v>2024</v>
      </c>
      <c r="I452" s="7" t="s">
        <v>426</v>
      </c>
      <c r="J452" s="76" t="s">
        <v>634</v>
      </c>
    </row>
    <row r="453" spans="1:10">
      <c r="A453" s="75" t="str">
        <f t="shared" si="24"/>
        <v/>
      </c>
      <c r="B453" s="87">
        <v>37</v>
      </c>
      <c r="C453" s="96">
        <v>45590</v>
      </c>
      <c r="D453" s="76">
        <f t="shared" si="25"/>
        <v>10</v>
      </c>
      <c r="E453" s="77" t="s">
        <v>431</v>
      </c>
      <c r="F453" s="95">
        <v>4</v>
      </c>
      <c r="G453" s="78" t="s">
        <v>473</v>
      </c>
      <c r="H453" s="91">
        <f t="shared" si="26"/>
        <v>2024</v>
      </c>
      <c r="I453" s="7" t="s">
        <v>625</v>
      </c>
      <c r="J453" s="76" t="s">
        <v>634</v>
      </c>
    </row>
    <row r="454" spans="1:10">
      <c r="A454" s="75" t="str">
        <f t="shared" si="24"/>
        <v/>
      </c>
      <c r="B454" s="87">
        <v>38</v>
      </c>
      <c r="C454" s="96">
        <v>45590</v>
      </c>
      <c r="D454" s="76">
        <f t="shared" si="25"/>
        <v>10</v>
      </c>
      <c r="E454" s="77" t="s">
        <v>438</v>
      </c>
      <c r="F454" s="95">
        <v>4</v>
      </c>
      <c r="G454" s="78" t="s">
        <v>636</v>
      </c>
      <c r="H454" s="91">
        <f t="shared" si="26"/>
        <v>2024</v>
      </c>
      <c r="I454" s="7" t="s">
        <v>623</v>
      </c>
      <c r="J454" s="76" t="s">
        <v>634</v>
      </c>
    </row>
    <row r="455" spans="1:10">
      <c r="A455" s="75" t="str">
        <f t="shared" si="24"/>
        <v/>
      </c>
      <c r="B455" s="87">
        <v>39</v>
      </c>
      <c r="C455" s="96">
        <v>45591</v>
      </c>
      <c r="D455" s="76">
        <f t="shared" si="25"/>
        <v>10</v>
      </c>
      <c r="E455" s="77" t="s">
        <v>435</v>
      </c>
      <c r="F455" s="95">
        <v>4</v>
      </c>
      <c r="G455" s="78" t="s">
        <v>475</v>
      </c>
      <c r="H455" s="91">
        <f t="shared" si="26"/>
        <v>2024</v>
      </c>
      <c r="I455" s="7" t="s">
        <v>426</v>
      </c>
      <c r="J455" s="76" t="s">
        <v>634</v>
      </c>
    </row>
    <row r="456" spans="1:10">
      <c r="A456" s="75" t="str">
        <f t="shared" si="24"/>
        <v/>
      </c>
      <c r="B456" s="87">
        <v>40</v>
      </c>
      <c r="C456" s="96">
        <v>45591</v>
      </c>
      <c r="D456" s="76">
        <f t="shared" si="25"/>
        <v>10</v>
      </c>
      <c r="E456" s="77" t="s">
        <v>438</v>
      </c>
      <c r="F456" s="95">
        <v>4</v>
      </c>
      <c r="G456" s="78" t="s">
        <v>491</v>
      </c>
      <c r="H456" s="91">
        <f t="shared" si="26"/>
        <v>2024</v>
      </c>
      <c r="I456" s="7" t="s">
        <v>426</v>
      </c>
      <c r="J456" s="76" t="s">
        <v>634</v>
      </c>
    </row>
    <row r="457" spans="1:10">
      <c r="A457" s="75" t="str">
        <f t="shared" si="24"/>
        <v/>
      </c>
      <c r="B457" s="87">
        <v>41</v>
      </c>
      <c r="C457" s="96">
        <v>45593</v>
      </c>
      <c r="D457" s="76">
        <f t="shared" si="25"/>
        <v>10</v>
      </c>
      <c r="E457" s="77" t="s">
        <v>453</v>
      </c>
      <c r="F457" s="95">
        <v>4</v>
      </c>
      <c r="G457" s="78" t="s">
        <v>443</v>
      </c>
      <c r="H457" s="91">
        <f t="shared" si="26"/>
        <v>2024</v>
      </c>
      <c r="I457" s="7" t="s">
        <v>426</v>
      </c>
      <c r="J457" s="76" t="s">
        <v>634</v>
      </c>
    </row>
    <row r="458" spans="1:10">
      <c r="A458" s="75" t="str">
        <f t="shared" si="24"/>
        <v/>
      </c>
      <c r="B458" s="87">
        <v>42</v>
      </c>
      <c r="C458" s="96">
        <v>45594</v>
      </c>
      <c r="D458" s="76">
        <f t="shared" si="25"/>
        <v>10</v>
      </c>
      <c r="E458" s="77" t="s">
        <v>600</v>
      </c>
      <c r="F458" s="95">
        <v>4</v>
      </c>
      <c r="G458" s="78" t="s">
        <v>642</v>
      </c>
      <c r="H458" s="91">
        <f t="shared" si="26"/>
        <v>2024</v>
      </c>
      <c r="I458" s="7" t="s">
        <v>426</v>
      </c>
      <c r="J458" s="76" t="s">
        <v>634</v>
      </c>
    </row>
    <row r="459" spans="1:10">
      <c r="A459" s="75" t="str">
        <f t="shared" ref="A459:A522" si="27">IF(AND($E$3="ALL",$E$4="ALL"),"ALL",IF(AND($E$3="ALL",$E$4&lt;&gt;"ALL"),IF(D459=$E$4,D459,""),IF(AND($E$3&lt;&gt;"ALL",$E$4="ALL"),IF(I459=$E$3,I459,""),"")))</f>
        <v/>
      </c>
      <c r="B459" s="87">
        <v>43</v>
      </c>
      <c r="C459" s="96">
        <v>45595</v>
      </c>
      <c r="D459" s="76">
        <f t="shared" si="25"/>
        <v>10</v>
      </c>
      <c r="E459" s="77" t="s">
        <v>424</v>
      </c>
      <c r="F459" s="95">
        <v>4</v>
      </c>
      <c r="G459" s="78" t="s">
        <v>491</v>
      </c>
      <c r="H459" s="91">
        <f t="shared" si="26"/>
        <v>2024</v>
      </c>
      <c r="I459" s="7" t="s">
        <v>426</v>
      </c>
      <c r="J459" s="76" t="s">
        <v>634</v>
      </c>
    </row>
    <row r="460" spans="1:10">
      <c r="A460" s="75" t="str">
        <f t="shared" si="27"/>
        <v/>
      </c>
    </row>
    <row r="461" spans="1:10">
      <c r="A461" s="75" t="str">
        <f t="shared" si="27"/>
        <v/>
      </c>
      <c r="B461" s="87">
        <v>1</v>
      </c>
      <c r="C461" s="96">
        <v>45537</v>
      </c>
      <c r="D461" s="76">
        <f t="shared" ref="D461:D502" si="28">MONTH(C461)</f>
        <v>9</v>
      </c>
      <c r="E461" s="77" t="s">
        <v>570</v>
      </c>
      <c r="F461" s="95">
        <v>4</v>
      </c>
      <c r="G461" s="78" t="s">
        <v>473</v>
      </c>
      <c r="H461" s="91">
        <f t="shared" ref="H461:H502" si="29">YEAR(C461)</f>
        <v>2024</v>
      </c>
      <c r="I461" s="7" t="s">
        <v>426</v>
      </c>
      <c r="J461" s="76" t="s">
        <v>643</v>
      </c>
    </row>
    <row r="462" spans="1:10">
      <c r="A462" s="75" t="str">
        <f t="shared" si="27"/>
        <v/>
      </c>
      <c r="B462" s="87">
        <v>2</v>
      </c>
      <c r="C462" s="96">
        <v>45539</v>
      </c>
      <c r="D462" s="76">
        <f t="shared" si="28"/>
        <v>9</v>
      </c>
      <c r="E462" s="77" t="s">
        <v>438</v>
      </c>
      <c r="F462" s="95">
        <v>4</v>
      </c>
      <c r="G462" s="78" t="s">
        <v>441</v>
      </c>
      <c r="H462" s="91">
        <f t="shared" si="29"/>
        <v>2024</v>
      </c>
      <c r="I462" s="7" t="s">
        <v>625</v>
      </c>
      <c r="J462" s="76" t="s">
        <v>643</v>
      </c>
    </row>
    <row r="463" spans="1:10">
      <c r="A463" s="75" t="str">
        <f t="shared" si="27"/>
        <v/>
      </c>
      <c r="B463" s="87">
        <v>3</v>
      </c>
      <c r="C463" s="96">
        <v>45539</v>
      </c>
      <c r="D463" s="76">
        <f t="shared" si="28"/>
        <v>9</v>
      </c>
      <c r="E463" s="77" t="s">
        <v>428</v>
      </c>
      <c r="F463" s="95">
        <v>4</v>
      </c>
      <c r="G463" s="78" t="s">
        <v>473</v>
      </c>
      <c r="H463" s="91">
        <f t="shared" si="29"/>
        <v>2024</v>
      </c>
      <c r="I463" s="7" t="s">
        <v>644</v>
      </c>
      <c r="J463" s="76" t="s">
        <v>643</v>
      </c>
    </row>
    <row r="464" spans="1:10">
      <c r="A464" s="75" t="str">
        <f t="shared" si="27"/>
        <v/>
      </c>
      <c r="B464" s="87">
        <v>4</v>
      </c>
      <c r="C464" s="96">
        <v>45539</v>
      </c>
      <c r="D464" s="76">
        <f t="shared" si="28"/>
        <v>9</v>
      </c>
      <c r="E464" s="77" t="s">
        <v>424</v>
      </c>
      <c r="F464" s="95">
        <v>4</v>
      </c>
      <c r="G464" s="78" t="s">
        <v>645</v>
      </c>
      <c r="H464" s="91">
        <f t="shared" si="29"/>
        <v>2024</v>
      </c>
      <c r="I464" s="7" t="s">
        <v>426</v>
      </c>
      <c r="J464" s="76" t="s">
        <v>643</v>
      </c>
    </row>
    <row r="465" spans="1:10">
      <c r="A465" s="75" t="str">
        <f t="shared" si="27"/>
        <v/>
      </c>
      <c r="B465" s="87">
        <v>5</v>
      </c>
      <c r="C465" s="96">
        <v>45540</v>
      </c>
      <c r="D465" s="76">
        <f t="shared" si="28"/>
        <v>9</v>
      </c>
      <c r="E465" s="77" t="s">
        <v>449</v>
      </c>
      <c r="F465" s="95">
        <v>2</v>
      </c>
      <c r="G465" s="78" t="s">
        <v>627</v>
      </c>
      <c r="H465" s="91">
        <f t="shared" si="29"/>
        <v>2024</v>
      </c>
      <c r="I465" s="7" t="s">
        <v>426</v>
      </c>
      <c r="J465" s="76" t="s">
        <v>643</v>
      </c>
    </row>
    <row r="466" spans="1:10">
      <c r="A466" s="75" t="str">
        <f t="shared" si="27"/>
        <v/>
      </c>
      <c r="B466" s="87">
        <v>6</v>
      </c>
      <c r="C466" s="96">
        <v>45540</v>
      </c>
      <c r="D466" s="76">
        <f t="shared" si="28"/>
        <v>9</v>
      </c>
      <c r="E466" s="77" t="s">
        <v>449</v>
      </c>
      <c r="F466" s="95">
        <v>2</v>
      </c>
      <c r="G466" s="78" t="s">
        <v>434</v>
      </c>
      <c r="H466" s="91">
        <f t="shared" si="29"/>
        <v>2024</v>
      </c>
      <c r="I466" s="7" t="s">
        <v>426</v>
      </c>
      <c r="J466" s="76" t="s">
        <v>643</v>
      </c>
    </row>
    <row r="467" spans="1:10">
      <c r="A467" s="75" t="str">
        <f t="shared" si="27"/>
        <v/>
      </c>
      <c r="B467" s="87">
        <v>7</v>
      </c>
      <c r="C467" s="96">
        <v>45541</v>
      </c>
      <c r="D467" s="76">
        <f t="shared" si="28"/>
        <v>9</v>
      </c>
      <c r="E467" s="77" t="s">
        <v>449</v>
      </c>
      <c r="F467" s="95">
        <v>2</v>
      </c>
      <c r="G467" s="78" t="s">
        <v>646</v>
      </c>
      <c r="H467" s="91">
        <f t="shared" si="29"/>
        <v>2024</v>
      </c>
      <c r="I467" s="7" t="s">
        <v>426</v>
      </c>
      <c r="J467" s="76" t="s">
        <v>643</v>
      </c>
    </row>
    <row r="468" spans="1:10">
      <c r="A468" s="75" t="str">
        <f t="shared" si="27"/>
        <v/>
      </c>
      <c r="B468" s="87">
        <v>8</v>
      </c>
      <c r="C468" s="96">
        <v>45541</v>
      </c>
      <c r="D468" s="76">
        <f t="shared" si="28"/>
        <v>9</v>
      </c>
      <c r="E468" s="77" t="s">
        <v>449</v>
      </c>
      <c r="F468" s="95">
        <v>2</v>
      </c>
      <c r="G468" s="78" t="s">
        <v>556</v>
      </c>
      <c r="H468" s="91">
        <f t="shared" si="29"/>
        <v>2024</v>
      </c>
      <c r="I468" s="7" t="s">
        <v>426</v>
      </c>
      <c r="J468" s="76" t="s">
        <v>643</v>
      </c>
    </row>
    <row r="469" spans="1:10">
      <c r="A469" s="75" t="str">
        <f t="shared" si="27"/>
        <v/>
      </c>
      <c r="B469" s="87">
        <v>9</v>
      </c>
      <c r="C469" s="96">
        <v>45542</v>
      </c>
      <c r="D469" s="76">
        <f t="shared" si="28"/>
        <v>9</v>
      </c>
      <c r="E469" s="77" t="s">
        <v>447</v>
      </c>
      <c r="F469" s="95">
        <v>2</v>
      </c>
      <c r="G469" s="78" t="s">
        <v>647</v>
      </c>
      <c r="H469" s="91">
        <f t="shared" si="29"/>
        <v>2024</v>
      </c>
      <c r="I469" s="7" t="s">
        <v>426</v>
      </c>
      <c r="J469" s="76" t="s">
        <v>643</v>
      </c>
    </row>
    <row r="470" spans="1:10">
      <c r="A470" s="75" t="str">
        <f t="shared" si="27"/>
        <v/>
      </c>
      <c r="B470" s="87">
        <v>10</v>
      </c>
      <c r="C470" s="96">
        <v>45542</v>
      </c>
      <c r="D470" s="76">
        <f t="shared" si="28"/>
        <v>9</v>
      </c>
      <c r="E470" s="77" t="s">
        <v>447</v>
      </c>
      <c r="F470" s="95">
        <v>2</v>
      </c>
      <c r="G470" s="78" t="s">
        <v>545</v>
      </c>
      <c r="H470" s="91">
        <f t="shared" si="29"/>
        <v>2024</v>
      </c>
      <c r="I470" s="7" t="s">
        <v>426</v>
      </c>
      <c r="J470" s="76" t="s">
        <v>643</v>
      </c>
    </row>
    <row r="471" spans="1:10">
      <c r="A471" s="75" t="str">
        <f t="shared" si="27"/>
        <v/>
      </c>
      <c r="B471" s="87">
        <v>11</v>
      </c>
      <c r="C471" s="96">
        <v>45542</v>
      </c>
      <c r="D471" s="76">
        <f t="shared" si="28"/>
        <v>9</v>
      </c>
      <c r="E471" s="77" t="s">
        <v>424</v>
      </c>
      <c r="F471" s="95">
        <v>4</v>
      </c>
      <c r="G471" s="78" t="s">
        <v>648</v>
      </c>
      <c r="H471" s="91">
        <f t="shared" si="29"/>
        <v>2024</v>
      </c>
      <c r="I471" s="7" t="s">
        <v>625</v>
      </c>
      <c r="J471" s="76" t="s">
        <v>643</v>
      </c>
    </row>
    <row r="472" spans="1:10">
      <c r="A472" s="75" t="str">
        <f t="shared" si="27"/>
        <v/>
      </c>
      <c r="B472" s="87">
        <v>12</v>
      </c>
      <c r="C472" s="96">
        <v>45542</v>
      </c>
      <c r="D472" s="76">
        <f t="shared" si="28"/>
        <v>9</v>
      </c>
      <c r="E472" s="77" t="s">
        <v>438</v>
      </c>
      <c r="F472" s="95">
        <v>4</v>
      </c>
      <c r="G472" s="78" t="s">
        <v>649</v>
      </c>
      <c r="H472" s="91">
        <f t="shared" si="29"/>
        <v>2024</v>
      </c>
      <c r="I472" s="7" t="s">
        <v>644</v>
      </c>
      <c r="J472" s="76" t="s">
        <v>643</v>
      </c>
    </row>
    <row r="473" spans="1:10">
      <c r="A473" s="75" t="str">
        <f t="shared" si="27"/>
        <v/>
      </c>
      <c r="B473" s="87">
        <v>13</v>
      </c>
      <c r="C473" s="96">
        <v>45544</v>
      </c>
      <c r="D473" s="76">
        <f t="shared" si="28"/>
        <v>9</v>
      </c>
      <c r="E473" s="77" t="s">
        <v>454</v>
      </c>
      <c r="F473" s="95">
        <v>2</v>
      </c>
      <c r="G473" s="78" t="s">
        <v>602</v>
      </c>
      <c r="H473" s="91">
        <f t="shared" si="29"/>
        <v>2024</v>
      </c>
      <c r="I473" s="7" t="s">
        <v>426</v>
      </c>
      <c r="J473" s="76" t="s">
        <v>643</v>
      </c>
    </row>
    <row r="474" spans="1:10">
      <c r="A474" s="75" t="str">
        <f t="shared" si="27"/>
        <v/>
      </c>
      <c r="B474" s="87">
        <v>14</v>
      </c>
      <c r="C474" s="96">
        <v>45544</v>
      </c>
      <c r="D474" s="76">
        <f t="shared" si="28"/>
        <v>9</v>
      </c>
      <c r="E474" s="77" t="s">
        <v>454</v>
      </c>
      <c r="F474" s="95">
        <v>2</v>
      </c>
      <c r="G474" s="78" t="s">
        <v>650</v>
      </c>
      <c r="H474" s="91">
        <f t="shared" si="29"/>
        <v>2024</v>
      </c>
      <c r="I474" s="7" t="s">
        <v>426</v>
      </c>
      <c r="J474" s="76" t="s">
        <v>643</v>
      </c>
    </row>
    <row r="475" spans="1:10">
      <c r="A475" s="75" t="str">
        <f t="shared" si="27"/>
        <v/>
      </c>
      <c r="B475" s="87">
        <v>15</v>
      </c>
      <c r="C475" s="96">
        <v>45545</v>
      </c>
      <c r="D475" s="76">
        <f t="shared" si="28"/>
        <v>9</v>
      </c>
      <c r="E475" s="77" t="s">
        <v>570</v>
      </c>
      <c r="F475" s="95">
        <v>4</v>
      </c>
      <c r="G475" s="78" t="s">
        <v>442</v>
      </c>
      <c r="H475" s="91">
        <f t="shared" si="29"/>
        <v>2024</v>
      </c>
      <c r="I475" s="7" t="s">
        <v>426</v>
      </c>
      <c r="J475" s="76" t="s">
        <v>643</v>
      </c>
    </row>
    <row r="476" spans="1:10">
      <c r="A476" s="75" t="str">
        <f t="shared" si="27"/>
        <v/>
      </c>
      <c r="B476" s="87">
        <v>16</v>
      </c>
      <c r="C476" s="96">
        <v>45546</v>
      </c>
      <c r="D476" s="76">
        <f t="shared" si="28"/>
        <v>9</v>
      </c>
      <c r="E476" s="77" t="s">
        <v>454</v>
      </c>
      <c r="F476" s="95">
        <v>2</v>
      </c>
      <c r="G476" s="78" t="s">
        <v>452</v>
      </c>
      <c r="H476" s="91">
        <f t="shared" si="29"/>
        <v>2024</v>
      </c>
      <c r="I476" s="7" t="s">
        <v>426</v>
      </c>
      <c r="J476" s="76" t="s">
        <v>643</v>
      </c>
    </row>
    <row r="477" spans="1:10">
      <c r="A477" s="75" t="str">
        <f t="shared" si="27"/>
        <v/>
      </c>
      <c r="B477" s="87">
        <v>17</v>
      </c>
      <c r="C477" s="96">
        <v>45546</v>
      </c>
      <c r="D477" s="76">
        <f t="shared" si="28"/>
        <v>9</v>
      </c>
      <c r="E477" s="77" t="s">
        <v>454</v>
      </c>
      <c r="F477" s="95">
        <v>2</v>
      </c>
      <c r="G477" s="78" t="s">
        <v>476</v>
      </c>
      <c r="H477" s="91">
        <f t="shared" si="29"/>
        <v>2024</v>
      </c>
      <c r="I477" s="7" t="s">
        <v>426</v>
      </c>
      <c r="J477" s="76" t="s">
        <v>643</v>
      </c>
    </row>
    <row r="478" spans="1:10">
      <c r="A478" s="75" t="str">
        <f t="shared" si="27"/>
        <v/>
      </c>
      <c r="B478" s="87">
        <v>18</v>
      </c>
      <c r="C478" s="96">
        <v>45546</v>
      </c>
      <c r="D478" s="76">
        <f t="shared" si="28"/>
        <v>9</v>
      </c>
      <c r="E478" s="77" t="s">
        <v>438</v>
      </c>
      <c r="F478" s="95">
        <v>4</v>
      </c>
      <c r="G478" s="78" t="s">
        <v>565</v>
      </c>
      <c r="H478" s="91">
        <f t="shared" si="29"/>
        <v>2024</v>
      </c>
      <c r="I478" s="7" t="s">
        <v>623</v>
      </c>
      <c r="J478" s="76" t="s">
        <v>643</v>
      </c>
    </row>
    <row r="479" spans="1:10">
      <c r="A479" s="75" t="str">
        <f t="shared" si="27"/>
        <v/>
      </c>
      <c r="B479" s="87">
        <v>19</v>
      </c>
      <c r="C479" s="96">
        <v>45546</v>
      </c>
      <c r="D479" s="76">
        <f t="shared" si="28"/>
        <v>9</v>
      </c>
      <c r="E479" s="77" t="s">
        <v>428</v>
      </c>
      <c r="F479" s="95">
        <v>4</v>
      </c>
      <c r="G479" s="78" t="s">
        <v>651</v>
      </c>
      <c r="H479" s="91">
        <f t="shared" si="29"/>
        <v>2024</v>
      </c>
      <c r="I479" s="7" t="s">
        <v>625</v>
      </c>
      <c r="J479" s="76" t="s">
        <v>643</v>
      </c>
    </row>
    <row r="480" spans="1:10">
      <c r="A480" s="75" t="str">
        <f t="shared" si="27"/>
        <v/>
      </c>
      <c r="B480" s="87">
        <v>20</v>
      </c>
      <c r="C480" s="96">
        <v>45546</v>
      </c>
      <c r="D480" s="76">
        <f t="shared" si="28"/>
        <v>9</v>
      </c>
      <c r="E480" s="77" t="s">
        <v>570</v>
      </c>
      <c r="F480" s="95">
        <v>4</v>
      </c>
      <c r="G480" s="78" t="s">
        <v>652</v>
      </c>
      <c r="H480" s="91">
        <f t="shared" si="29"/>
        <v>2024</v>
      </c>
      <c r="I480" s="7" t="s">
        <v>653</v>
      </c>
      <c r="J480" s="76" t="s">
        <v>643</v>
      </c>
    </row>
    <row r="481" spans="1:10">
      <c r="A481" s="75" t="str">
        <f t="shared" si="27"/>
        <v/>
      </c>
      <c r="B481" s="87">
        <v>21</v>
      </c>
      <c r="C481" s="96">
        <v>45547</v>
      </c>
      <c r="D481" s="76">
        <f t="shared" si="28"/>
        <v>9</v>
      </c>
      <c r="E481" s="77" t="s">
        <v>447</v>
      </c>
      <c r="F481" s="95">
        <v>2</v>
      </c>
      <c r="G481" s="78" t="s">
        <v>650</v>
      </c>
      <c r="H481" s="91">
        <f t="shared" si="29"/>
        <v>2024</v>
      </c>
      <c r="I481" s="7" t="s">
        <v>426</v>
      </c>
      <c r="J481" s="76" t="s">
        <v>643</v>
      </c>
    </row>
    <row r="482" spans="1:10">
      <c r="A482" s="75" t="str">
        <f t="shared" si="27"/>
        <v/>
      </c>
      <c r="B482" s="87">
        <v>22</v>
      </c>
      <c r="C482" s="96">
        <v>45547</v>
      </c>
      <c r="D482" s="76">
        <f t="shared" si="28"/>
        <v>9</v>
      </c>
      <c r="E482" s="77" t="s">
        <v>447</v>
      </c>
      <c r="F482" s="95">
        <v>2</v>
      </c>
      <c r="G482" s="78" t="s">
        <v>654</v>
      </c>
      <c r="H482" s="91">
        <f t="shared" si="29"/>
        <v>2024</v>
      </c>
      <c r="I482" s="7" t="s">
        <v>426</v>
      </c>
      <c r="J482" s="76" t="s">
        <v>643</v>
      </c>
    </row>
    <row r="483" spans="1:10">
      <c r="A483" s="75" t="str">
        <f t="shared" si="27"/>
        <v/>
      </c>
      <c r="B483" s="87">
        <v>23</v>
      </c>
      <c r="C483" s="96">
        <v>45548</v>
      </c>
      <c r="D483" s="76">
        <f t="shared" si="28"/>
        <v>9</v>
      </c>
      <c r="E483" s="77" t="s">
        <v>424</v>
      </c>
      <c r="F483" s="95">
        <v>4</v>
      </c>
      <c r="G483" s="78" t="s">
        <v>437</v>
      </c>
      <c r="H483" s="91">
        <f t="shared" si="29"/>
        <v>2024</v>
      </c>
      <c r="I483" s="7" t="s">
        <v>426</v>
      </c>
      <c r="J483" s="76" t="s">
        <v>643</v>
      </c>
    </row>
    <row r="484" spans="1:10">
      <c r="A484" s="75" t="str">
        <f t="shared" si="27"/>
        <v/>
      </c>
      <c r="B484" s="87">
        <v>24</v>
      </c>
      <c r="C484" s="96">
        <v>45551</v>
      </c>
      <c r="D484" s="76">
        <f t="shared" si="28"/>
        <v>9</v>
      </c>
      <c r="E484" s="77" t="s">
        <v>454</v>
      </c>
      <c r="F484" s="95">
        <v>2</v>
      </c>
      <c r="G484" s="78" t="s">
        <v>506</v>
      </c>
      <c r="H484" s="91">
        <f t="shared" si="29"/>
        <v>2024</v>
      </c>
      <c r="I484" s="7" t="s">
        <v>426</v>
      </c>
      <c r="J484" s="76" t="s">
        <v>643</v>
      </c>
    </row>
    <row r="485" spans="1:10">
      <c r="A485" s="75" t="str">
        <f t="shared" si="27"/>
        <v/>
      </c>
      <c r="B485" s="87">
        <v>25</v>
      </c>
      <c r="C485" s="96">
        <v>45551</v>
      </c>
      <c r="D485" s="76">
        <f t="shared" si="28"/>
        <v>9</v>
      </c>
      <c r="E485" s="77" t="s">
        <v>454</v>
      </c>
      <c r="F485" s="95">
        <v>2</v>
      </c>
      <c r="G485" s="78" t="s">
        <v>602</v>
      </c>
      <c r="H485" s="91">
        <f t="shared" si="29"/>
        <v>2024</v>
      </c>
      <c r="I485" s="7" t="s">
        <v>426</v>
      </c>
      <c r="J485" s="76" t="s">
        <v>643</v>
      </c>
    </row>
    <row r="486" spans="1:10">
      <c r="A486" s="75" t="str">
        <f t="shared" si="27"/>
        <v/>
      </c>
      <c r="B486" s="87">
        <v>26</v>
      </c>
      <c r="C486" s="96">
        <v>45552</v>
      </c>
      <c r="D486" s="76">
        <f t="shared" si="28"/>
        <v>9</v>
      </c>
      <c r="E486" s="77" t="s">
        <v>428</v>
      </c>
      <c r="F486" s="95">
        <v>4</v>
      </c>
      <c r="G486" s="78" t="s">
        <v>441</v>
      </c>
      <c r="H486" s="91">
        <f t="shared" si="29"/>
        <v>2024</v>
      </c>
      <c r="I486" s="7" t="s">
        <v>426</v>
      </c>
      <c r="J486" s="76" t="s">
        <v>643</v>
      </c>
    </row>
    <row r="487" spans="1:10">
      <c r="A487" s="75" t="str">
        <f t="shared" si="27"/>
        <v/>
      </c>
      <c r="B487" s="87">
        <v>27</v>
      </c>
      <c r="C487" s="96">
        <v>45552</v>
      </c>
      <c r="D487" s="76">
        <f t="shared" si="28"/>
        <v>9</v>
      </c>
      <c r="E487" s="77" t="s">
        <v>600</v>
      </c>
      <c r="F487" s="95">
        <v>4</v>
      </c>
      <c r="G487" s="78" t="s">
        <v>655</v>
      </c>
      <c r="H487" s="91">
        <f t="shared" si="29"/>
        <v>2024</v>
      </c>
      <c r="I487" s="7" t="s">
        <v>625</v>
      </c>
      <c r="J487" s="76" t="s">
        <v>643</v>
      </c>
    </row>
    <row r="488" spans="1:10">
      <c r="A488" s="75" t="str">
        <f t="shared" si="27"/>
        <v/>
      </c>
      <c r="B488" s="87">
        <v>28</v>
      </c>
      <c r="C488" s="96">
        <v>45552</v>
      </c>
      <c r="D488" s="76">
        <f t="shared" si="28"/>
        <v>9</v>
      </c>
      <c r="E488" s="77" t="s">
        <v>438</v>
      </c>
      <c r="F488" s="95">
        <v>4</v>
      </c>
      <c r="G488" s="78" t="s">
        <v>656</v>
      </c>
      <c r="H488" s="91">
        <f t="shared" si="29"/>
        <v>2024</v>
      </c>
      <c r="I488" s="7" t="s">
        <v>653</v>
      </c>
      <c r="J488" s="76" t="s">
        <v>643</v>
      </c>
    </row>
    <row r="489" spans="1:10">
      <c r="A489" s="75" t="str">
        <f t="shared" si="27"/>
        <v/>
      </c>
      <c r="B489" s="87">
        <v>29</v>
      </c>
      <c r="C489" s="96">
        <v>45552</v>
      </c>
      <c r="D489" s="76">
        <f t="shared" si="28"/>
        <v>9</v>
      </c>
      <c r="E489" s="77" t="s">
        <v>431</v>
      </c>
      <c r="F489" s="95">
        <v>4</v>
      </c>
      <c r="G489" s="78" t="s">
        <v>542</v>
      </c>
      <c r="H489" s="91">
        <f t="shared" si="29"/>
        <v>2024</v>
      </c>
      <c r="I489" s="7" t="s">
        <v>623</v>
      </c>
      <c r="J489" s="76" t="s">
        <v>643</v>
      </c>
    </row>
    <row r="490" spans="1:10">
      <c r="A490" s="75" t="str">
        <f t="shared" si="27"/>
        <v/>
      </c>
      <c r="B490" s="87">
        <v>30</v>
      </c>
      <c r="C490" s="96">
        <v>45556</v>
      </c>
      <c r="D490" s="76">
        <f t="shared" si="28"/>
        <v>9</v>
      </c>
      <c r="E490" s="77" t="s">
        <v>433</v>
      </c>
      <c r="F490" s="95">
        <v>4</v>
      </c>
      <c r="G490" s="78" t="s">
        <v>657</v>
      </c>
      <c r="H490" s="91">
        <f t="shared" si="29"/>
        <v>2024</v>
      </c>
      <c r="I490" s="7" t="s">
        <v>426</v>
      </c>
      <c r="J490" s="76" t="s">
        <v>643</v>
      </c>
    </row>
    <row r="491" spans="1:10">
      <c r="A491" s="75" t="str">
        <f t="shared" si="27"/>
        <v/>
      </c>
      <c r="B491" s="87">
        <v>31</v>
      </c>
      <c r="C491" s="96">
        <v>45558</v>
      </c>
      <c r="D491" s="76">
        <f t="shared" si="28"/>
        <v>9</v>
      </c>
      <c r="E491" s="77" t="s">
        <v>428</v>
      </c>
      <c r="F491" s="95">
        <v>4</v>
      </c>
      <c r="G491" s="78" t="s">
        <v>437</v>
      </c>
      <c r="H491" s="91">
        <f t="shared" si="29"/>
        <v>2024</v>
      </c>
      <c r="I491" s="7" t="s">
        <v>426</v>
      </c>
      <c r="J491" s="76" t="s">
        <v>643</v>
      </c>
    </row>
    <row r="492" spans="1:10">
      <c r="A492" s="75" t="str">
        <f t="shared" si="27"/>
        <v/>
      </c>
      <c r="B492" s="87">
        <v>32</v>
      </c>
      <c r="C492" s="96">
        <v>45559</v>
      </c>
      <c r="D492" s="76">
        <f t="shared" si="28"/>
        <v>9</v>
      </c>
      <c r="E492" s="77" t="s">
        <v>438</v>
      </c>
      <c r="F492" s="95">
        <v>4</v>
      </c>
      <c r="G492" s="78" t="s">
        <v>658</v>
      </c>
      <c r="H492" s="91">
        <f t="shared" si="29"/>
        <v>2024</v>
      </c>
      <c r="I492" s="7" t="s">
        <v>625</v>
      </c>
      <c r="J492" s="76" t="s">
        <v>643</v>
      </c>
    </row>
    <row r="493" spans="1:10">
      <c r="A493" s="75" t="str">
        <f t="shared" si="27"/>
        <v/>
      </c>
      <c r="B493" s="87">
        <v>33</v>
      </c>
      <c r="C493" s="96">
        <v>45560</v>
      </c>
      <c r="D493" s="76">
        <f t="shared" si="28"/>
        <v>9</v>
      </c>
      <c r="E493" s="77" t="s">
        <v>424</v>
      </c>
      <c r="F493" s="95">
        <v>4</v>
      </c>
      <c r="G493" s="78" t="s">
        <v>659</v>
      </c>
      <c r="H493" s="91">
        <f t="shared" si="29"/>
        <v>2024</v>
      </c>
      <c r="I493" s="7" t="s">
        <v>426</v>
      </c>
      <c r="J493" s="76" t="s">
        <v>643</v>
      </c>
    </row>
    <row r="494" spans="1:10">
      <c r="A494" s="75" t="str">
        <f t="shared" si="27"/>
        <v/>
      </c>
      <c r="B494" s="87">
        <v>34</v>
      </c>
      <c r="C494" s="96">
        <v>45560</v>
      </c>
      <c r="D494" s="76">
        <f t="shared" si="28"/>
        <v>9</v>
      </c>
      <c r="E494" s="77" t="s">
        <v>428</v>
      </c>
      <c r="F494" s="95">
        <v>4</v>
      </c>
      <c r="G494" s="78" t="s">
        <v>462</v>
      </c>
      <c r="H494" s="91">
        <f t="shared" si="29"/>
        <v>2024</v>
      </c>
      <c r="I494" s="7" t="s">
        <v>660</v>
      </c>
      <c r="J494" s="76" t="s">
        <v>643</v>
      </c>
    </row>
    <row r="495" spans="1:10">
      <c r="A495" s="75" t="str">
        <f t="shared" si="27"/>
        <v/>
      </c>
      <c r="B495" s="87">
        <v>35</v>
      </c>
      <c r="C495" s="96">
        <v>45561</v>
      </c>
      <c r="D495" s="76">
        <f t="shared" si="28"/>
        <v>9</v>
      </c>
      <c r="E495" s="77" t="s">
        <v>454</v>
      </c>
      <c r="F495" s="95">
        <v>2</v>
      </c>
      <c r="G495" s="78" t="s">
        <v>642</v>
      </c>
      <c r="H495" s="91">
        <f t="shared" si="29"/>
        <v>2024</v>
      </c>
      <c r="I495" s="7" t="s">
        <v>426</v>
      </c>
      <c r="J495" s="76" t="s">
        <v>643</v>
      </c>
    </row>
    <row r="496" spans="1:10">
      <c r="A496" s="75" t="str">
        <f t="shared" si="27"/>
        <v/>
      </c>
      <c r="B496" s="87">
        <v>36</v>
      </c>
      <c r="C496" s="96">
        <v>45561</v>
      </c>
      <c r="D496" s="76">
        <f t="shared" si="28"/>
        <v>9</v>
      </c>
      <c r="E496" s="77" t="s">
        <v>454</v>
      </c>
      <c r="F496" s="95">
        <v>2</v>
      </c>
      <c r="G496" s="78" t="s">
        <v>628</v>
      </c>
      <c r="H496" s="91">
        <f t="shared" si="29"/>
        <v>2024</v>
      </c>
      <c r="I496" s="7" t="s">
        <v>426</v>
      </c>
      <c r="J496" s="76" t="s">
        <v>643</v>
      </c>
    </row>
    <row r="497" spans="1:10">
      <c r="A497" s="75" t="str">
        <f t="shared" si="27"/>
        <v/>
      </c>
      <c r="B497" s="87">
        <v>37</v>
      </c>
      <c r="C497" s="96">
        <v>45562</v>
      </c>
      <c r="D497" s="76">
        <f t="shared" si="28"/>
        <v>9</v>
      </c>
      <c r="E497" s="77" t="s">
        <v>449</v>
      </c>
      <c r="F497" s="95">
        <v>2</v>
      </c>
      <c r="G497" s="78" t="s">
        <v>482</v>
      </c>
      <c r="H497" s="91">
        <f t="shared" si="29"/>
        <v>2024</v>
      </c>
      <c r="I497" s="7" t="s">
        <v>426</v>
      </c>
      <c r="J497" s="76" t="s">
        <v>643</v>
      </c>
    </row>
    <row r="498" spans="1:10">
      <c r="A498" s="75" t="str">
        <f t="shared" si="27"/>
        <v/>
      </c>
      <c r="B498" s="87">
        <v>38</v>
      </c>
      <c r="C498" s="96">
        <v>45562</v>
      </c>
      <c r="D498" s="76">
        <f t="shared" si="28"/>
        <v>9</v>
      </c>
      <c r="E498" s="77" t="s">
        <v>449</v>
      </c>
      <c r="F498" s="95">
        <v>2</v>
      </c>
      <c r="G498" s="78" t="s">
        <v>661</v>
      </c>
      <c r="H498" s="91">
        <f t="shared" si="29"/>
        <v>2024</v>
      </c>
      <c r="I498" s="7" t="s">
        <v>426</v>
      </c>
      <c r="J498" s="76" t="s">
        <v>643</v>
      </c>
    </row>
    <row r="499" spans="1:10">
      <c r="A499" s="75" t="str">
        <f t="shared" si="27"/>
        <v/>
      </c>
      <c r="B499" s="87">
        <v>39</v>
      </c>
      <c r="C499" s="96">
        <v>45563</v>
      </c>
      <c r="D499" s="76">
        <f t="shared" si="28"/>
        <v>9</v>
      </c>
      <c r="E499" s="77" t="s">
        <v>447</v>
      </c>
      <c r="F499" s="95">
        <v>2</v>
      </c>
      <c r="G499" s="78" t="s">
        <v>467</v>
      </c>
      <c r="H499" s="91">
        <f t="shared" si="29"/>
        <v>2024</v>
      </c>
      <c r="I499" s="7" t="s">
        <v>426</v>
      </c>
      <c r="J499" s="76" t="s">
        <v>643</v>
      </c>
    </row>
    <row r="500" spans="1:10">
      <c r="A500" s="75" t="str">
        <f t="shared" si="27"/>
        <v/>
      </c>
      <c r="B500" s="87">
        <v>40</v>
      </c>
      <c r="C500" s="96">
        <v>45563</v>
      </c>
      <c r="D500" s="76">
        <f t="shared" si="28"/>
        <v>9</v>
      </c>
      <c r="E500" s="77" t="s">
        <v>447</v>
      </c>
      <c r="F500" s="95">
        <v>2</v>
      </c>
      <c r="G500" s="78" t="s">
        <v>662</v>
      </c>
      <c r="H500" s="91">
        <f t="shared" si="29"/>
        <v>2024</v>
      </c>
      <c r="I500" s="7" t="s">
        <v>426</v>
      </c>
      <c r="J500" s="76" t="s">
        <v>643</v>
      </c>
    </row>
    <row r="501" spans="1:10">
      <c r="A501" s="75" t="str">
        <f t="shared" si="27"/>
        <v/>
      </c>
      <c r="B501" s="87">
        <v>41</v>
      </c>
      <c r="C501" s="96">
        <v>45563</v>
      </c>
      <c r="D501" s="76">
        <f t="shared" si="28"/>
        <v>9</v>
      </c>
      <c r="E501" s="77" t="s">
        <v>428</v>
      </c>
      <c r="F501" s="95">
        <v>4</v>
      </c>
      <c r="G501" s="78" t="s">
        <v>663</v>
      </c>
      <c r="H501" s="91">
        <f t="shared" si="29"/>
        <v>2024</v>
      </c>
      <c r="I501" s="7" t="s">
        <v>625</v>
      </c>
      <c r="J501" s="76" t="s">
        <v>643</v>
      </c>
    </row>
    <row r="502" spans="1:10">
      <c r="A502" s="75" t="str">
        <f t="shared" si="27"/>
        <v/>
      </c>
      <c r="B502" s="87">
        <v>42</v>
      </c>
      <c r="C502" s="96">
        <v>45565</v>
      </c>
      <c r="D502" s="76">
        <f t="shared" si="28"/>
        <v>9</v>
      </c>
      <c r="E502" s="77" t="s">
        <v>438</v>
      </c>
      <c r="F502" s="95">
        <v>4</v>
      </c>
      <c r="G502" s="78" t="s">
        <v>664</v>
      </c>
      <c r="H502" s="91">
        <f t="shared" si="29"/>
        <v>2024</v>
      </c>
      <c r="I502" s="7" t="s">
        <v>665</v>
      </c>
      <c r="J502" s="76" t="s">
        <v>643</v>
      </c>
    </row>
    <row r="503" spans="1:10">
      <c r="A503" s="75" t="str">
        <f t="shared" si="27"/>
        <v/>
      </c>
    </row>
    <row r="504" spans="1:10">
      <c r="A504" s="75" t="str">
        <f t="shared" si="27"/>
        <v/>
      </c>
      <c r="B504" s="87">
        <v>1</v>
      </c>
      <c r="C504" s="96">
        <v>45527</v>
      </c>
      <c r="D504" s="76">
        <f t="shared" ref="D504:D525" si="30">MONTH(C504)</f>
        <v>8</v>
      </c>
      <c r="E504" s="77" t="s">
        <v>453</v>
      </c>
      <c r="F504" s="95">
        <v>4</v>
      </c>
      <c r="G504" s="78" t="s">
        <v>490</v>
      </c>
      <c r="H504" s="91">
        <f t="shared" ref="H504:H525" si="31">YEAR(C504)</f>
        <v>2024</v>
      </c>
      <c r="I504" s="7" t="s">
        <v>426</v>
      </c>
      <c r="J504" s="76" t="s">
        <v>666</v>
      </c>
    </row>
    <row r="505" spans="1:10">
      <c r="A505" s="75" t="str">
        <f t="shared" si="27"/>
        <v/>
      </c>
      <c r="B505" s="87">
        <v>2</v>
      </c>
      <c r="C505" s="96">
        <v>45527</v>
      </c>
      <c r="D505" s="76">
        <f t="shared" si="30"/>
        <v>8</v>
      </c>
      <c r="E505" s="77" t="s">
        <v>428</v>
      </c>
      <c r="F505" s="95">
        <v>4</v>
      </c>
      <c r="G505" s="78" t="s">
        <v>667</v>
      </c>
      <c r="H505" s="91">
        <f t="shared" si="31"/>
        <v>2024</v>
      </c>
      <c r="I505" s="7" t="s">
        <v>625</v>
      </c>
      <c r="J505" s="76" t="s">
        <v>666</v>
      </c>
    </row>
    <row r="506" spans="1:10">
      <c r="A506" s="75" t="str">
        <f t="shared" si="27"/>
        <v/>
      </c>
      <c r="B506" s="87">
        <v>3</v>
      </c>
      <c r="C506" s="96">
        <v>45528</v>
      </c>
      <c r="D506" s="76">
        <f t="shared" si="30"/>
        <v>8</v>
      </c>
      <c r="E506" s="77" t="s">
        <v>438</v>
      </c>
      <c r="F506" s="95">
        <v>4</v>
      </c>
      <c r="G506" s="78" t="s">
        <v>668</v>
      </c>
      <c r="H506" s="91">
        <f t="shared" si="31"/>
        <v>2024</v>
      </c>
      <c r="I506" s="7" t="s">
        <v>426</v>
      </c>
      <c r="J506" s="76" t="s">
        <v>666</v>
      </c>
    </row>
    <row r="507" spans="1:10">
      <c r="A507" s="75" t="str">
        <f t="shared" si="27"/>
        <v/>
      </c>
      <c r="B507" s="87">
        <v>4</v>
      </c>
      <c r="C507" s="96">
        <v>45528</v>
      </c>
      <c r="D507" s="76">
        <f t="shared" si="30"/>
        <v>8</v>
      </c>
      <c r="E507" s="77" t="s">
        <v>431</v>
      </c>
      <c r="F507" s="95">
        <v>4</v>
      </c>
      <c r="G507" s="78" t="s">
        <v>669</v>
      </c>
      <c r="H507" s="91">
        <f t="shared" si="31"/>
        <v>2024</v>
      </c>
      <c r="I507" s="7" t="s">
        <v>623</v>
      </c>
      <c r="J507" s="76" t="s">
        <v>666</v>
      </c>
    </row>
    <row r="508" spans="1:10">
      <c r="A508" s="75" t="str">
        <f t="shared" si="27"/>
        <v/>
      </c>
      <c r="B508" s="87">
        <v>5</v>
      </c>
      <c r="C508" s="96">
        <v>45528</v>
      </c>
      <c r="D508" s="76">
        <f t="shared" si="30"/>
        <v>8</v>
      </c>
      <c r="E508" s="77" t="s">
        <v>570</v>
      </c>
      <c r="F508" s="95">
        <v>4</v>
      </c>
      <c r="G508" s="78" t="s">
        <v>563</v>
      </c>
      <c r="H508" s="91">
        <f t="shared" si="31"/>
        <v>2024</v>
      </c>
      <c r="I508" s="7" t="s">
        <v>653</v>
      </c>
      <c r="J508" s="76" t="s">
        <v>666</v>
      </c>
    </row>
    <row r="509" spans="1:10">
      <c r="A509" s="75" t="str">
        <f t="shared" si="27"/>
        <v/>
      </c>
      <c r="B509" s="87">
        <v>6</v>
      </c>
      <c r="C509" s="96">
        <v>45528</v>
      </c>
      <c r="D509" s="76">
        <f t="shared" si="30"/>
        <v>8</v>
      </c>
      <c r="E509" s="77" t="s">
        <v>570</v>
      </c>
      <c r="F509" s="95">
        <v>4</v>
      </c>
      <c r="G509" s="78" t="s">
        <v>670</v>
      </c>
      <c r="H509" s="91">
        <f t="shared" si="31"/>
        <v>2024</v>
      </c>
      <c r="I509" s="7" t="s">
        <v>653</v>
      </c>
      <c r="J509" s="76" t="s">
        <v>666</v>
      </c>
    </row>
    <row r="510" spans="1:10">
      <c r="A510" s="75" t="str">
        <f t="shared" si="27"/>
        <v/>
      </c>
      <c r="B510" s="87">
        <v>7</v>
      </c>
      <c r="C510" s="96">
        <v>45530</v>
      </c>
      <c r="D510" s="76">
        <f t="shared" si="30"/>
        <v>8</v>
      </c>
      <c r="E510" s="77" t="s">
        <v>428</v>
      </c>
      <c r="F510" s="95">
        <v>4</v>
      </c>
      <c r="G510" s="78" t="s">
        <v>671</v>
      </c>
      <c r="H510" s="91">
        <f t="shared" si="31"/>
        <v>2024</v>
      </c>
      <c r="I510" s="7" t="s">
        <v>426</v>
      </c>
      <c r="J510" s="76" t="s">
        <v>666</v>
      </c>
    </row>
    <row r="511" spans="1:10">
      <c r="A511" s="75" t="str">
        <f t="shared" si="27"/>
        <v/>
      </c>
      <c r="B511" s="87">
        <v>8</v>
      </c>
      <c r="C511" s="96">
        <v>45530</v>
      </c>
      <c r="D511" s="76">
        <f t="shared" si="30"/>
        <v>8</v>
      </c>
      <c r="E511" s="77" t="s">
        <v>453</v>
      </c>
      <c r="F511" s="95">
        <v>4</v>
      </c>
      <c r="G511" s="78" t="s">
        <v>561</v>
      </c>
      <c r="H511" s="91">
        <f t="shared" si="31"/>
        <v>2024</v>
      </c>
      <c r="I511" s="7" t="s">
        <v>653</v>
      </c>
      <c r="J511" s="76" t="s">
        <v>666</v>
      </c>
    </row>
    <row r="512" spans="1:10">
      <c r="A512" s="75" t="str">
        <f t="shared" si="27"/>
        <v/>
      </c>
      <c r="B512" s="87">
        <v>9</v>
      </c>
      <c r="C512" s="96">
        <v>45531</v>
      </c>
      <c r="D512" s="76">
        <f t="shared" si="30"/>
        <v>8</v>
      </c>
      <c r="E512" s="77" t="s">
        <v>438</v>
      </c>
      <c r="F512" s="95">
        <v>4</v>
      </c>
      <c r="G512" s="78" t="s">
        <v>672</v>
      </c>
      <c r="H512" s="91">
        <f t="shared" si="31"/>
        <v>2024</v>
      </c>
      <c r="I512" s="7" t="s">
        <v>426</v>
      </c>
      <c r="J512" s="76" t="s">
        <v>666</v>
      </c>
    </row>
    <row r="513" spans="1:10">
      <c r="A513" s="75" t="str">
        <f t="shared" si="27"/>
        <v/>
      </c>
      <c r="B513" s="87">
        <v>10</v>
      </c>
      <c r="C513" s="96">
        <v>45532</v>
      </c>
      <c r="D513" s="76">
        <f t="shared" si="30"/>
        <v>8</v>
      </c>
      <c r="E513" s="77" t="s">
        <v>438</v>
      </c>
      <c r="F513" s="95">
        <v>4</v>
      </c>
      <c r="G513" s="78" t="s">
        <v>437</v>
      </c>
      <c r="H513" s="91">
        <f t="shared" si="31"/>
        <v>2024</v>
      </c>
      <c r="I513" s="7" t="s">
        <v>426</v>
      </c>
      <c r="J513" s="76" t="s">
        <v>666</v>
      </c>
    </row>
    <row r="514" spans="1:10">
      <c r="A514" s="75" t="str">
        <f t="shared" si="27"/>
        <v/>
      </c>
      <c r="B514" s="87">
        <v>11</v>
      </c>
      <c r="C514" s="96">
        <v>45532</v>
      </c>
      <c r="D514" s="76">
        <f t="shared" si="30"/>
        <v>8</v>
      </c>
      <c r="E514" s="77" t="s">
        <v>428</v>
      </c>
      <c r="F514" s="95">
        <v>4</v>
      </c>
      <c r="G514" s="78" t="s">
        <v>673</v>
      </c>
      <c r="H514" s="91">
        <f t="shared" si="31"/>
        <v>2024</v>
      </c>
      <c r="I514" s="7" t="s">
        <v>623</v>
      </c>
      <c r="J514" s="76" t="s">
        <v>666</v>
      </c>
    </row>
    <row r="515" spans="1:10">
      <c r="A515" s="75" t="str">
        <f t="shared" si="27"/>
        <v/>
      </c>
      <c r="B515" s="87">
        <v>12</v>
      </c>
      <c r="C515" s="96">
        <v>45533</v>
      </c>
      <c r="D515" s="76">
        <f t="shared" si="30"/>
        <v>8</v>
      </c>
      <c r="E515" s="77" t="s">
        <v>424</v>
      </c>
      <c r="F515" s="95">
        <v>4</v>
      </c>
      <c r="G515" s="78" t="s">
        <v>480</v>
      </c>
      <c r="H515" s="91">
        <f t="shared" si="31"/>
        <v>2024</v>
      </c>
      <c r="I515" s="7" t="s">
        <v>426</v>
      </c>
      <c r="J515" s="76" t="s">
        <v>666</v>
      </c>
    </row>
    <row r="516" spans="1:10">
      <c r="A516" s="75" t="str">
        <f t="shared" si="27"/>
        <v/>
      </c>
      <c r="B516" s="87">
        <v>13</v>
      </c>
      <c r="C516" s="96">
        <v>45533</v>
      </c>
      <c r="D516" s="76">
        <f t="shared" si="30"/>
        <v>8</v>
      </c>
      <c r="E516" s="77" t="s">
        <v>570</v>
      </c>
      <c r="F516" s="95">
        <v>4</v>
      </c>
      <c r="G516" s="78" t="s">
        <v>674</v>
      </c>
      <c r="H516" s="91">
        <f t="shared" si="31"/>
        <v>2024</v>
      </c>
      <c r="I516" s="7" t="s">
        <v>653</v>
      </c>
      <c r="J516" s="76" t="s">
        <v>666</v>
      </c>
    </row>
    <row r="517" spans="1:10">
      <c r="A517" s="75" t="str">
        <f t="shared" si="27"/>
        <v/>
      </c>
      <c r="B517" s="87">
        <v>14</v>
      </c>
      <c r="C517" s="96">
        <v>45533</v>
      </c>
      <c r="D517" s="76">
        <f t="shared" si="30"/>
        <v>8</v>
      </c>
      <c r="E517" s="77" t="s">
        <v>428</v>
      </c>
      <c r="F517" s="95">
        <v>4</v>
      </c>
      <c r="G517" s="78" t="s">
        <v>446</v>
      </c>
      <c r="H517" s="91">
        <f t="shared" si="31"/>
        <v>2024</v>
      </c>
      <c r="I517" s="7" t="s">
        <v>623</v>
      </c>
      <c r="J517" s="76" t="s">
        <v>666</v>
      </c>
    </row>
    <row r="518" spans="1:10">
      <c r="A518" s="75" t="str">
        <f t="shared" si="27"/>
        <v/>
      </c>
      <c r="B518" s="87">
        <v>15</v>
      </c>
      <c r="C518" s="96">
        <v>45533</v>
      </c>
      <c r="D518" s="76">
        <f t="shared" si="30"/>
        <v>8</v>
      </c>
      <c r="E518" s="77" t="s">
        <v>428</v>
      </c>
      <c r="F518" s="95">
        <v>4</v>
      </c>
      <c r="G518" s="78" t="s">
        <v>482</v>
      </c>
      <c r="H518" s="91">
        <f t="shared" si="31"/>
        <v>2024</v>
      </c>
      <c r="I518" s="7" t="s">
        <v>625</v>
      </c>
      <c r="J518" s="76" t="s">
        <v>666</v>
      </c>
    </row>
    <row r="519" spans="1:10">
      <c r="A519" s="75" t="str">
        <f t="shared" si="27"/>
        <v/>
      </c>
      <c r="B519" s="87">
        <v>16</v>
      </c>
      <c r="C519" s="96">
        <v>45533</v>
      </c>
      <c r="D519" s="76">
        <f t="shared" si="30"/>
        <v>8</v>
      </c>
      <c r="E519" s="77" t="s">
        <v>570</v>
      </c>
      <c r="F519" s="95">
        <v>4</v>
      </c>
      <c r="G519" s="78" t="s">
        <v>675</v>
      </c>
      <c r="H519" s="91">
        <f t="shared" si="31"/>
        <v>2024</v>
      </c>
      <c r="I519" s="7" t="s">
        <v>625</v>
      </c>
      <c r="J519" s="76" t="s">
        <v>666</v>
      </c>
    </row>
    <row r="520" spans="1:10">
      <c r="A520" s="75" t="str">
        <f t="shared" si="27"/>
        <v/>
      </c>
      <c r="B520" s="87">
        <v>17</v>
      </c>
      <c r="C520" s="96">
        <v>45534</v>
      </c>
      <c r="D520" s="76">
        <f t="shared" si="30"/>
        <v>8</v>
      </c>
      <c r="E520" s="77" t="s">
        <v>428</v>
      </c>
      <c r="F520" s="95">
        <v>4</v>
      </c>
      <c r="G520" s="78" t="s">
        <v>475</v>
      </c>
      <c r="H520" s="91">
        <f t="shared" si="31"/>
        <v>2024</v>
      </c>
      <c r="I520" s="7" t="s">
        <v>426</v>
      </c>
      <c r="J520" s="76" t="s">
        <v>666</v>
      </c>
    </row>
    <row r="521" spans="1:10">
      <c r="A521" s="75" t="str">
        <f t="shared" si="27"/>
        <v/>
      </c>
      <c r="B521" s="87">
        <v>18</v>
      </c>
      <c r="C521" s="96">
        <v>45534</v>
      </c>
      <c r="D521" s="76">
        <f t="shared" si="30"/>
        <v>8</v>
      </c>
      <c r="E521" s="77" t="s">
        <v>431</v>
      </c>
      <c r="F521" s="95">
        <v>4</v>
      </c>
      <c r="G521" s="78" t="s">
        <v>676</v>
      </c>
      <c r="H521" s="91">
        <f t="shared" si="31"/>
        <v>2024</v>
      </c>
      <c r="I521" s="7" t="s">
        <v>653</v>
      </c>
      <c r="J521" s="76" t="s">
        <v>666</v>
      </c>
    </row>
    <row r="522" spans="1:10">
      <c r="A522" s="75" t="str">
        <f t="shared" si="27"/>
        <v/>
      </c>
      <c r="B522" s="87">
        <v>19</v>
      </c>
      <c r="C522" s="96">
        <v>45534</v>
      </c>
      <c r="D522" s="76">
        <f t="shared" si="30"/>
        <v>8</v>
      </c>
      <c r="E522" s="77" t="s">
        <v>453</v>
      </c>
      <c r="F522" s="95">
        <v>4</v>
      </c>
      <c r="G522" s="78" t="s">
        <v>677</v>
      </c>
      <c r="H522" s="91">
        <f t="shared" si="31"/>
        <v>2024</v>
      </c>
      <c r="I522" s="7" t="s">
        <v>678</v>
      </c>
      <c r="J522" s="76" t="s">
        <v>666</v>
      </c>
    </row>
    <row r="523" spans="1:10">
      <c r="A523" s="75" t="str">
        <f t="shared" ref="A523:A586" si="32">IF(AND($E$3="ALL",$E$4="ALL"),"ALL",IF(AND($E$3="ALL",$E$4&lt;&gt;"ALL"),IF(D523=$E$4,D523,""),IF(AND($E$3&lt;&gt;"ALL",$E$4="ALL"),IF(I523=$E$3,I523,""),"")))</f>
        <v/>
      </c>
      <c r="B523" s="87">
        <v>20</v>
      </c>
      <c r="C523" s="96">
        <v>45534</v>
      </c>
      <c r="D523" s="76">
        <f t="shared" si="30"/>
        <v>8</v>
      </c>
      <c r="E523" s="77" t="s">
        <v>428</v>
      </c>
      <c r="F523" s="95">
        <v>4</v>
      </c>
      <c r="G523" s="78" t="s">
        <v>624</v>
      </c>
      <c r="H523" s="91">
        <f t="shared" si="31"/>
        <v>2024</v>
      </c>
      <c r="I523" s="7" t="s">
        <v>679</v>
      </c>
      <c r="J523" s="76" t="s">
        <v>666</v>
      </c>
    </row>
    <row r="524" spans="1:10">
      <c r="A524" s="75" t="str">
        <f t="shared" si="32"/>
        <v/>
      </c>
      <c r="B524" s="87">
        <v>21</v>
      </c>
      <c r="C524" s="96">
        <v>45535</v>
      </c>
      <c r="D524" s="76">
        <f t="shared" si="30"/>
        <v>8</v>
      </c>
      <c r="E524" s="77" t="s">
        <v>424</v>
      </c>
      <c r="F524" s="95">
        <v>4</v>
      </c>
      <c r="G524" s="78" t="s">
        <v>680</v>
      </c>
      <c r="H524" s="91">
        <f t="shared" si="31"/>
        <v>2024</v>
      </c>
      <c r="I524" s="7" t="s">
        <v>426</v>
      </c>
      <c r="J524" s="76" t="s">
        <v>666</v>
      </c>
    </row>
    <row r="525" spans="1:10">
      <c r="A525" s="75" t="str">
        <f t="shared" si="32"/>
        <v/>
      </c>
      <c r="B525" s="87">
        <v>22</v>
      </c>
      <c r="C525" s="96">
        <v>45535</v>
      </c>
      <c r="D525" s="76">
        <f t="shared" si="30"/>
        <v>8</v>
      </c>
      <c r="E525" s="77" t="s">
        <v>570</v>
      </c>
      <c r="F525" s="95">
        <v>4</v>
      </c>
      <c r="G525" s="78" t="s">
        <v>437</v>
      </c>
      <c r="H525" s="91">
        <f t="shared" si="31"/>
        <v>2024</v>
      </c>
      <c r="I525" s="7" t="s">
        <v>679</v>
      </c>
      <c r="J525" s="76" t="s">
        <v>666</v>
      </c>
    </row>
    <row r="526" spans="1:10">
      <c r="A526" s="75" t="str">
        <f t="shared" si="32"/>
        <v/>
      </c>
    </row>
    <row r="527" spans="1:10">
      <c r="A527" s="75" t="str">
        <f t="shared" si="32"/>
        <v/>
      </c>
      <c r="B527" s="87">
        <v>1</v>
      </c>
      <c r="C527" s="96">
        <v>45454</v>
      </c>
      <c r="D527" s="76">
        <f t="shared" ref="D527:D569" si="33">MONTH(C527)</f>
        <v>6</v>
      </c>
      <c r="E527" s="77" t="s">
        <v>424</v>
      </c>
      <c r="F527" s="95">
        <v>4</v>
      </c>
      <c r="G527" s="78" t="s">
        <v>681</v>
      </c>
      <c r="H527" s="91">
        <f t="shared" ref="H527:H569" si="34">YEAR(C527)</f>
        <v>2024</v>
      </c>
      <c r="I527" s="7" t="s">
        <v>426</v>
      </c>
      <c r="J527" s="76" t="s">
        <v>682</v>
      </c>
    </row>
    <row r="528" spans="1:10">
      <c r="A528" s="75" t="str">
        <f t="shared" si="32"/>
        <v/>
      </c>
      <c r="B528" s="87">
        <v>2</v>
      </c>
      <c r="C528" s="96">
        <v>45456</v>
      </c>
      <c r="D528" s="76">
        <f t="shared" si="33"/>
        <v>6</v>
      </c>
      <c r="E528" s="77" t="s">
        <v>424</v>
      </c>
      <c r="F528" s="95">
        <v>4</v>
      </c>
      <c r="G528" s="78" t="s">
        <v>683</v>
      </c>
      <c r="H528" s="91">
        <f t="shared" si="34"/>
        <v>2024</v>
      </c>
      <c r="I528" s="7" t="s">
        <v>426</v>
      </c>
      <c r="J528" s="76" t="s">
        <v>682</v>
      </c>
    </row>
    <row r="529" spans="1:10">
      <c r="A529" s="75" t="str">
        <f t="shared" si="32"/>
        <v/>
      </c>
      <c r="B529" s="87">
        <v>3</v>
      </c>
      <c r="C529" s="96">
        <v>45456</v>
      </c>
      <c r="D529" s="76">
        <f t="shared" si="33"/>
        <v>6</v>
      </c>
      <c r="E529" s="77" t="s">
        <v>428</v>
      </c>
      <c r="F529" s="95">
        <v>4</v>
      </c>
      <c r="G529" s="78" t="s">
        <v>559</v>
      </c>
      <c r="H529" s="91">
        <f t="shared" si="34"/>
        <v>2024</v>
      </c>
      <c r="I529" s="7" t="s">
        <v>426</v>
      </c>
      <c r="J529" s="76" t="s">
        <v>682</v>
      </c>
    </row>
    <row r="530" spans="1:10">
      <c r="A530" s="75" t="str">
        <f t="shared" si="32"/>
        <v/>
      </c>
      <c r="B530" s="87">
        <v>4</v>
      </c>
      <c r="C530" s="96">
        <v>45457</v>
      </c>
      <c r="D530" s="76">
        <f t="shared" si="33"/>
        <v>6</v>
      </c>
      <c r="E530" s="77" t="s">
        <v>438</v>
      </c>
      <c r="F530" s="95">
        <v>4</v>
      </c>
      <c r="G530" s="78" t="s">
        <v>442</v>
      </c>
      <c r="H530" s="91">
        <f t="shared" si="34"/>
        <v>2024</v>
      </c>
      <c r="I530" s="7" t="s">
        <v>426</v>
      </c>
      <c r="J530" s="76" t="s">
        <v>682</v>
      </c>
    </row>
    <row r="531" spans="1:10">
      <c r="A531" s="75" t="str">
        <f t="shared" si="32"/>
        <v/>
      </c>
      <c r="B531" s="87">
        <v>5</v>
      </c>
      <c r="C531" s="96">
        <v>45461</v>
      </c>
      <c r="D531" s="76">
        <f t="shared" si="33"/>
        <v>6</v>
      </c>
      <c r="E531" s="77" t="s">
        <v>454</v>
      </c>
      <c r="F531" s="95">
        <v>2</v>
      </c>
      <c r="G531" s="78" t="s">
        <v>684</v>
      </c>
      <c r="H531" s="91">
        <f t="shared" si="34"/>
        <v>2024</v>
      </c>
      <c r="I531" s="7" t="s">
        <v>426</v>
      </c>
      <c r="J531" s="76" t="s">
        <v>682</v>
      </c>
    </row>
    <row r="532" spans="1:10">
      <c r="A532" s="75" t="str">
        <f t="shared" si="32"/>
        <v/>
      </c>
      <c r="B532" s="87">
        <v>6</v>
      </c>
      <c r="C532" s="96">
        <v>45461</v>
      </c>
      <c r="D532" s="76">
        <f t="shared" si="33"/>
        <v>6</v>
      </c>
      <c r="E532" s="77" t="s">
        <v>454</v>
      </c>
      <c r="F532" s="95">
        <v>2</v>
      </c>
      <c r="G532" s="78" t="s">
        <v>685</v>
      </c>
      <c r="H532" s="91">
        <f t="shared" si="34"/>
        <v>2024</v>
      </c>
      <c r="I532" s="7" t="s">
        <v>426</v>
      </c>
      <c r="J532" s="76" t="s">
        <v>682</v>
      </c>
    </row>
    <row r="533" spans="1:10">
      <c r="A533" s="75" t="str">
        <f t="shared" si="32"/>
        <v/>
      </c>
      <c r="B533" s="87">
        <v>7</v>
      </c>
      <c r="C533" s="96">
        <v>45463</v>
      </c>
      <c r="D533" s="76">
        <f t="shared" si="33"/>
        <v>6</v>
      </c>
      <c r="E533" s="77" t="s">
        <v>686</v>
      </c>
      <c r="F533" s="95">
        <v>4</v>
      </c>
      <c r="G533" s="78" t="s">
        <v>437</v>
      </c>
      <c r="H533" s="91">
        <f t="shared" si="34"/>
        <v>2024</v>
      </c>
      <c r="I533" s="7" t="s">
        <v>426</v>
      </c>
      <c r="J533" s="76" t="s">
        <v>682</v>
      </c>
    </row>
    <row r="534" spans="1:10">
      <c r="A534" s="75" t="str">
        <f t="shared" si="32"/>
        <v/>
      </c>
      <c r="B534" s="87">
        <v>8</v>
      </c>
      <c r="C534" s="96">
        <v>45464</v>
      </c>
      <c r="D534" s="76">
        <f t="shared" si="33"/>
        <v>6</v>
      </c>
      <c r="E534" s="77" t="s">
        <v>424</v>
      </c>
      <c r="F534" s="95">
        <v>4</v>
      </c>
      <c r="G534" s="78" t="s">
        <v>473</v>
      </c>
      <c r="H534" s="91">
        <f t="shared" si="34"/>
        <v>2024</v>
      </c>
      <c r="I534" s="7" t="s">
        <v>426</v>
      </c>
      <c r="J534" s="76" t="s">
        <v>682</v>
      </c>
    </row>
    <row r="535" spans="1:10">
      <c r="A535" s="75" t="str">
        <f t="shared" si="32"/>
        <v/>
      </c>
      <c r="B535" s="87">
        <v>9</v>
      </c>
      <c r="C535" s="96">
        <v>45465</v>
      </c>
      <c r="D535" s="76">
        <f t="shared" si="33"/>
        <v>6</v>
      </c>
      <c r="E535" s="77" t="s">
        <v>686</v>
      </c>
      <c r="F535" s="95">
        <v>4</v>
      </c>
      <c r="G535" s="78" t="s">
        <v>687</v>
      </c>
      <c r="H535" s="91">
        <f t="shared" si="34"/>
        <v>2024</v>
      </c>
      <c r="I535" s="7" t="s">
        <v>426</v>
      </c>
      <c r="J535" s="76" t="s">
        <v>682</v>
      </c>
    </row>
    <row r="536" spans="1:10">
      <c r="A536" s="75" t="str">
        <f t="shared" si="32"/>
        <v/>
      </c>
      <c r="B536" s="87">
        <v>10</v>
      </c>
      <c r="C536" s="96">
        <v>45469</v>
      </c>
      <c r="D536" s="76">
        <f t="shared" si="33"/>
        <v>6</v>
      </c>
      <c r="E536" s="77" t="s">
        <v>424</v>
      </c>
      <c r="F536" s="95">
        <v>4</v>
      </c>
      <c r="G536" s="78" t="s">
        <v>555</v>
      </c>
      <c r="H536" s="91">
        <f t="shared" si="34"/>
        <v>2024</v>
      </c>
      <c r="I536" s="7" t="s">
        <v>426</v>
      </c>
      <c r="J536" s="76" t="s">
        <v>682</v>
      </c>
    </row>
    <row r="537" spans="1:10">
      <c r="A537" s="75" t="str">
        <f t="shared" si="32"/>
        <v/>
      </c>
      <c r="B537" s="87">
        <v>11</v>
      </c>
      <c r="C537" s="96">
        <v>45471</v>
      </c>
      <c r="D537" s="76">
        <f t="shared" si="33"/>
        <v>6</v>
      </c>
      <c r="E537" s="77" t="s">
        <v>438</v>
      </c>
      <c r="F537" s="95">
        <v>4</v>
      </c>
      <c r="G537" s="78" t="s">
        <v>555</v>
      </c>
      <c r="H537" s="91">
        <f t="shared" si="34"/>
        <v>2024</v>
      </c>
      <c r="I537" s="7" t="s">
        <v>426</v>
      </c>
      <c r="J537" s="76" t="s">
        <v>682</v>
      </c>
    </row>
    <row r="538" spans="1:10">
      <c r="A538" s="75" t="str">
        <f t="shared" si="32"/>
        <v/>
      </c>
      <c r="B538" s="87">
        <v>12</v>
      </c>
      <c r="C538" s="96">
        <v>45472</v>
      </c>
      <c r="D538" s="76">
        <f t="shared" si="33"/>
        <v>6</v>
      </c>
      <c r="E538" s="77" t="s">
        <v>431</v>
      </c>
      <c r="F538" s="95">
        <v>4</v>
      </c>
      <c r="G538" s="78" t="s">
        <v>596</v>
      </c>
      <c r="H538" s="91">
        <f t="shared" si="34"/>
        <v>2024</v>
      </c>
      <c r="I538" s="7" t="s">
        <v>426</v>
      </c>
      <c r="J538" s="76" t="s">
        <v>682</v>
      </c>
    </row>
    <row r="539" spans="1:10">
      <c r="A539" s="75" t="str">
        <f t="shared" si="32"/>
        <v/>
      </c>
      <c r="B539" s="87">
        <v>13</v>
      </c>
      <c r="C539" s="96">
        <v>45475</v>
      </c>
      <c r="D539" s="76">
        <f t="shared" si="33"/>
        <v>7</v>
      </c>
      <c r="E539" s="77" t="s">
        <v>428</v>
      </c>
      <c r="F539" s="95">
        <v>4</v>
      </c>
      <c r="G539" s="78" t="s">
        <v>688</v>
      </c>
      <c r="H539" s="91">
        <f t="shared" si="34"/>
        <v>2024</v>
      </c>
      <c r="I539" s="7" t="s">
        <v>426</v>
      </c>
      <c r="J539" s="76" t="s">
        <v>682</v>
      </c>
    </row>
    <row r="540" spans="1:10">
      <c r="A540" s="75" t="str">
        <f t="shared" si="32"/>
        <v/>
      </c>
      <c r="B540" s="87">
        <v>14</v>
      </c>
      <c r="C540" s="96">
        <v>45476</v>
      </c>
      <c r="D540" s="76">
        <f t="shared" si="33"/>
        <v>7</v>
      </c>
      <c r="E540" s="77" t="s">
        <v>686</v>
      </c>
      <c r="F540" s="95">
        <v>4</v>
      </c>
      <c r="G540" s="78" t="s">
        <v>437</v>
      </c>
      <c r="H540" s="91">
        <f t="shared" si="34"/>
        <v>2024</v>
      </c>
      <c r="I540" s="7" t="s">
        <v>426</v>
      </c>
      <c r="J540" s="76" t="s">
        <v>682</v>
      </c>
    </row>
    <row r="541" spans="1:10">
      <c r="A541" s="75" t="str">
        <f t="shared" si="32"/>
        <v/>
      </c>
      <c r="B541" s="87">
        <v>15</v>
      </c>
      <c r="C541" s="96">
        <v>45477</v>
      </c>
      <c r="D541" s="76">
        <f t="shared" si="33"/>
        <v>7</v>
      </c>
      <c r="E541" s="77" t="s">
        <v>570</v>
      </c>
      <c r="F541" s="95">
        <v>4</v>
      </c>
      <c r="G541" s="78" t="s">
        <v>437</v>
      </c>
      <c r="H541" s="91">
        <f t="shared" si="34"/>
        <v>2024</v>
      </c>
      <c r="I541" s="7" t="s">
        <v>426</v>
      </c>
      <c r="J541" s="76" t="s">
        <v>682</v>
      </c>
    </row>
    <row r="542" spans="1:10">
      <c r="A542" s="75" t="str">
        <f t="shared" si="32"/>
        <v/>
      </c>
      <c r="B542" s="87">
        <v>16</v>
      </c>
      <c r="C542" s="96">
        <v>45479</v>
      </c>
      <c r="D542" s="76">
        <f t="shared" si="33"/>
        <v>7</v>
      </c>
      <c r="E542" s="77" t="s">
        <v>438</v>
      </c>
      <c r="F542" s="95">
        <v>4</v>
      </c>
      <c r="G542" s="78" t="s">
        <v>437</v>
      </c>
      <c r="H542" s="91">
        <f t="shared" si="34"/>
        <v>2024</v>
      </c>
      <c r="I542" s="7" t="s">
        <v>426</v>
      </c>
      <c r="J542" s="76" t="s">
        <v>682</v>
      </c>
    </row>
    <row r="543" spans="1:10">
      <c r="A543" s="75" t="str">
        <f t="shared" si="32"/>
        <v/>
      </c>
      <c r="B543" s="87">
        <v>17</v>
      </c>
      <c r="C543" s="96">
        <v>45481</v>
      </c>
      <c r="D543" s="76">
        <f t="shared" si="33"/>
        <v>7</v>
      </c>
      <c r="E543" s="77" t="s">
        <v>424</v>
      </c>
      <c r="F543" s="95">
        <v>4</v>
      </c>
      <c r="G543" s="78" t="s">
        <v>513</v>
      </c>
      <c r="H543" s="91">
        <f t="shared" si="34"/>
        <v>2024</v>
      </c>
      <c r="I543" s="7" t="s">
        <v>426</v>
      </c>
      <c r="J543" s="76" t="s">
        <v>682</v>
      </c>
    </row>
    <row r="544" spans="1:10">
      <c r="A544" s="75" t="str">
        <f t="shared" si="32"/>
        <v/>
      </c>
      <c r="B544" s="87">
        <v>18</v>
      </c>
      <c r="C544" s="96">
        <v>45482</v>
      </c>
      <c r="D544" s="76">
        <f t="shared" si="33"/>
        <v>7</v>
      </c>
      <c r="E544" s="77" t="s">
        <v>454</v>
      </c>
      <c r="F544" s="95">
        <v>2</v>
      </c>
      <c r="G544" s="78" t="s">
        <v>475</v>
      </c>
      <c r="H544" s="91">
        <f t="shared" si="34"/>
        <v>2024</v>
      </c>
      <c r="I544" s="7" t="s">
        <v>426</v>
      </c>
      <c r="J544" s="76" t="s">
        <v>682</v>
      </c>
    </row>
    <row r="545" spans="1:10">
      <c r="A545" s="75" t="str">
        <f t="shared" si="32"/>
        <v/>
      </c>
      <c r="B545" s="87">
        <v>19</v>
      </c>
      <c r="C545" s="96">
        <v>45482</v>
      </c>
      <c r="D545" s="76">
        <f t="shared" si="33"/>
        <v>7</v>
      </c>
      <c r="E545" s="77" t="s">
        <v>454</v>
      </c>
      <c r="F545" s="95">
        <v>2</v>
      </c>
      <c r="G545" s="78" t="s">
        <v>611</v>
      </c>
      <c r="H545" s="91">
        <f t="shared" si="34"/>
        <v>2024</v>
      </c>
      <c r="I545" s="7" t="s">
        <v>426</v>
      </c>
      <c r="J545" s="76" t="s">
        <v>682</v>
      </c>
    </row>
    <row r="546" spans="1:10">
      <c r="A546" s="75" t="str">
        <f t="shared" si="32"/>
        <v/>
      </c>
      <c r="B546" s="87">
        <v>20</v>
      </c>
      <c r="C546" s="96">
        <v>45483</v>
      </c>
      <c r="D546" s="76">
        <f t="shared" si="33"/>
        <v>7</v>
      </c>
      <c r="E546" s="77" t="s">
        <v>433</v>
      </c>
      <c r="F546" s="95">
        <v>4</v>
      </c>
      <c r="G546" s="78" t="s">
        <v>470</v>
      </c>
      <c r="H546" s="91">
        <f t="shared" si="34"/>
        <v>2024</v>
      </c>
      <c r="I546" s="7" t="s">
        <v>426</v>
      </c>
      <c r="J546" s="76" t="s">
        <v>682</v>
      </c>
    </row>
    <row r="547" spans="1:10">
      <c r="A547" s="75" t="str">
        <f t="shared" si="32"/>
        <v/>
      </c>
      <c r="B547" s="87">
        <v>21</v>
      </c>
      <c r="C547" s="96">
        <v>45484</v>
      </c>
      <c r="D547" s="76">
        <f t="shared" si="33"/>
        <v>7</v>
      </c>
      <c r="E547" s="77" t="s">
        <v>428</v>
      </c>
      <c r="F547" s="95">
        <v>4</v>
      </c>
      <c r="G547" s="78" t="s">
        <v>567</v>
      </c>
      <c r="H547" s="91">
        <f t="shared" si="34"/>
        <v>2024</v>
      </c>
      <c r="I547" s="7" t="s">
        <v>426</v>
      </c>
      <c r="J547" s="76" t="s">
        <v>682</v>
      </c>
    </row>
    <row r="548" spans="1:10">
      <c r="A548" s="75" t="str">
        <f t="shared" si="32"/>
        <v/>
      </c>
      <c r="B548" s="87">
        <v>22</v>
      </c>
      <c r="C548" s="96">
        <v>45485</v>
      </c>
      <c r="D548" s="76">
        <f t="shared" si="33"/>
        <v>7</v>
      </c>
      <c r="E548" s="77" t="s">
        <v>570</v>
      </c>
      <c r="F548" s="95">
        <v>4</v>
      </c>
      <c r="G548" s="78" t="s">
        <v>585</v>
      </c>
      <c r="H548" s="91">
        <f t="shared" si="34"/>
        <v>2024</v>
      </c>
      <c r="I548" s="7" t="s">
        <v>426</v>
      </c>
      <c r="J548" s="76" t="s">
        <v>682</v>
      </c>
    </row>
    <row r="549" spans="1:10">
      <c r="A549" s="75" t="str">
        <f t="shared" si="32"/>
        <v/>
      </c>
      <c r="B549" s="87">
        <v>23</v>
      </c>
      <c r="C549" s="96">
        <v>45446</v>
      </c>
      <c r="D549" s="76">
        <f t="shared" si="33"/>
        <v>6</v>
      </c>
      <c r="E549" s="77" t="s">
        <v>453</v>
      </c>
      <c r="F549" s="95">
        <v>4</v>
      </c>
      <c r="G549" s="78" t="s">
        <v>680</v>
      </c>
      <c r="H549" s="91">
        <f t="shared" si="34"/>
        <v>2024</v>
      </c>
      <c r="I549" s="7" t="s">
        <v>625</v>
      </c>
      <c r="J549" s="76" t="s">
        <v>682</v>
      </c>
    </row>
    <row r="550" spans="1:10">
      <c r="A550" s="75" t="str">
        <f t="shared" si="32"/>
        <v/>
      </c>
      <c r="B550" s="87">
        <v>24</v>
      </c>
      <c r="C550" s="96">
        <v>45448</v>
      </c>
      <c r="D550" s="76">
        <f t="shared" si="33"/>
        <v>6</v>
      </c>
      <c r="E550" s="77" t="s">
        <v>689</v>
      </c>
      <c r="F550" s="95">
        <v>4</v>
      </c>
      <c r="G550" s="78" t="s">
        <v>636</v>
      </c>
      <c r="H550" s="91">
        <f t="shared" si="34"/>
        <v>2024</v>
      </c>
      <c r="I550" s="7" t="s">
        <v>623</v>
      </c>
      <c r="J550" s="76" t="s">
        <v>682</v>
      </c>
    </row>
    <row r="551" spans="1:10">
      <c r="A551" s="75" t="str">
        <f t="shared" si="32"/>
        <v/>
      </c>
      <c r="B551" s="87">
        <v>25</v>
      </c>
      <c r="C551" s="96">
        <v>45450</v>
      </c>
      <c r="D551" s="76">
        <f t="shared" si="33"/>
        <v>6</v>
      </c>
      <c r="E551" s="77" t="s">
        <v>492</v>
      </c>
      <c r="F551" s="95">
        <v>4</v>
      </c>
      <c r="G551" s="78" t="s">
        <v>636</v>
      </c>
      <c r="H551" s="91">
        <f t="shared" si="34"/>
        <v>2024</v>
      </c>
      <c r="I551" s="7" t="s">
        <v>625</v>
      </c>
      <c r="J551" s="76" t="s">
        <v>682</v>
      </c>
    </row>
    <row r="552" spans="1:10">
      <c r="A552" s="75" t="str">
        <f t="shared" si="32"/>
        <v/>
      </c>
      <c r="B552" s="87">
        <v>26</v>
      </c>
      <c r="C552" s="96">
        <v>45451</v>
      </c>
      <c r="D552" s="76">
        <f t="shared" si="33"/>
        <v>6</v>
      </c>
      <c r="E552" s="77" t="s">
        <v>428</v>
      </c>
      <c r="F552" s="95">
        <v>4</v>
      </c>
      <c r="G552" s="78" t="s">
        <v>636</v>
      </c>
      <c r="H552" s="91">
        <f t="shared" si="34"/>
        <v>2024</v>
      </c>
      <c r="I552" s="7" t="s">
        <v>625</v>
      </c>
      <c r="J552" s="76" t="s">
        <v>682</v>
      </c>
    </row>
    <row r="553" spans="1:10">
      <c r="A553" s="75" t="str">
        <f t="shared" si="32"/>
        <v/>
      </c>
      <c r="B553" s="87">
        <v>27</v>
      </c>
      <c r="C553" s="96">
        <v>45451</v>
      </c>
      <c r="D553" s="76">
        <f t="shared" si="33"/>
        <v>6</v>
      </c>
      <c r="E553" s="77" t="s">
        <v>690</v>
      </c>
      <c r="F553" s="95">
        <v>4</v>
      </c>
      <c r="G553" s="78" t="s">
        <v>437</v>
      </c>
      <c r="H553" s="91">
        <f t="shared" si="34"/>
        <v>2024</v>
      </c>
      <c r="I553" s="7" t="s">
        <v>653</v>
      </c>
      <c r="J553" s="76" t="s">
        <v>682</v>
      </c>
    </row>
    <row r="554" spans="1:10">
      <c r="A554" s="75" t="str">
        <f t="shared" si="32"/>
        <v/>
      </c>
      <c r="B554" s="87">
        <v>28</v>
      </c>
      <c r="C554" s="96">
        <v>45451</v>
      </c>
      <c r="D554" s="76">
        <f t="shared" si="33"/>
        <v>6</v>
      </c>
      <c r="E554" s="77" t="s">
        <v>424</v>
      </c>
      <c r="F554" s="95">
        <v>4</v>
      </c>
      <c r="G554" s="78" t="s">
        <v>585</v>
      </c>
      <c r="H554" s="91">
        <f t="shared" si="34"/>
        <v>2024</v>
      </c>
      <c r="I554" s="7" t="s">
        <v>623</v>
      </c>
      <c r="J554" s="76" t="s">
        <v>682</v>
      </c>
    </row>
    <row r="555" spans="1:10">
      <c r="A555" s="75" t="str">
        <f t="shared" si="32"/>
        <v/>
      </c>
      <c r="B555" s="87">
        <v>29</v>
      </c>
      <c r="C555" s="96">
        <v>45455</v>
      </c>
      <c r="D555" s="76">
        <f t="shared" si="33"/>
        <v>6</v>
      </c>
      <c r="E555" s="77" t="s">
        <v>570</v>
      </c>
      <c r="F555" s="95">
        <v>4</v>
      </c>
      <c r="G555" s="78" t="s">
        <v>636</v>
      </c>
      <c r="H555" s="91">
        <f t="shared" si="34"/>
        <v>2024</v>
      </c>
      <c r="I555" s="7" t="s">
        <v>653</v>
      </c>
      <c r="J555" s="76" t="s">
        <v>682</v>
      </c>
    </row>
    <row r="556" spans="1:10">
      <c r="A556" s="75" t="str">
        <f t="shared" si="32"/>
        <v/>
      </c>
      <c r="B556" s="87">
        <v>30</v>
      </c>
      <c r="C556" s="96">
        <v>45455</v>
      </c>
      <c r="D556" s="76">
        <f t="shared" si="33"/>
        <v>6</v>
      </c>
      <c r="E556" s="77" t="s">
        <v>438</v>
      </c>
      <c r="F556" s="95">
        <v>4</v>
      </c>
      <c r="G556" s="78" t="s">
        <v>691</v>
      </c>
      <c r="H556" s="91">
        <f t="shared" si="34"/>
        <v>2024</v>
      </c>
      <c r="I556" s="7" t="s">
        <v>625</v>
      </c>
      <c r="J556" s="76" t="s">
        <v>682</v>
      </c>
    </row>
    <row r="557" spans="1:10">
      <c r="A557" s="75" t="str">
        <f t="shared" si="32"/>
        <v/>
      </c>
      <c r="B557" s="87">
        <v>31</v>
      </c>
      <c r="C557" s="96">
        <v>45455</v>
      </c>
      <c r="D557" s="76">
        <f t="shared" si="33"/>
        <v>6</v>
      </c>
      <c r="E557" s="77" t="s">
        <v>689</v>
      </c>
      <c r="F557" s="95">
        <v>4</v>
      </c>
      <c r="G557" s="78" t="s">
        <v>636</v>
      </c>
      <c r="H557" s="91">
        <f t="shared" si="34"/>
        <v>2024</v>
      </c>
      <c r="I557" s="7" t="s">
        <v>625</v>
      </c>
      <c r="J557" s="76" t="s">
        <v>682</v>
      </c>
    </row>
    <row r="558" spans="1:10">
      <c r="A558" s="75" t="str">
        <f t="shared" si="32"/>
        <v/>
      </c>
      <c r="B558" s="87">
        <v>32</v>
      </c>
      <c r="C558" s="96">
        <v>45457</v>
      </c>
      <c r="D558" s="76">
        <f t="shared" si="33"/>
        <v>6</v>
      </c>
      <c r="E558" s="77" t="s">
        <v>433</v>
      </c>
      <c r="F558" s="95">
        <v>4</v>
      </c>
      <c r="G558" s="78" t="s">
        <v>493</v>
      </c>
      <c r="H558" s="91">
        <f t="shared" si="34"/>
        <v>2024</v>
      </c>
      <c r="I558" s="7" t="s">
        <v>623</v>
      </c>
      <c r="J558" s="76" t="s">
        <v>682</v>
      </c>
    </row>
    <row r="559" spans="1:10">
      <c r="A559" s="75" t="str">
        <f t="shared" si="32"/>
        <v/>
      </c>
      <c r="B559" s="87">
        <v>33</v>
      </c>
      <c r="C559" s="96">
        <v>45458</v>
      </c>
      <c r="D559" s="76">
        <f t="shared" si="33"/>
        <v>6</v>
      </c>
      <c r="E559" s="77" t="s">
        <v>433</v>
      </c>
      <c r="F559" s="95">
        <v>4</v>
      </c>
      <c r="G559" s="78" t="s">
        <v>559</v>
      </c>
      <c r="H559" s="91">
        <f t="shared" si="34"/>
        <v>2024</v>
      </c>
      <c r="I559" s="7" t="s">
        <v>623</v>
      </c>
      <c r="J559" s="76" t="s">
        <v>682</v>
      </c>
    </row>
    <row r="560" spans="1:10">
      <c r="A560" s="75" t="str">
        <f t="shared" si="32"/>
        <v/>
      </c>
      <c r="B560" s="87">
        <v>34</v>
      </c>
      <c r="C560" s="96">
        <v>45459</v>
      </c>
      <c r="D560" s="76">
        <f t="shared" si="33"/>
        <v>6</v>
      </c>
      <c r="E560" s="77" t="s">
        <v>438</v>
      </c>
      <c r="F560" s="95">
        <v>4</v>
      </c>
      <c r="G560" s="78" t="s">
        <v>636</v>
      </c>
      <c r="H560" s="91">
        <f t="shared" si="34"/>
        <v>2024</v>
      </c>
      <c r="I560" s="7" t="s">
        <v>625</v>
      </c>
      <c r="J560" s="76" t="s">
        <v>682</v>
      </c>
    </row>
    <row r="561" spans="1:10">
      <c r="A561" s="75" t="str">
        <f t="shared" si="32"/>
        <v/>
      </c>
      <c r="B561" s="87">
        <v>35</v>
      </c>
      <c r="C561" s="96">
        <v>45463</v>
      </c>
      <c r="D561" s="76">
        <f t="shared" si="33"/>
        <v>6</v>
      </c>
      <c r="E561" s="77" t="s">
        <v>428</v>
      </c>
      <c r="F561" s="95">
        <v>4</v>
      </c>
      <c r="G561" s="78" t="s">
        <v>636</v>
      </c>
      <c r="H561" s="91">
        <f t="shared" si="34"/>
        <v>2024</v>
      </c>
      <c r="I561" s="7" t="s">
        <v>625</v>
      </c>
      <c r="J561" s="76" t="s">
        <v>682</v>
      </c>
    </row>
    <row r="562" spans="1:10">
      <c r="A562" s="75" t="str">
        <f t="shared" si="32"/>
        <v/>
      </c>
      <c r="B562" s="87">
        <v>36</v>
      </c>
      <c r="C562" s="96">
        <v>45464</v>
      </c>
      <c r="D562" s="76">
        <f t="shared" si="33"/>
        <v>6</v>
      </c>
      <c r="E562" s="77" t="s">
        <v>690</v>
      </c>
      <c r="F562" s="95">
        <v>4</v>
      </c>
      <c r="G562" s="78" t="s">
        <v>636</v>
      </c>
      <c r="H562" s="91">
        <f t="shared" si="34"/>
        <v>2024</v>
      </c>
      <c r="I562" s="7" t="s">
        <v>625</v>
      </c>
      <c r="J562" s="76" t="s">
        <v>682</v>
      </c>
    </row>
    <row r="563" spans="1:10">
      <c r="A563" s="75" t="str">
        <f t="shared" si="32"/>
        <v/>
      </c>
      <c r="B563" s="87">
        <v>37</v>
      </c>
      <c r="C563" s="96">
        <v>45464</v>
      </c>
      <c r="D563" s="76">
        <f t="shared" si="33"/>
        <v>6</v>
      </c>
      <c r="E563" s="77" t="s">
        <v>433</v>
      </c>
      <c r="F563" s="95">
        <v>4</v>
      </c>
      <c r="G563" s="78" t="s">
        <v>674</v>
      </c>
      <c r="H563" s="91">
        <f t="shared" si="34"/>
        <v>2024</v>
      </c>
      <c r="I563" s="7" t="s">
        <v>692</v>
      </c>
      <c r="J563" s="76" t="s">
        <v>682</v>
      </c>
    </row>
    <row r="564" spans="1:10">
      <c r="A564" s="75" t="str">
        <f t="shared" si="32"/>
        <v/>
      </c>
      <c r="B564" s="87">
        <v>38</v>
      </c>
      <c r="C564" s="96">
        <v>45467</v>
      </c>
      <c r="D564" s="76">
        <f t="shared" si="33"/>
        <v>6</v>
      </c>
      <c r="E564" s="77" t="s">
        <v>424</v>
      </c>
      <c r="F564" s="95">
        <v>4</v>
      </c>
      <c r="G564" s="78" t="s">
        <v>636</v>
      </c>
      <c r="H564" s="91">
        <f t="shared" si="34"/>
        <v>2024</v>
      </c>
      <c r="I564" s="7" t="s">
        <v>625</v>
      </c>
      <c r="J564" s="76" t="s">
        <v>682</v>
      </c>
    </row>
    <row r="565" spans="1:10">
      <c r="A565" s="75" t="str">
        <f t="shared" si="32"/>
        <v/>
      </c>
      <c r="B565" s="87">
        <v>39</v>
      </c>
      <c r="C565" s="96">
        <v>45469</v>
      </c>
      <c r="D565" s="76">
        <f t="shared" si="33"/>
        <v>6</v>
      </c>
      <c r="E565" s="77" t="s">
        <v>686</v>
      </c>
      <c r="F565" s="95">
        <v>4</v>
      </c>
      <c r="G565" s="78" t="s">
        <v>507</v>
      </c>
      <c r="H565" s="91">
        <f t="shared" si="34"/>
        <v>2024</v>
      </c>
      <c r="I565" s="7" t="s">
        <v>623</v>
      </c>
      <c r="J565" s="76" t="s">
        <v>682</v>
      </c>
    </row>
    <row r="566" spans="1:10">
      <c r="A566" s="75" t="str">
        <f t="shared" si="32"/>
        <v/>
      </c>
      <c r="B566" s="87">
        <v>40</v>
      </c>
      <c r="C566" s="96">
        <v>45469</v>
      </c>
      <c r="D566" s="76">
        <f t="shared" si="33"/>
        <v>6</v>
      </c>
      <c r="E566" s="77" t="s">
        <v>438</v>
      </c>
      <c r="F566" s="95">
        <v>4</v>
      </c>
      <c r="G566" s="78" t="s">
        <v>636</v>
      </c>
      <c r="H566" s="91">
        <f t="shared" si="34"/>
        <v>2024</v>
      </c>
      <c r="I566" s="7" t="s">
        <v>653</v>
      </c>
      <c r="J566" s="76" t="s">
        <v>682</v>
      </c>
    </row>
    <row r="567" spans="1:10">
      <c r="A567" s="75" t="str">
        <f t="shared" si="32"/>
        <v/>
      </c>
      <c r="B567" s="87">
        <v>41</v>
      </c>
      <c r="C567" s="96">
        <v>45470</v>
      </c>
      <c r="D567" s="76">
        <f t="shared" si="33"/>
        <v>6</v>
      </c>
      <c r="E567" s="77" t="s">
        <v>690</v>
      </c>
      <c r="F567" s="95">
        <v>4</v>
      </c>
      <c r="G567" s="78" t="s">
        <v>636</v>
      </c>
      <c r="H567" s="91">
        <f t="shared" si="34"/>
        <v>2024</v>
      </c>
      <c r="I567" s="7" t="s">
        <v>625</v>
      </c>
      <c r="J567" s="76" t="s">
        <v>682</v>
      </c>
    </row>
    <row r="568" spans="1:10">
      <c r="A568" s="75" t="str">
        <f t="shared" si="32"/>
        <v/>
      </c>
      <c r="B568" s="87">
        <v>42</v>
      </c>
      <c r="C568" s="96">
        <v>45474</v>
      </c>
      <c r="D568" s="76">
        <f t="shared" si="33"/>
        <v>7</v>
      </c>
      <c r="E568" s="77" t="s">
        <v>453</v>
      </c>
      <c r="F568" s="95">
        <v>4</v>
      </c>
      <c r="G568" s="78" t="s">
        <v>693</v>
      </c>
      <c r="H568" s="91">
        <f t="shared" si="34"/>
        <v>2024</v>
      </c>
      <c r="I568" s="7" t="s">
        <v>625</v>
      </c>
      <c r="J568" s="76" t="s">
        <v>682</v>
      </c>
    </row>
    <row r="569" spans="1:10">
      <c r="A569" s="75" t="str">
        <f t="shared" si="32"/>
        <v/>
      </c>
      <c r="B569" s="87">
        <v>43</v>
      </c>
      <c r="C569" s="96">
        <v>45479</v>
      </c>
      <c r="D569" s="76">
        <f t="shared" si="33"/>
        <v>7</v>
      </c>
      <c r="E569" s="77" t="s">
        <v>570</v>
      </c>
      <c r="F569" s="95">
        <v>4</v>
      </c>
      <c r="G569" s="78" t="s">
        <v>439</v>
      </c>
      <c r="H569" s="91">
        <f t="shared" si="34"/>
        <v>2024</v>
      </c>
      <c r="I569" s="7" t="s">
        <v>653</v>
      </c>
      <c r="J569" s="76" t="s">
        <v>682</v>
      </c>
    </row>
    <row r="570" spans="1:10">
      <c r="A570" s="75" t="str">
        <f t="shared" si="32"/>
        <v/>
      </c>
    </row>
    <row r="571" spans="1:10">
      <c r="A571" s="75" t="str">
        <f t="shared" si="32"/>
        <v/>
      </c>
      <c r="B571" s="87">
        <v>1</v>
      </c>
      <c r="C571" s="96">
        <v>45486</v>
      </c>
      <c r="D571" s="76">
        <f t="shared" ref="D571:D602" si="35">MONTH(C571)</f>
        <v>7</v>
      </c>
      <c r="E571" s="77" t="s">
        <v>433</v>
      </c>
      <c r="F571" s="95">
        <v>4</v>
      </c>
      <c r="G571" s="78" t="s">
        <v>446</v>
      </c>
      <c r="H571" s="91">
        <f t="shared" ref="H571:H602" si="36">YEAR(C571)</f>
        <v>2024</v>
      </c>
      <c r="I571" s="7" t="s">
        <v>426</v>
      </c>
      <c r="J571" s="76" t="s">
        <v>694</v>
      </c>
    </row>
    <row r="572" spans="1:10">
      <c r="A572" s="75" t="str">
        <f t="shared" si="32"/>
        <v/>
      </c>
      <c r="B572" s="87">
        <v>2</v>
      </c>
      <c r="C572" s="96">
        <v>45488</v>
      </c>
      <c r="D572" s="76">
        <f t="shared" si="35"/>
        <v>7</v>
      </c>
      <c r="E572" s="77" t="s">
        <v>492</v>
      </c>
      <c r="F572" s="95">
        <v>4</v>
      </c>
      <c r="G572" s="78" t="s">
        <v>446</v>
      </c>
      <c r="H572" s="91">
        <f t="shared" si="36"/>
        <v>2024</v>
      </c>
      <c r="I572" s="7" t="s">
        <v>426</v>
      </c>
      <c r="J572" s="76" t="s">
        <v>694</v>
      </c>
    </row>
    <row r="573" spans="1:10">
      <c r="A573" s="75" t="str">
        <f t="shared" si="32"/>
        <v/>
      </c>
      <c r="B573" s="87">
        <v>3</v>
      </c>
      <c r="C573" s="96">
        <v>45489</v>
      </c>
      <c r="D573" s="76">
        <f t="shared" si="35"/>
        <v>7</v>
      </c>
      <c r="E573" s="77" t="s">
        <v>438</v>
      </c>
      <c r="F573" s="95">
        <v>4</v>
      </c>
      <c r="G573" s="78" t="s">
        <v>473</v>
      </c>
      <c r="H573" s="91">
        <f t="shared" si="36"/>
        <v>2024</v>
      </c>
      <c r="I573" s="7" t="s">
        <v>426</v>
      </c>
      <c r="J573" s="76" t="s">
        <v>694</v>
      </c>
    </row>
    <row r="574" spans="1:10">
      <c r="A574" s="75" t="str">
        <f t="shared" si="32"/>
        <v/>
      </c>
      <c r="B574" s="87">
        <v>4</v>
      </c>
      <c r="C574" s="96">
        <v>45490</v>
      </c>
      <c r="D574" s="76">
        <f t="shared" si="35"/>
        <v>7</v>
      </c>
      <c r="E574" s="77" t="s">
        <v>453</v>
      </c>
      <c r="F574" s="95">
        <v>4</v>
      </c>
      <c r="G574" s="78" t="s">
        <v>693</v>
      </c>
      <c r="H574" s="91">
        <f t="shared" si="36"/>
        <v>2024</v>
      </c>
      <c r="I574" s="7" t="s">
        <v>426</v>
      </c>
      <c r="J574" s="76" t="s">
        <v>694</v>
      </c>
    </row>
    <row r="575" spans="1:10">
      <c r="A575" s="75" t="str">
        <f t="shared" si="32"/>
        <v/>
      </c>
      <c r="B575" s="87">
        <v>5</v>
      </c>
      <c r="C575" s="96">
        <v>45490</v>
      </c>
      <c r="D575" s="76">
        <f t="shared" si="35"/>
        <v>7</v>
      </c>
      <c r="E575" s="77" t="s">
        <v>449</v>
      </c>
      <c r="F575" s="95">
        <v>2</v>
      </c>
      <c r="G575" s="78" t="s">
        <v>437</v>
      </c>
      <c r="H575" s="91">
        <f t="shared" si="36"/>
        <v>2024</v>
      </c>
      <c r="I575" s="7" t="s">
        <v>426</v>
      </c>
      <c r="J575" s="76" t="s">
        <v>694</v>
      </c>
    </row>
    <row r="576" spans="1:10">
      <c r="A576" s="75" t="str">
        <f t="shared" si="32"/>
        <v/>
      </c>
      <c r="B576" s="87">
        <v>6</v>
      </c>
      <c r="C576" s="96">
        <v>45490</v>
      </c>
      <c r="D576" s="76">
        <f t="shared" si="35"/>
        <v>7</v>
      </c>
      <c r="E576" s="77" t="s">
        <v>695</v>
      </c>
      <c r="F576" s="95">
        <v>2</v>
      </c>
      <c r="G576" s="78" t="s">
        <v>549</v>
      </c>
      <c r="H576" s="91">
        <f t="shared" si="36"/>
        <v>2024</v>
      </c>
      <c r="I576" s="7" t="s">
        <v>426</v>
      </c>
      <c r="J576" s="76" t="s">
        <v>694</v>
      </c>
    </row>
    <row r="577" spans="1:10">
      <c r="A577" s="75" t="str">
        <f t="shared" si="32"/>
        <v/>
      </c>
      <c r="B577" s="87">
        <v>7</v>
      </c>
      <c r="C577" s="96">
        <v>45491</v>
      </c>
      <c r="D577" s="76">
        <f t="shared" si="35"/>
        <v>7</v>
      </c>
      <c r="E577" s="77" t="s">
        <v>695</v>
      </c>
      <c r="F577" s="95">
        <v>2</v>
      </c>
      <c r="G577" s="78" t="s">
        <v>506</v>
      </c>
      <c r="H577" s="91">
        <f t="shared" si="36"/>
        <v>2024</v>
      </c>
      <c r="I577" s="7" t="s">
        <v>426</v>
      </c>
      <c r="J577" s="76" t="s">
        <v>694</v>
      </c>
    </row>
    <row r="578" spans="1:10">
      <c r="A578" s="75" t="str">
        <f t="shared" si="32"/>
        <v/>
      </c>
      <c r="B578" s="87">
        <v>8</v>
      </c>
      <c r="C578" s="96">
        <v>45491</v>
      </c>
      <c r="D578" s="76">
        <f t="shared" si="35"/>
        <v>7</v>
      </c>
      <c r="E578" s="77" t="s">
        <v>695</v>
      </c>
      <c r="F578" s="95">
        <v>2</v>
      </c>
      <c r="G578" s="78" t="s">
        <v>696</v>
      </c>
      <c r="H578" s="91">
        <f t="shared" si="36"/>
        <v>2024</v>
      </c>
      <c r="I578" s="7" t="s">
        <v>426</v>
      </c>
      <c r="J578" s="76" t="s">
        <v>694</v>
      </c>
    </row>
    <row r="579" spans="1:10">
      <c r="A579" s="75" t="str">
        <f t="shared" si="32"/>
        <v/>
      </c>
      <c r="B579" s="87">
        <v>9</v>
      </c>
      <c r="C579" s="96">
        <v>45492</v>
      </c>
      <c r="D579" s="76">
        <f t="shared" si="35"/>
        <v>7</v>
      </c>
      <c r="E579" s="77" t="s">
        <v>695</v>
      </c>
      <c r="F579" s="95">
        <v>2</v>
      </c>
      <c r="G579" s="78" t="s">
        <v>442</v>
      </c>
      <c r="H579" s="91">
        <f t="shared" si="36"/>
        <v>2024</v>
      </c>
      <c r="I579" s="7" t="s">
        <v>426</v>
      </c>
      <c r="J579" s="76" t="s">
        <v>694</v>
      </c>
    </row>
    <row r="580" spans="1:10">
      <c r="A580" s="75" t="str">
        <f t="shared" si="32"/>
        <v/>
      </c>
      <c r="B580" s="87">
        <v>10</v>
      </c>
      <c r="C580" s="96">
        <v>45492</v>
      </c>
      <c r="D580" s="76">
        <f t="shared" si="35"/>
        <v>7</v>
      </c>
      <c r="E580" s="77" t="s">
        <v>449</v>
      </c>
      <c r="F580" s="95">
        <v>2</v>
      </c>
      <c r="G580" s="78" t="s">
        <v>697</v>
      </c>
      <c r="H580" s="91">
        <f t="shared" si="36"/>
        <v>2024</v>
      </c>
      <c r="I580" s="7" t="s">
        <v>426</v>
      </c>
      <c r="J580" s="76" t="s">
        <v>694</v>
      </c>
    </row>
    <row r="581" spans="1:10">
      <c r="A581" s="75" t="str">
        <f t="shared" si="32"/>
        <v/>
      </c>
      <c r="B581" s="87">
        <v>11</v>
      </c>
      <c r="C581" s="96">
        <v>45493</v>
      </c>
      <c r="D581" s="76">
        <f t="shared" si="35"/>
        <v>7</v>
      </c>
      <c r="E581" s="77" t="s">
        <v>695</v>
      </c>
      <c r="F581" s="95">
        <v>2</v>
      </c>
      <c r="G581" s="78" t="s">
        <v>698</v>
      </c>
      <c r="H581" s="91">
        <f t="shared" si="36"/>
        <v>2024</v>
      </c>
      <c r="I581" s="7" t="s">
        <v>426</v>
      </c>
      <c r="J581" s="76" t="s">
        <v>694</v>
      </c>
    </row>
    <row r="582" spans="1:10">
      <c r="A582" s="75" t="str">
        <f t="shared" si="32"/>
        <v/>
      </c>
      <c r="B582" s="87">
        <v>12</v>
      </c>
      <c r="C582" s="96">
        <v>45493</v>
      </c>
      <c r="D582" s="76">
        <f t="shared" si="35"/>
        <v>7</v>
      </c>
      <c r="E582" s="77" t="s">
        <v>699</v>
      </c>
      <c r="F582" s="95">
        <v>2</v>
      </c>
      <c r="G582" s="78" t="s">
        <v>700</v>
      </c>
      <c r="H582" s="91">
        <f t="shared" si="36"/>
        <v>2024</v>
      </c>
      <c r="I582" s="7" t="s">
        <v>426</v>
      </c>
      <c r="J582" s="76" t="s">
        <v>694</v>
      </c>
    </row>
    <row r="583" spans="1:10">
      <c r="A583" s="75" t="str">
        <f t="shared" si="32"/>
        <v/>
      </c>
      <c r="B583" s="87">
        <v>13</v>
      </c>
      <c r="C583" s="96">
        <v>45495</v>
      </c>
      <c r="D583" s="76">
        <f t="shared" si="35"/>
        <v>7</v>
      </c>
      <c r="E583" s="77" t="s">
        <v>449</v>
      </c>
      <c r="F583" s="95">
        <v>2</v>
      </c>
      <c r="G583" s="78" t="s">
        <v>471</v>
      </c>
      <c r="H583" s="91">
        <f t="shared" si="36"/>
        <v>2024</v>
      </c>
      <c r="I583" s="7" t="s">
        <v>426</v>
      </c>
      <c r="J583" s="76" t="s">
        <v>694</v>
      </c>
    </row>
    <row r="584" spans="1:10">
      <c r="A584" s="75" t="str">
        <f t="shared" si="32"/>
        <v/>
      </c>
      <c r="B584" s="87">
        <v>14</v>
      </c>
      <c r="C584" s="96">
        <v>45495</v>
      </c>
      <c r="D584" s="76">
        <f t="shared" si="35"/>
        <v>7</v>
      </c>
      <c r="E584" s="77" t="s">
        <v>449</v>
      </c>
      <c r="F584" s="95">
        <v>2</v>
      </c>
      <c r="G584" s="78" t="s">
        <v>443</v>
      </c>
      <c r="H584" s="91">
        <f t="shared" si="36"/>
        <v>2024</v>
      </c>
      <c r="I584" s="7" t="s">
        <v>426</v>
      </c>
      <c r="J584" s="76" t="s">
        <v>694</v>
      </c>
    </row>
    <row r="585" spans="1:10">
      <c r="A585" s="75" t="str">
        <f t="shared" si="32"/>
        <v/>
      </c>
      <c r="B585" s="87">
        <v>15</v>
      </c>
      <c r="C585" s="96">
        <v>45496</v>
      </c>
      <c r="D585" s="76">
        <f t="shared" si="35"/>
        <v>7</v>
      </c>
      <c r="E585" s="77" t="s">
        <v>449</v>
      </c>
      <c r="F585" s="95">
        <v>2</v>
      </c>
      <c r="G585" s="78" t="s">
        <v>439</v>
      </c>
      <c r="H585" s="91">
        <f t="shared" si="36"/>
        <v>2024</v>
      </c>
      <c r="I585" s="7" t="s">
        <v>426</v>
      </c>
      <c r="J585" s="76" t="s">
        <v>694</v>
      </c>
    </row>
    <row r="586" spans="1:10">
      <c r="A586" s="75" t="str">
        <f t="shared" si="32"/>
        <v/>
      </c>
      <c r="B586" s="87">
        <v>16</v>
      </c>
      <c r="C586" s="96">
        <v>45496</v>
      </c>
      <c r="D586" s="76">
        <f t="shared" si="35"/>
        <v>7</v>
      </c>
      <c r="E586" s="77" t="s">
        <v>449</v>
      </c>
      <c r="F586" s="95">
        <v>2</v>
      </c>
      <c r="G586" s="78" t="s">
        <v>506</v>
      </c>
      <c r="H586" s="91">
        <f t="shared" si="36"/>
        <v>2024</v>
      </c>
      <c r="I586" s="7" t="s">
        <v>426</v>
      </c>
      <c r="J586" s="76" t="s">
        <v>694</v>
      </c>
    </row>
    <row r="587" spans="1:10">
      <c r="A587" s="75" t="str">
        <f t="shared" ref="A587:A650" si="37">IF(AND($E$3="ALL",$E$4="ALL"),"ALL",IF(AND($E$3="ALL",$E$4&lt;&gt;"ALL"),IF(D587=$E$4,D587,""),IF(AND($E$3&lt;&gt;"ALL",$E$4="ALL"),IF(I587=$E$3,I587,""),"")))</f>
        <v/>
      </c>
      <c r="B587" s="87">
        <v>17</v>
      </c>
      <c r="C587" s="96">
        <v>45497</v>
      </c>
      <c r="D587" s="76">
        <f t="shared" si="35"/>
        <v>7</v>
      </c>
      <c r="E587" s="77" t="s">
        <v>695</v>
      </c>
      <c r="F587" s="95">
        <v>2</v>
      </c>
      <c r="G587" s="78" t="s">
        <v>701</v>
      </c>
      <c r="H587" s="91">
        <f t="shared" si="36"/>
        <v>2024</v>
      </c>
      <c r="I587" s="7" t="s">
        <v>426</v>
      </c>
      <c r="J587" s="76" t="s">
        <v>694</v>
      </c>
    </row>
    <row r="588" spans="1:10">
      <c r="A588" s="75" t="str">
        <f t="shared" si="37"/>
        <v/>
      </c>
      <c r="B588" s="87">
        <v>18</v>
      </c>
      <c r="C588" s="96">
        <v>45497</v>
      </c>
      <c r="D588" s="76">
        <f t="shared" si="35"/>
        <v>7</v>
      </c>
      <c r="E588" s="77" t="s">
        <v>699</v>
      </c>
      <c r="F588" s="95">
        <v>2</v>
      </c>
      <c r="G588" s="78" t="s">
        <v>702</v>
      </c>
      <c r="H588" s="91">
        <f t="shared" si="36"/>
        <v>2024</v>
      </c>
      <c r="I588" s="7" t="s">
        <v>426</v>
      </c>
      <c r="J588" s="76" t="s">
        <v>694</v>
      </c>
    </row>
    <row r="589" spans="1:10">
      <c r="A589" s="75" t="str">
        <f t="shared" si="37"/>
        <v/>
      </c>
      <c r="B589" s="87">
        <v>19</v>
      </c>
      <c r="C589" s="96">
        <v>45498</v>
      </c>
      <c r="D589" s="76">
        <f t="shared" si="35"/>
        <v>7</v>
      </c>
      <c r="E589" s="77" t="s">
        <v>449</v>
      </c>
      <c r="F589" s="95">
        <v>2</v>
      </c>
      <c r="G589" s="78" t="s">
        <v>473</v>
      </c>
      <c r="H589" s="91">
        <f t="shared" si="36"/>
        <v>2024</v>
      </c>
      <c r="I589" s="7" t="s">
        <v>426</v>
      </c>
      <c r="J589" s="76" t="s">
        <v>694</v>
      </c>
    </row>
    <row r="590" spans="1:10">
      <c r="A590" s="75" t="str">
        <f t="shared" si="37"/>
        <v/>
      </c>
      <c r="B590" s="87">
        <v>20</v>
      </c>
      <c r="C590" s="96">
        <v>45498</v>
      </c>
      <c r="D590" s="76">
        <f t="shared" si="35"/>
        <v>7</v>
      </c>
      <c r="E590" s="77" t="s">
        <v>699</v>
      </c>
      <c r="F590" s="95">
        <v>2</v>
      </c>
      <c r="G590" s="78" t="s">
        <v>488</v>
      </c>
      <c r="H590" s="91">
        <f t="shared" si="36"/>
        <v>2024</v>
      </c>
      <c r="I590" s="7" t="s">
        <v>426</v>
      </c>
      <c r="J590" s="76" t="s">
        <v>694</v>
      </c>
    </row>
    <row r="591" spans="1:10">
      <c r="A591" s="75" t="str">
        <f t="shared" si="37"/>
        <v/>
      </c>
      <c r="B591" s="87">
        <v>21</v>
      </c>
      <c r="C591" s="96">
        <v>45499</v>
      </c>
      <c r="D591" s="76">
        <f t="shared" si="35"/>
        <v>7</v>
      </c>
      <c r="E591" s="77" t="s">
        <v>449</v>
      </c>
      <c r="F591" s="95">
        <v>2</v>
      </c>
      <c r="G591" s="78" t="s">
        <v>437</v>
      </c>
      <c r="H591" s="91">
        <f t="shared" si="36"/>
        <v>2024</v>
      </c>
      <c r="I591" s="7" t="s">
        <v>426</v>
      </c>
      <c r="J591" s="76" t="s">
        <v>694</v>
      </c>
    </row>
    <row r="592" spans="1:10">
      <c r="A592" s="75" t="str">
        <f t="shared" si="37"/>
        <v/>
      </c>
      <c r="B592" s="87">
        <v>22</v>
      </c>
      <c r="C592" s="96">
        <v>45499</v>
      </c>
      <c r="D592" s="76">
        <f t="shared" si="35"/>
        <v>7</v>
      </c>
      <c r="E592" s="77" t="s">
        <v>699</v>
      </c>
      <c r="F592" s="95">
        <v>2</v>
      </c>
      <c r="G592" s="78" t="s">
        <v>488</v>
      </c>
      <c r="H592" s="91">
        <f t="shared" si="36"/>
        <v>2024</v>
      </c>
      <c r="I592" s="7" t="s">
        <v>426</v>
      </c>
      <c r="J592" s="76" t="s">
        <v>694</v>
      </c>
    </row>
    <row r="593" spans="1:10">
      <c r="A593" s="75" t="str">
        <f t="shared" si="37"/>
        <v/>
      </c>
      <c r="B593" s="87">
        <v>23</v>
      </c>
      <c r="C593" s="96">
        <v>45502</v>
      </c>
      <c r="D593" s="76">
        <f t="shared" si="35"/>
        <v>7</v>
      </c>
      <c r="E593" s="77" t="s">
        <v>570</v>
      </c>
      <c r="F593" s="95">
        <v>4</v>
      </c>
      <c r="G593" s="78" t="s">
        <v>511</v>
      </c>
      <c r="H593" s="91">
        <f t="shared" si="36"/>
        <v>2024</v>
      </c>
      <c r="I593" s="7" t="s">
        <v>426</v>
      </c>
      <c r="J593" s="76" t="s">
        <v>694</v>
      </c>
    </row>
    <row r="594" spans="1:10">
      <c r="A594" s="75" t="str">
        <f t="shared" si="37"/>
        <v/>
      </c>
      <c r="B594" s="87">
        <v>24</v>
      </c>
      <c r="C594" s="96">
        <v>45503</v>
      </c>
      <c r="D594" s="76">
        <f t="shared" si="35"/>
        <v>7</v>
      </c>
      <c r="E594" s="77" t="s">
        <v>438</v>
      </c>
      <c r="F594" s="95">
        <v>4</v>
      </c>
      <c r="G594" s="78" t="s">
        <v>555</v>
      </c>
      <c r="H594" s="91">
        <f t="shared" si="36"/>
        <v>2024</v>
      </c>
      <c r="I594" s="7" t="s">
        <v>426</v>
      </c>
      <c r="J594" s="76" t="s">
        <v>694</v>
      </c>
    </row>
    <row r="595" spans="1:10">
      <c r="A595" s="75" t="str">
        <f t="shared" si="37"/>
        <v/>
      </c>
      <c r="B595" s="87">
        <v>25</v>
      </c>
      <c r="C595" s="96">
        <v>45504</v>
      </c>
      <c r="D595" s="76">
        <f t="shared" si="35"/>
        <v>7</v>
      </c>
      <c r="E595" s="77" t="s">
        <v>424</v>
      </c>
      <c r="F595" s="95">
        <v>4</v>
      </c>
      <c r="G595" s="78" t="s">
        <v>440</v>
      </c>
      <c r="H595" s="91">
        <f t="shared" si="36"/>
        <v>2024</v>
      </c>
      <c r="I595" s="7" t="s">
        <v>426</v>
      </c>
      <c r="J595" s="76" t="s">
        <v>694</v>
      </c>
    </row>
    <row r="596" spans="1:10">
      <c r="A596" s="75" t="str">
        <f t="shared" si="37"/>
        <v/>
      </c>
      <c r="B596" s="87">
        <v>26</v>
      </c>
      <c r="C596" s="96">
        <v>45505</v>
      </c>
      <c r="D596" s="76">
        <f t="shared" si="35"/>
        <v>8</v>
      </c>
      <c r="E596" s="77" t="s">
        <v>449</v>
      </c>
      <c r="F596" s="95">
        <v>2</v>
      </c>
      <c r="G596" s="78" t="s">
        <v>550</v>
      </c>
      <c r="H596" s="91">
        <f t="shared" si="36"/>
        <v>2024</v>
      </c>
      <c r="I596" s="7" t="s">
        <v>426</v>
      </c>
      <c r="J596" s="76" t="s">
        <v>694</v>
      </c>
    </row>
    <row r="597" spans="1:10">
      <c r="A597" s="75" t="str">
        <f t="shared" si="37"/>
        <v/>
      </c>
      <c r="B597" s="87">
        <v>27</v>
      </c>
      <c r="C597" s="96">
        <v>45505</v>
      </c>
      <c r="D597" s="76">
        <f t="shared" si="35"/>
        <v>8</v>
      </c>
      <c r="E597" s="77" t="s">
        <v>449</v>
      </c>
      <c r="F597" s="95">
        <v>2</v>
      </c>
      <c r="G597" s="78" t="s">
        <v>563</v>
      </c>
      <c r="H597" s="91">
        <f t="shared" si="36"/>
        <v>2024</v>
      </c>
      <c r="I597" s="7" t="s">
        <v>426</v>
      </c>
      <c r="J597" s="76" t="s">
        <v>694</v>
      </c>
    </row>
    <row r="598" spans="1:10">
      <c r="A598" s="75" t="str">
        <f t="shared" si="37"/>
        <v/>
      </c>
      <c r="B598" s="87">
        <v>28</v>
      </c>
      <c r="C598" s="96">
        <v>45506</v>
      </c>
      <c r="D598" s="76">
        <f t="shared" si="35"/>
        <v>8</v>
      </c>
      <c r="E598" s="77" t="s">
        <v>449</v>
      </c>
      <c r="F598" s="95">
        <v>2</v>
      </c>
      <c r="G598" s="78" t="s">
        <v>703</v>
      </c>
      <c r="H598" s="91">
        <f t="shared" si="36"/>
        <v>2024</v>
      </c>
      <c r="I598" s="7" t="s">
        <v>426</v>
      </c>
      <c r="J598" s="76" t="s">
        <v>694</v>
      </c>
    </row>
    <row r="599" spans="1:10">
      <c r="A599" s="75" t="str">
        <f t="shared" si="37"/>
        <v/>
      </c>
      <c r="B599" s="87">
        <v>29</v>
      </c>
      <c r="C599" s="96">
        <v>45506</v>
      </c>
      <c r="D599" s="76">
        <f t="shared" si="35"/>
        <v>8</v>
      </c>
      <c r="E599" s="77" t="s">
        <v>449</v>
      </c>
      <c r="F599" s="95">
        <v>2</v>
      </c>
      <c r="G599" s="78" t="s">
        <v>567</v>
      </c>
      <c r="H599" s="91">
        <f t="shared" si="36"/>
        <v>2024</v>
      </c>
      <c r="I599" s="7" t="s">
        <v>426</v>
      </c>
      <c r="J599" s="76" t="s">
        <v>694</v>
      </c>
    </row>
    <row r="600" spans="1:10">
      <c r="A600" s="75" t="str">
        <f t="shared" si="37"/>
        <v/>
      </c>
      <c r="B600" s="87">
        <v>30</v>
      </c>
      <c r="C600" s="96">
        <v>45517</v>
      </c>
      <c r="D600" s="76">
        <f t="shared" si="35"/>
        <v>8</v>
      </c>
      <c r="E600" s="77" t="s">
        <v>431</v>
      </c>
      <c r="F600" s="95">
        <v>4</v>
      </c>
      <c r="G600" s="78" t="s">
        <v>491</v>
      </c>
      <c r="H600" s="91">
        <f t="shared" si="36"/>
        <v>2024</v>
      </c>
      <c r="I600" s="7" t="s">
        <v>426</v>
      </c>
      <c r="J600" s="76" t="s">
        <v>694</v>
      </c>
    </row>
    <row r="601" spans="1:10">
      <c r="A601" s="75" t="str">
        <f t="shared" si="37"/>
        <v/>
      </c>
      <c r="B601" s="87">
        <v>31</v>
      </c>
      <c r="C601" s="96">
        <v>45509</v>
      </c>
      <c r="D601" s="76">
        <f t="shared" si="35"/>
        <v>8</v>
      </c>
      <c r="E601" s="77" t="s">
        <v>449</v>
      </c>
      <c r="F601" s="95">
        <v>2</v>
      </c>
      <c r="G601" s="78" t="s">
        <v>704</v>
      </c>
      <c r="H601" s="91">
        <f t="shared" si="36"/>
        <v>2024</v>
      </c>
      <c r="I601" s="7" t="s">
        <v>426</v>
      </c>
      <c r="J601" s="76" t="s">
        <v>694</v>
      </c>
    </row>
    <row r="602" spans="1:10">
      <c r="A602" s="75" t="str">
        <f t="shared" si="37"/>
        <v/>
      </c>
      <c r="B602" s="87">
        <v>32</v>
      </c>
      <c r="C602" s="96">
        <v>45509</v>
      </c>
      <c r="D602" s="76">
        <f t="shared" si="35"/>
        <v>8</v>
      </c>
      <c r="E602" s="77" t="s">
        <v>454</v>
      </c>
      <c r="F602" s="95">
        <v>2</v>
      </c>
      <c r="G602" s="78" t="s">
        <v>650</v>
      </c>
      <c r="H602" s="91">
        <f t="shared" si="36"/>
        <v>2024</v>
      </c>
      <c r="I602" s="7" t="s">
        <v>426</v>
      </c>
      <c r="J602" s="76" t="s">
        <v>694</v>
      </c>
    </row>
    <row r="603" spans="1:10">
      <c r="A603" s="75" t="str">
        <f t="shared" si="37"/>
        <v/>
      </c>
      <c r="B603" s="87">
        <v>33</v>
      </c>
      <c r="C603" s="96">
        <v>45484</v>
      </c>
      <c r="D603" s="76">
        <f t="shared" ref="D603:D623" si="38">MONTH(C603)</f>
        <v>7</v>
      </c>
      <c r="E603" s="77" t="s">
        <v>433</v>
      </c>
      <c r="F603" s="95">
        <v>4</v>
      </c>
      <c r="G603" s="78" t="s">
        <v>705</v>
      </c>
      <c r="H603" s="91">
        <f t="shared" ref="H603:H623" si="39">YEAR(C603)</f>
        <v>2024</v>
      </c>
      <c r="I603" s="7" t="s">
        <v>623</v>
      </c>
      <c r="J603" s="76" t="s">
        <v>694</v>
      </c>
    </row>
    <row r="604" spans="1:10">
      <c r="A604" s="75" t="str">
        <f t="shared" si="37"/>
        <v/>
      </c>
      <c r="B604" s="87">
        <v>34</v>
      </c>
      <c r="C604" s="96">
        <v>45485</v>
      </c>
      <c r="D604" s="76">
        <f t="shared" si="38"/>
        <v>7</v>
      </c>
      <c r="E604" s="77" t="s">
        <v>570</v>
      </c>
      <c r="F604" s="95">
        <v>4</v>
      </c>
      <c r="G604" s="78" t="s">
        <v>636</v>
      </c>
      <c r="H604" s="91">
        <f t="shared" si="39"/>
        <v>2024</v>
      </c>
      <c r="I604" s="7" t="s">
        <v>653</v>
      </c>
      <c r="J604" s="76" t="s">
        <v>694</v>
      </c>
    </row>
    <row r="605" spans="1:10">
      <c r="A605" s="75" t="str">
        <f t="shared" si="37"/>
        <v/>
      </c>
      <c r="B605" s="87">
        <v>35</v>
      </c>
      <c r="C605" s="96">
        <v>45485</v>
      </c>
      <c r="D605" s="76">
        <f t="shared" si="38"/>
        <v>7</v>
      </c>
      <c r="E605" s="77" t="s">
        <v>431</v>
      </c>
      <c r="F605" s="95">
        <v>4</v>
      </c>
      <c r="G605" s="78" t="s">
        <v>636</v>
      </c>
      <c r="H605" s="91">
        <f t="shared" si="39"/>
        <v>2024</v>
      </c>
      <c r="I605" s="7" t="s">
        <v>623</v>
      </c>
      <c r="J605" s="76" t="s">
        <v>694</v>
      </c>
    </row>
    <row r="606" spans="1:10">
      <c r="A606" s="75" t="str">
        <f t="shared" si="37"/>
        <v/>
      </c>
      <c r="B606" s="87">
        <v>36</v>
      </c>
      <c r="C606" s="96">
        <v>45488</v>
      </c>
      <c r="D606" s="76">
        <f t="shared" si="38"/>
        <v>7</v>
      </c>
      <c r="E606" s="77" t="s">
        <v>431</v>
      </c>
      <c r="F606" s="95">
        <v>4</v>
      </c>
      <c r="G606" s="78" t="s">
        <v>636</v>
      </c>
      <c r="H606" s="91">
        <f t="shared" si="39"/>
        <v>2024</v>
      </c>
      <c r="I606" s="7" t="s">
        <v>625</v>
      </c>
      <c r="J606" s="76" t="s">
        <v>694</v>
      </c>
    </row>
    <row r="607" spans="1:10">
      <c r="A607" s="75" t="str">
        <f t="shared" si="37"/>
        <v/>
      </c>
      <c r="B607" s="87">
        <v>37</v>
      </c>
      <c r="C607" s="96">
        <v>45488</v>
      </c>
      <c r="D607" s="76">
        <f t="shared" si="38"/>
        <v>7</v>
      </c>
      <c r="E607" s="77" t="s">
        <v>438</v>
      </c>
      <c r="F607" s="95">
        <v>4</v>
      </c>
      <c r="G607" s="78" t="s">
        <v>475</v>
      </c>
      <c r="H607" s="91">
        <f t="shared" si="39"/>
        <v>2024</v>
      </c>
      <c r="I607" s="7" t="s">
        <v>653</v>
      </c>
      <c r="J607" s="76" t="s">
        <v>694</v>
      </c>
    </row>
    <row r="608" spans="1:10">
      <c r="A608" s="75" t="str">
        <f t="shared" si="37"/>
        <v/>
      </c>
      <c r="B608" s="87">
        <v>38</v>
      </c>
      <c r="C608" s="96">
        <v>45491</v>
      </c>
      <c r="D608" s="76">
        <f t="shared" si="38"/>
        <v>7</v>
      </c>
      <c r="E608" s="77" t="s">
        <v>438</v>
      </c>
      <c r="F608" s="95">
        <v>4</v>
      </c>
      <c r="G608" s="78" t="s">
        <v>636</v>
      </c>
      <c r="H608" s="91">
        <f t="shared" si="39"/>
        <v>2024</v>
      </c>
      <c r="I608" s="7" t="s">
        <v>623</v>
      </c>
      <c r="J608" s="76" t="s">
        <v>694</v>
      </c>
    </row>
    <row r="609" spans="1:10">
      <c r="A609" s="75" t="str">
        <f t="shared" si="37"/>
        <v/>
      </c>
      <c r="B609" s="87">
        <v>39</v>
      </c>
      <c r="C609" s="96">
        <v>45491</v>
      </c>
      <c r="D609" s="76">
        <f t="shared" si="38"/>
        <v>7</v>
      </c>
      <c r="E609" s="77" t="s">
        <v>433</v>
      </c>
      <c r="F609" s="95">
        <v>4</v>
      </c>
      <c r="G609" s="78" t="s">
        <v>636</v>
      </c>
      <c r="H609" s="91">
        <f t="shared" si="39"/>
        <v>2024</v>
      </c>
      <c r="I609" s="7" t="s">
        <v>625</v>
      </c>
      <c r="J609" s="76" t="s">
        <v>694</v>
      </c>
    </row>
    <row r="610" spans="1:10">
      <c r="A610" s="75" t="str">
        <f t="shared" si="37"/>
        <v/>
      </c>
      <c r="B610" s="87">
        <v>40</v>
      </c>
      <c r="C610" s="96">
        <v>45492</v>
      </c>
      <c r="D610" s="76">
        <f t="shared" si="38"/>
        <v>7</v>
      </c>
      <c r="E610" s="77" t="s">
        <v>431</v>
      </c>
      <c r="F610" s="95">
        <v>4</v>
      </c>
      <c r="G610" s="78" t="s">
        <v>636</v>
      </c>
      <c r="H610" s="91">
        <f t="shared" si="39"/>
        <v>2024</v>
      </c>
      <c r="I610" s="7" t="s">
        <v>625</v>
      </c>
      <c r="J610" s="76" t="s">
        <v>694</v>
      </c>
    </row>
    <row r="611" spans="1:10">
      <c r="A611" s="75" t="str">
        <f t="shared" si="37"/>
        <v/>
      </c>
      <c r="B611" s="87">
        <v>41</v>
      </c>
      <c r="C611" s="96">
        <v>45492</v>
      </c>
      <c r="D611" s="76">
        <f t="shared" si="38"/>
        <v>7</v>
      </c>
      <c r="E611" s="77" t="s">
        <v>428</v>
      </c>
      <c r="F611" s="95">
        <v>4</v>
      </c>
      <c r="G611" s="78" t="s">
        <v>561</v>
      </c>
      <c r="H611" s="91">
        <f t="shared" si="39"/>
        <v>2024</v>
      </c>
      <c r="I611" s="7" t="s">
        <v>653</v>
      </c>
      <c r="J611" s="76" t="s">
        <v>694</v>
      </c>
    </row>
    <row r="612" spans="1:10">
      <c r="A612" s="75" t="str">
        <f t="shared" si="37"/>
        <v/>
      </c>
      <c r="B612" s="87">
        <v>42</v>
      </c>
      <c r="C612" s="96">
        <v>45495</v>
      </c>
      <c r="D612" s="76">
        <f t="shared" si="38"/>
        <v>7</v>
      </c>
      <c r="E612" s="77" t="s">
        <v>428</v>
      </c>
      <c r="F612" s="95">
        <v>4</v>
      </c>
      <c r="G612" s="78" t="s">
        <v>706</v>
      </c>
      <c r="H612" s="91">
        <f t="shared" si="39"/>
        <v>2024</v>
      </c>
      <c r="I612" s="7" t="s">
        <v>625</v>
      </c>
      <c r="J612" s="76" t="s">
        <v>694</v>
      </c>
    </row>
    <row r="613" spans="1:10">
      <c r="A613" s="75" t="str">
        <f t="shared" si="37"/>
        <v/>
      </c>
      <c r="B613" s="87">
        <v>43</v>
      </c>
      <c r="C613" s="96">
        <v>45496</v>
      </c>
      <c r="D613" s="76">
        <f t="shared" si="38"/>
        <v>7</v>
      </c>
      <c r="E613" s="77" t="s">
        <v>453</v>
      </c>
      <c r="F613" s="95">
        <v>4</v>
      </c>
      <c r="G613" s="78" t="s">
        <v>569</v>
      </c>
      <c r="H613" s="91">
        <f t="shared" si="39"/>
        <v>2024</v>
      </c>
      <c r="I613" s="7" t="s">
        <v>623</v>
      </c>
      <c r="J613" s="76" t="s">
        <v>694</v>
      </c>
    </row>
    <row r="614" spans="1:10">
      <c r="A614" s="75" t="str">
        <f t="shared" si="37"/>
        <v/>
      </c>
      <c r="B614" s="87">
        <v>44</v>
      </c>
      <c r="C614" s="96">
        <v>45497</v>
      </c>
      <c r="D614" s="76">
        <f t="shared" si="38"/>
        <v>7</v>
      </c>
      <c r="E614" s="77" t="s">
        <v>431</v>
      </c>
      <c r="F614" s="95">
        <v>4</v>
      </c>
      <c r="G614" s="78" t="s">
        <v>636</v>
      </c>
      <c r="H614" s="91">
        <f t="shared" si="39"/>
        <v>2024</v>
      </c>
      <c r="I614" s="7" t="s">
        <v>653</v>
      </c>
      <c r="J614" s="76" t="s">
        <v>694</v>
      </c>
    </row>
    <row r="615" spans="1:10">
      <c r="A615" s="75" t="str">
        <f t="shared" si="37"/>
        <v/>
      </c>
      <c r="B615" s="87">
        <v>45</v>
      </c>
      <c r="C615" s="96">
        <v>45498</v>
      </c>
      <c r="D615" s="76">
        <f t="shared" si="38"/>
        <v>7</v>
      </c>
      <c r="E615" s="77" t="s">
        <v>570</v>
      </c>
      <c r="F615" s="95">
        <v>4</v>
      </c>
      <c r="G615" s="78" t="s">
        <v>636</v>
      </c>
      <c r="H615" s="91">
        <f t="shared" si="39"/>
        <v>2024</v>
      </c>
      <c r="I615" s="7" t="s">
        <v>625</v>
      </c>
      <c r="J615" s="76" t="s">
        <v>694</v>
      </c>
    </row>
    <row r="616" spans="1:10">
      <c r="A616" s="75" t="str">
        <f t="shared" si="37"/>
        <v/>
      </c>
      <c r="B616" s="87">
        <v>46</v>
      </c>
      <c r="C616" s="96">
        <v>45499</v>
      </c>
      <c r="D616" s="76">
        <f t="shared" si="38"/>
        <v>7</v>
      </c>
      <c r="E616" s="77" t="s">
        <v>428</v>
      </c>
      <c r="F616" s="95">
        <v>4</v>
      </c>
      <c r="G616" s="78" t="s">
        <v>636</v>
      </c>
      <c r="H616" s="91">
        <f t="shared" si="39"/>
        <v>2024</v>
      </c>
      <c r="I616" s="7" t="s">
        <v>707</v>
      </c>
      <c r="J616" s="76" t="s">
        <v>694</v>
      </c>
    </row>
    <row r="617" spans="1:10">
      <c r="A617" s="75" t="str">
        <f t="shared" si="37"/>
        <v/>
      </c>
      <c r="B617" s="87">
        <v>47</v>
      </c>
      <c r="C617" s="96">
        <v>45499</v>
      </c>
      <c r="D617" s="76">
        <f t="shared" si="38"/>
        <v>7</v>
      </c>
      <c r="E617" s="77" t="s">
        <v>424</v>
      </c>
      <c r="F617" s="95">
        <v>4</v>
      </c>
      <c r="G617" s="78" t="s">
        <v>636</v>
      </c>
      <c r="H617" s="91">
        <f t="shared" si="39"/>
        <v>2024</v>
      </c>
      <c r="I617" s="7" t="s">
        <v>623</v>
      </c>
      <c r="J617" s="76" t="s">
        <v>694</v>
      </c>
    </row>
    <row r="618" spans="1:10">
      <c r="A618" s="75" t="str">
        <f t="shared" si="37"/>
        <v/>
      </c>
      <c r="B618" s="87">
        <v>48</v>
      </c>
      <c r="C618" s="96">
        <v>45500</v>
      </c>
      <c r="D618" s="76">
        <f t="shared" si="38"/>
        <v>7</v>
      </c>
      <c r="E618" s="77" t="s">
        <v>570</v>
      </c>
      <c r="F618" s="95">
        <v>4</v>
      </c>
      <c r="G618" s="78" t="s">
        <v>636</v>
      </c>
      <c r="H618" s="91">
        <f t="shared" si="39"/>
        <v>2024</v>
      </c>
      <c r="I618" s="7" t="s">
        <v>625</v>
      </c>
      <c r="J618" s="76" t="s">
        <v>694</v>
      </c>
    </row>
    <row r="619" spans="1:10">
      <c r="A619" s="75" t="str">
        <f t="shared" si="37"/>
        <v/>
      </c>
      <c r="B619" s="87">
        <v>49</v>
      </c>
      <c r="C619" s="96">
        <v>45502</v>
      </c>
      <c r="D619" s="76">
        <f t="shared" si="38"/>
        <v>7</v>
      </c>
      <c r="E619" s="77" t="s">
        <v>431</v>
      </c>
      <c r="F619" s="95">
        <v>4</v>
      </c>
      <c r="G619" s="78" t="s">
        <v>434</v>
      </c>
      <c r="H619" s="91">
        <f t="shared" si="39"/>
        <v>2024</v>
      </c>
      <c r="I619" s="7" t="s">
        <v>708</v>
      </c>
      <c r="J619" s="76" t="s">
        <v>694</v>
      </c>
    </row>
    <row r="620" spans="1:10">
      <c r="A620" s="75" t="str">
        <f t="shared" si="37"/>
        <v/>
      </c>
      <c r="B620" s="87">
        <v>50</v>
      </c>
      <c r="C620" s="96">
        <v>45503</v>
      </c>
      <c r="D620" s="76">
        <f t="shared" si="38"/>
        <v>7</v>
      </c>
      <c r="E620" s="77" t="s">
        <v>433</v>
      </c>
      <c r="F620" s="95">
        <v>4</v>
      </c>
      <c r="G620" s="78" t="s">
        <v>636</v>
      </c>
      <c r="H620" s="91">
        <f t="shared" si="39"/>
        <v>2024</v>
      </c>
      <c r="I620" s="7" t="s">
        <v>625</v>
      </c>
      <c r="J620" s="76" t="s">
        <v>694</v>
      </c>
    </row>
    <row r="621" spans="1:10">
      <c r="A621" s="75" t="str">
        <f t="shared" si="37"/>
        <v/>
      </c>
      <c r="B621" s="87">
        <v>51</v>
      </c>
      <c r="C621" s="96">
        <v>45505</v>
      </c>
      <c r="D621" s="76">
        <f t="shared" si="38"/>
        <v>8</v>
      </c>
      <c r="E621" s="77" t="s">
        <v>570</v>
      </c>
      <c r="F621" s="95">
        <v>4</v>
      </c>
      <c r="G621" s="78" t="s">
        <v>636</v>
      </c>
      <c r="H621" s="91">
        <f t="shared" si="39"/>
        <v>2024</v>
      </c>
      <c r="I621" s="7" t="s">
        <v>625</v>
      </c>
      <c r="J621" s="76" t="s">
        <v>694</v>
      </c>
    </row>
    <row r="622" spans="1:10">
      <c r="A622" s="75" t="str">
        <f t="shared" si="37"/>
        <v/>
      </c>
      <c r="B622" s="87">
        <v>52</v>
      </c>
      <c r="C622" s="96">
        <v>45506</v>
      </c>
      <c r="D622" s="76">
        <f t="shared" si="38"/>
        <v>8</v>
      </c>
      <c r="E622" s="77" t="s">
        <v>492</v>
      </c>
      <c r="F622" s="95">
        <v>4</v>
      </c>
      <c r="G622" s="78" t="s">
        <v>448</v>
      </c>
      <c r="H622" s="91">
        <f t="shared" si="39"/>
        <v>2024</v>
      </c>
      <c r="I622" s="7" t="s">
        <v>625</v>
      </c>
      <c r="J622" s="76" t="s">
        <v>694</v>
      </c>
    </row>
    <row r="623" spans="1:10">
      <c r="A623" s="75" t="str">
        <f t="shared" si="37"/>
        <v/>
      </c>
      <c r="B623" s="87">
        <v>53</v>
      </c>
      <c r="C623" s="96">
        <v>45513</v>
      </c>
      <c r="D623" s="76">
        <f t="shared" si="38"/>
        <v>8</v>
      </c>
      <c r="E623" s="77" t="s">
        <v>431</v>
      </c>
      <c r="F623" s="95">
        <v>4</v>
      </c>
      <c r="G623" s="78" t="s">
        <v>636</v>
      </c>
      <c r="H623" s="91">
        <f t="shared" si="39"/>
        <v>2024</v>
      </c>
      <c r="I623" s="7" t="s">
        <v>625</v>
      </c>
      <c r="J623" s="76" t="s">
        <v>694</v>
      </c>
    </row>
    <row r="624" spans="1:10">
      <c r="A624" s="75" t="str">
        <f t="shared" si="37"/>
        <v/>
      </c>
    </row>
    <row r="625" spans="1:10">
      <c r="A625" s="75" t="str">
        <f t="shared" si="37"/>
        <v/>
      </c>
      <c r="B625" s="87">
        <v>1</v>
      </c>
      <c r="C625" s="96">
        <v>45381</v>
      </c>
      <c r="D625" s="76">
        <f t="shared" ref="D625:D665" si="40">MONTH(C625)</f>
        <v>3</v>
      </c>
      <c r="E625" s="77" t="s">
        <v>433</v>
      </c>
      <c r="F625" s="95">
        <v>4</v>
      </c>
      <c r="G625" s="78" t="s">
        <v>555</v>
      </c>
      <c r="H625" s="91">
        <f t="shared" ref="H625:H665" si="41">YEAR(C625)</f>
        <v>2024</v>
      </c>
      <c r="I625" s="7" t="s">
        <v>426</v>
      </c>
      <c r="J625" s="76" t="s">
        <v>709</v>
      </c>
    </row>
    <row r="626" spans="1:10">
      <c r="A626" s="75" t="str">
        <f t="shared" si="37"/>
        <v/>
      </c>
      <c r="B626" s="87">
        <v>2</v>
      </c>
      <c r="C626" s="96">
        <v>45384</v>
      </c>
      <c r="D626" s="76">
        <f t="shared" si="40"/>
        <v>4</v>
      </c>
      <c r="E626" s="77" t="s">
        <v>453</v>
      </c>
      <c r="F626" s="95">
        <v>4</v>
      </c>
      <c r="G626" s="78" t="s">
        <v>563</v>
      </c>
      <c r="H626" s="91">
        <f t="shared" si="41"/>
        <v>2024</v>
      </c>
      <c r="I626" s="7" t="s">
        <v>426</v>
      </c>
      <c r="J626" s="76" t="s">
        <v>709</v>
      </c>
    </row>
    <row r="627" spans="1:10">
      <c r="A627" s="75" t="str">
        <f t="shared" si="37"/>
        <v/>
      </c>
      <c r="B627" s="87">
        <v>3</v>
      </c>
      <c r="C627" s="96">
        <v>45385</v>
      </c>
      <c r="D627" s="76">
        <f t="shared" si="40"/>
        <v>4</v>
      </c>
      <c r="E627" s="77" t="s">
        <v>570</v>
      </c>
      <c r="F627" s="95">
        <v>4</v>
      </c>
      <c r="G627" s="78" t="s">
        <v>442</v>
      </c>
      <c r="H627" s="91">
        <f t="shared" si="41"/>
        <v>2024</v>
      </c>
      <c r="I627" s="7" t="s">
        <v>426</v>
      </c>
      <c r="J627" s="76" t="s">
        <v>709</v>
      </c>
    </row>
    <row r="628" spans="1:10">
      <c r="A628" s="75" t="str">
        <f t="shared" si="37"/>
        <v/>
      </c>
      <c r="B628" s="87">
        <v>4</v>
      </c>
      <c r="C628" s="96">
        <v>45385</v>
      </c>
      <c r="D628" s="76">
        <f t="shared" si="40"/>
        <v>4</v>
      </c>
      <c r="E628" s="77" t="s">
        <v>438</v>
      </c>
      <c r="F628" s="95">
        <v>4</v>
      </c>
      <c r="G628" s="78" t="s">
        <v>442</v>
      </c>
      <c r="H628" s="91">
        <f t="shared" si="41"/>
        <v>2024</v>
      </c>
      <c r="I628" s="7" t="s">
        <v>426</v>
      </c>
      <c r="J628" s="76" t="s">
        <v>709</v>
      </c>
    </row>
    <row r="629" spans="1:10">
      <c r="A629" s="75" t="str">
        <f t="shared" si="37"/>
        <v/>
      </c>
      <c r="B629" s="87">
        <v>5</v>
      </c>
      <c r="C629" s="96">
        <v>45386</v>
      </c>
      <c r="D629" s="76">
        <f t="shared" si="40"/>
        <v>4</v>
      </c>
      <c r="E629" s="77" t="s">
        <v>492</v>
      </c>
      <c r="F629" s="95">
        <v>4</v>
      </c>
      <c r="G629" s="78" t="s">
        <v>567</v>
      </c>
      <c r="H629" s="91">
        <f t="shared" si="41"/>
        <v>2024</v>
      </c>
      <c r="I629" s="7" t="s">
        <v>426</v>
      </c>
      <c r="J629" s="76" t="s">
        <v>709</v>
      </c>
    </row>
    <row r="630" spans="1:10">
      <c r="A630" s="75" t="str">
        <f t="shared" si="37"/>
        <v/>
      </c>
      <c r="B630" s="87">
        <v>6</v>
      </c>
      <c r="C630" s="96">
        <v>45387</v>
      </c>
      <c r="D630" s="76">
        <f t="shared" si="40"/>
        <v>4</v>
      </c>
      <c r="E630" s="77" t="s">
        <v>428</v>
      </c>
      <c r="F630" s="95">
        <v>4</v>
      </c>
      <c r="G630" s="78" t="s">
        <v>442</v>
      </c>
      <c r="H630" s="91">
        <f t="shared" si="41"/>
        <v>2024</v>
      </c>
      <c r="I630" s="7" t="s">
        <v>426</v>
      </c>
      <c r="J630" s="76" t="s">
        <v>709</v>
      </c>
    </row>
    <row r="631" spans="1:10">
      <c r="A631" s="75" t="str">
        <f t="shared" si="37"/>
        <v/>
      </c>
      <c r="B631" s="87">
        <v>7</v>
      </c>
      <c r="C631" s="96">
        <v>45387</v>
      </c>
      <c r="D631" s="76">
        <f t="shared" si="40"/>
        <v>4</v>
      </c>
      <c r="E631" s="77" t="s">
        <v>570</v>
      </c>
      <c r="F631" s="95">
        <v>4</v>
      </c>
      <c r="G631" s="78" t="s">
        <v>472</v>
      </c>
      <c r="H631" s="91">
        <f t="shared" si="41"/>
        <v>2024</v>
      </c>
      <c r="I631" s="7" t="s">
        <v>426</v>
      </c>
      <c r="J631" s="76" t="s">
        <v>709</v>
      </c>
    </row>
    <row r="632" spans="1:10">
      <c r="A632" s="75" t="str">
        <f t="shared" si="37"/>
        <v/>
      </c>
      <c r="B632" s="87">
        <v>8</v>
      </c>
      <c r="C632" s="96">
        <v>45388</v>
      </c>
      <c r="D632" s="76">
        <f t="shared" si="40"/>
        <v>4</v>
      </c>
      <c r="E632" s="77" t="s">
        <v>431</v>
      </c>
      <c r="F632" s="95">
        <v>4</v>
      </c>
      <c r="G632" s="78" t="s">
        <v>591</v>
      </c>
      <c r="H632" s="91">
        <f t="shared" si="41"/>
        <v>2024</v>
      </c>
      <c r="I632" s="7" t="s">
        <v>426</v>
      </c>
      <c r="J632" s="76" t="s">
        <v>709</v>
      </c>
    </row>
    <row r="633" spans="1:10">
      <c r="A633" s="75" t="str">
        <f t="shared" si="37"/>
        <v/>
      </c>
      <c r="B633" s="87">
        <v>9</v>
      </c>
      <c r="C633" s="96">
        <v>45388</v>
      </c>
      <c r="D633" s="76">
        <f t="shared" si="40"/>
        <v>4</v>
      </c>
      <c r="E633" s="77" t="s">
        <v>570</v>
      </c>
      <c r="F633" s="95">
        <v>4</v>
      </c>
      <c r="G633" s="78" t="s">
        <v>710</v>
      </c>
      <c r="H633" s="91">
        <f t="shared" si="41"/>
        <v>2024</v>
      </c>
      <c r="I633" s="7" t="s">
        <v>426</v>
      </c>
      <c r="J633" s="76" t="s">
        <v>709</v>
      </c>
    </row>
    <row r="634" spans="1:10">
      <c r="A634" s="75" t="str">
        <f t="shared" si="37"/>
        <v/>
      </c>
      <c r="B634" s="87">
        <v>10</v>
      </c>
      <c r="C634" s="96">
        <v>45398</v>
      </c>
      <c r="D634" s="76">
        <f t="shared" si="40"/>
        <v>4</v>
      </c>
      <c r="E634" s="77" t="s">
        <v>431</v>
      </c>
      <c r="F634" s="95">
        <v>4</v>
      </c>
      <c r="G634" s="78" t="s">
        <v>711</v>
      </c>
      <c r="H634" s="91">
        <f t="shared" si="41"/>
        <v>2024</v>
      </c>
      <c r="I634" s="7" t="s">
        <v>426</v>
      </c>
      <c r="J634" s="76" t="s">
        <v>709</v>
      </c>
    </row>
    <row r="635" spans="1:10">
      <c r="A635" s="75" t="str">
        <f t="shared" si="37"/>
        <v/>
      </c>
      <c r="B635" s="87">
        <v>11</v>
      </c>
      <c r="C635" s="96">
        <v>45399</v>
      </c>
      <c r="D635" s="76">
        <f t="shared" si="40"/>
        <v>4</v>
      </c>
      <c r="E635" s="77" t="s">
        <v>431</v>
      </c>
      <c r="F635" s="95">
        <v>4</v>
      </c>
      <c r="G635" s="78" t="s">
        <v>591</v>
      </c>
      <c r="H635" s="91">
        <f t="shared" si="41"/>
        <v>2024</v>
      </c>
      <c r="I635" s="7" t="s">
        <v>426</v>
      </c>
      <c r="J635" s="76" t="s">
        <v>709</v>
      </c>
    </row>
    <row r="636" spans="1:10">
      <c r="A636" s="75" t="str">
        <f t="shared" si="37"/>
        <v/>
      </c>
      <c r="B636" s="87">
        <v>12</v>
      </c>
      <c r="C636" s="96">
        <v>45400</v>
      </c>
      <c r="D636" s="76">
        <f t="shared" si="40"/>
        <v>4</v>
      </c>
      <c r="E636" s="77" t="s">
        <v>453</v>
      </c>
      <c r="F636" s="95">
        <v>4</v>
      </c>
      <c r="G636" s="78" t="s">
        <v>585</v>
      </c>
      <c r="H636" s="91">
        <f t="shared" si="41"/>
        <v>2024</v>
      </c>
      <c r="I636" s="7" t="s">
        <v>426</v>
      </c>
      <c r="J636" s="76" t="s">
        <v>709</v>
      </c>
    </row>
    <row r="637" spans="1:10">
      <c r="A637" s="75" t="str">
        <f t="shared" si="37"/>
        <v/>
      </c>
      <c r="B637" s="87">
        <v>13</v>
      </c>
      <c r="C637" s="96">
        <v>45401</v>
      </c>
      <c r="D637" s="76">
        <f t="shared" si="40"/>
        <v>4</v>
      </c>
      <c r="E637" s="77" t="s">
        <v>570</v>
      </c>
      <c r="F637" s="95">
        <v>4</v>
      </c>
      <c r="G637" s="78" t="s">
        <v>472</v>
      </c>
      <c r="H637" s="91">
        <f t="shared" si="41"/>
        <v>2024</v>
      </c>
      <c r="I637" s="7" t="s">
        <v>426</v>
      </c>
      <c r="J637" s="76" t="s">
        <v>709</v>
      </c>
    </row>
    <row r="638" spans="1:10">
      <c r="A638" s="75" t="str">
        <f t="shared" si="37"/>
        <v/>
      </c>
      <c r="B638" s="87">
        <v>14</v>
      </c>
      <c r="C638" s="96">
        <v>45404</v>
      </c>
      <c r="D638" s="76">
        <f t="shared" si="40"/>
        <v>4</v>
      </c>
      <c r="E638" s="77" t="s">
        <v>428</v>
      </c>
      <c r="F638" s="95">
        <v>4</v>
      </c>
      <c r="G638" s="78" t="s">
        <v>567</v>
      </c>
      <c r="H638" s="91">
        <f t="shared" si="41"/>
        <v>2024</v>
      </c>
      <c r="I638" s="7" t="s">
        <v>426</v>
      </c>
      <c r="J638" s="76" t="s">
        <v>709</v>
      </c>
    </row>
    <row r="639" spans="1:10">
      <c r="A639" s="75" t="str">
        <f t="shared" si="37"/>
        <v/>
      </c>
      <c r="B639" s="87">
        <v>15</v>
      </c>
      <c r="C639" s="96">
        <v>45404</v>
      </c>
      <c r="D639" s="76">
        <f t="shared" si="40"/>
        <v>4</v>
      </c>
      <c r="E639" s="77" t="s">
        <v>424</v>
      </c>
      <c r="F639" s="95">
        <v>4</v>
      </c>
      <c r="G639" s="78" t="s">
        <v>642</v>
      </c>
      <c r="H639" s="91">
        <f t="shared" si="41"/>
        <v>2024</v>
      </c>
      <c r="I639" s="7" t="s">
        <v>426</v>
      </c>
      <c r="J639" s="76" t="s">
        <v>709</v>
      </c>
    </row>
    <row r="640" spans="1:10">
      <c r="A640" s="75" t="str">
        <f t="shared" si="37"/>
        <v/>
      </c>
      <c r="B640" s="87">
        <v>16</v>
      </c>
      <c r="C640" s="96">
        <v>45405</v>
      </c>
      <c r="D640" s="76">
        <f t="shared" si="40"/>
        <v>4</v>
      </c>
      <c r="E640" s="77" t="s">
        <v>570</v>
      </c>
      <c r="F640" s="95">
        <v>4</v>
      </c>
      <c r="G640" s="78" t="s">
        <v>467</v>
      </c>
      <c r="H640" s="91">
        <f t="shared" si="41"/>
        <v>2024</v>
      </c>
      <c r="I640" s="7" t="s">
        <v>426</v>
      </c>
      <c r="J640" s="76" t="s">
        <v>709</v>
      </c>
    </row>
    <row r="641" spans="1:10">
      <c r="A641" s="75" t="str">
        <f t="shared" si="37"/>
        <v/>
      </c>
      <c r="B641" s="87">
        <v>17</v>
      </c>
      <c r="C641" s="96">
        <v>45406</v>
      </c>
      <c r="D641" s="76">
        <f t="shared" si="40"/>
        <v>4</v>
      </c>
      <c r="E641" s="77" t="s">
        <v>438</v>
      </c>
      <c r="F641" s="95">
        <v>4</v>
      </c>
      <c r="G641" s="78" t="s">
        <v>559</v>
      </c>
      <c r="H641" s="91">
        <f t="shared" si="41"/>
        <v>2024</v>
      </c>
      <c r="I641" s="7" t="s">
        <v>426</v>
      </c>
      <c r="J641" s="76" t="s">
        <v>709</v>
      </c>
    </row>
    <row r="642" spans="1:10">
      <c r="A642" s="75" t="str">
        <f t="shared" si="37"/>
        <v/>
      </c>
      <c r="B642" s="87">
        <v>18</v>
      </c>
      <c r="C642" s="96">
        <v>45406</v>
      </c>
      <c r="D642" s="76">
        <f t="shared" si="40"/>
        <v>4</v>
      </c>
      <c r="E642" s="77" t="s">
        <v>453</v>
      </c>
      <c r="F642" s="95">
        <v>4</v>
      </c>
      <c r="G642" s="78" t="s">
        <v>561</v>
      </c>
      <c r="H642" s="91">
        <f t="shared" si="41"/>
        <v>2024</v>
      </c>
      <c r="I642" s="7" t="s">
        <v>426</v>
      </c>
      <c r="J642" s="76" t="s">
        <v>709</v>
      </c>
    </row>
    <row r="643" spans="1:10">
      <c r="A643" s="75" t="str">
        <f t="shared" si="37"/>
        <v/>
      </c>
      <c r="B643" s="87">
        <v>19</v>
      </c>
      <c r="C643" s="96">
        <v>45407</v>
      </c>
      <c r="D643" s="76">
        <f t="shared" si="40"/>
        <v>4</v>
      </c>
      <c r="E643" s="77" t="s">
        <v>431</v>
      </c>
      <c r="F643" s="95">
        <v>4</v>
      </c>
      <c r="G643" s="78" t="s">
        <v>512</v>
      </c>
      <c r="H643" s="91">
        <f t="shared" si="41"/>
        <v>2024</v>
      </c>
      <c r="I643" s="7" t="s">
        <v>426</v>
      </c>
      <c r="J643" s="76" t="s">
        <v>709</v>
      </c>
    </row>
    <row r="644" spans="1:10">
      <c r="A644" s="75" t="str">
        <f t="shared" si="37"/>
        <v/>
      </c>
      <c r="B644" s="87">
        <v>20</v>
      </c>
      <c r="C644" s="96">
        <v>45408</v>
      </c>
      <c r="D644" s="76">
        <f t="shared" si="40"/>
        <v>4</v>
      </c>
      <c r="E644" s="77" t="s">
        <v>570</v>
      </c>
      <c r="F644" s="95">
        <v>4</v>
      </c>
      <c r="G644" s="78" t="s">
        <v>589</v>
      </c>
      <c r="H644" s="91">
        <f t="shared" si="41"/>
        <v>2024</v>
      </c>
      <c r="I644" s="7" t="s">
        <v>426</v>
      </c>
      <c r="J644" s="76" t="s">
        <v>709</v>
      </c>
    </row>
    <row r="645" spans="1:10">
      <c r="A645" s="75" t="str">
        <f t="shared" si="37"/>
        <v/>
      </c>
      <c r="B645" s="87">
        <v>21</v>
      </c>
      <c r="C645" s="96">
        <v>45409</v>
      </c>
      <c r="D645" s="76">
        <f t="shared" si="40"/>
        <v>4</v>
      </c>
      <c r="E645" s="77" t="s">
        <v>424</v>
      </c>
      <c r="F645" s="95">
        <v>4</v>
      </c>
      <c r="G645" s="78" t="s">
        <v>473</v>
      </c>
      <c r="H645" s="91">
        <f t="shared" si="41"/>
        <v>2024</v>
      </c>
      <c r="I645" s="7" t="s">
        <v>426</v>
      </c>
      <c r="J645" s="76" t="s">
        <v>709</v>
      </c>
    </row>
    <row r="646" spans="1:10">
      <c r="A646" s="75" t="str">
        <f t="shared" si="37"/>
        <v/>
      </c>
      <c r="B646" s="87">
        <v>22</v>
      </c>
      <c r="C646" s="96">
        <v>45411</v>
      </c>
      <c r="D646" s="76">
        <f t="shared" si="40"/>
        <v>4</v>
      </c>
      <c r="E646" s="77" t="s">
        <v>428</v>
      </c>
      <c r="F646" s="95">
        <v>4</v>
      </c>
      <c r="G646" s="78" t="s">
        <v>712</v>
      </c>
      <c r="H646" s="91">
        <f t="shared" si="41"/>
        <v>2024</v>
      </c>
      <c r="I646" s="7" t="s">
        <v>426</v>
      </c>
      <c r="J646" s="76" t="s">
        <v>709</v>
      </c>
    </row>
    <row r="647" spans="1:10">
      <c r="A647" s="75" t="str">
        <f t="shared" si="37"/>
        <v/>
      </c>
      <c r="B647" s="87">
        <v>23</v>
      </c>
      <c r="C647" s="96">
        <v>45411</v>
      </c>
      <c r="D647" s="76">
        <f t="shared" si="40"/>
        <v>4</v>
      </c>
      <c r="E647" s="77" t="s">
        <v>438</v>
      </c>
      <c r="F647" s="95">
        <v>4</v>
      </c>
      <c r="G647" s="78" t="s">
        <v>514</v>
      </c>
      <c r="H647" s="91">
        <f t="shared" si="41"/>
        <v>2024</v>
      </c>
      <c r="I647" s="7" t="s">
        <v>426</v>
      </c>
      <c r="J647" s="76" t="s">
        <v>709</v>
      </c>
    </row>
    <row r="648" spans="1:10">
      <c r="A648" s="75" t="str">
        <f t="shared" si="37"/>
        <v/>
      </c>
      <c r="B648" s="87">
        <v>24</v>
      </c>
      <c r="C648" s="96">
        <v>45411</v>
      </c>
      <c r="D648" s="76">
        <f t="shared" si="40"/>
        <v>4</v>
      </c>
      <c r="E648" s="77" t="s">
        <v>431</v>
      </c>
      <c r="F648" s="95">
        <v>4</v>
      </c>
      <c r="G648" s="78" t="s">
        <v>514</v>
      </c>
      <c r="H648" s="91">
        <f t="shared" si="41"/>
        <v>2024</v>
      </c>
      <c r="I648" s="7" t="s">
        <v>426</v>
      </c>
      <c r="J648" s="76" t="s">
        <v>709</v>
      </c>
    </row>
    <row r="649" spans="1:10">
      <c r="A649" s="75" t="str">
        <f t="shared" si="37"/>
        <v/>
      </c>
      <c r="B649" s="87">
        <v>25</v>
      </c>
      <c r="C649" s="96">
        <v>45412</v>
      </c>
      <c r="D649" s="76">
        <f t="shared" si="40"/>
        <v>4</v>
      </c>
      <c r="E649" s="77" t="s">
        <v>492</v>
      </c>
      <c r="F649" s="95">
        <v>4</v>
      </c>
      <c r="G649" s="78" t="s">
        <v>472</v>
      </c>
      <c r="H649" s="91">
        <f t="shared" si="41"/>
        <v>2024</v>
      </c>
      <c r="I649" s="7" t="s">
        <v>426</v>
      </c>
      <c r="J649" s="76" t="s">
        <v>709</v>
      </c>
    </row>
    <row r="650" spans="1:10">
      <c r="A650" s="75" t="str">
        <f t="shared" si="37"/>
        <v/>
      </c>
      <c r="B650" s="87">
        <v>26</v>
      </c>
      <c r="C650" s="96">
        <v>45412</v>
      </c>
      <c r="D650" s="76">
        <f t="shared" si="40"/>
        <v>4</v>
      </c>
      <c r="E650" s="77" t="s">
        <v>431</v>
      </c>
      <c r="F650" s="95">
        <v>4</v>
      </c>
      <c r="G650" s="78" t="s">
        <v>559</v>
      </c>
      <c r="H650" s="91">
        <f t="shared" si="41"/>
        <v>2024</v>
      </c>
      <c r="I650" s="7" t="s">
        <v>426</v>
      </c>
      <c r="J650" s="76" t="s">
        <v>709</v>
      </c>
    </row>
    <row r="651" spans="1:10">
      <c r="A651" s="75" t="str">
        <f t="shared" ref="A651:A665" si="42">IF(AND($E$3="ALL",$E$4="ALL"),"ALL",IF(AND($E$3="ALL",$E$4&lt;&gt;"ALL"),IF(D651=$E$4,D651,""),IF(AND($E$3&lt;&gt;"ALL",$E$4="ALL"),IF(I651=$E$3,I651,""),"")))</f>
        <v/>
      </c>
      <c r="B651" s="87">
        <v>27</v>
      </c>
      <c r="C651" s="96">
        <v>45412</v>
      </c>
      <c r="D651" s="76">
        <f t="shared" si="40"/>
        <v>4</v>
      </c>
      <c r="E651" s="77" t="s">
        <v>424</v>
      </c>
      <c r="F651" s="95">
        <v>4</v>
      </c>
      <c r="G651" s="78" t="s">
        <v>442</v>
      </c>
      <c r="H651" s="91">
        <f t="shared" si="41"/>
        <v>2024</v>
      </c>
      <c r="I651" s="7" t="s">
        <v>426</v>
      </c>
      <c r="J651" s="76" t="s">
        <v>709</v>
      </c>
    </row>
    <row r="652" spans="1:10">
      <c r="A652" s="75" t="str">
        <f t="shared" si="42"/>
        <v/>
      </c>
      <c r="B652" s="87">
        <v>28</v>
      </c>
      <c r="C652" s="96">
        <v>45413</v>
      </c>
      <c r="D652" s="76">
        <f t="shared" si="40"/>
        <v>5</v>
      </c>
      <c r="E652" s="77" t="s">
        <v>428</v>
      </c>
      <c r="F652" s="95">
        <v>4</v>
      </c>
      <c r="G652" s="78" t="s">
        <v>713</v>
      </c>
      <c r="H652" s="91">
        <f t="shared" si="41"/>
        <v>2024</v>
      </c>
      <c r="I652" s="7" t="s">
        <v>426</v>
      </c>
      <c r="J652" s="76" t="s">
        <v>709</v>
      </c>
    </row>
    <row r="653" spans="1:10">
      <c r="A653" s="75" t="str">
        <f t="shared" si="42"/>
        <v/>
      </c>
      <c r="B653" s="87">
        <v>29</v>
      </c>
      <c r="C653" s="96">
        <v>45385</v>
      </c>
      <c r="D653" s="76">
        <f t="shared" si="40"/>
        <v>4</v>
      </c>
      <c r="E653" s="77" t="s">
        <v>428</v>
      </c>
      <c r="F653" s="95">
        <v>4</v>
      </c>
      <c r="G653" s="78" t="s">
        <v>556</v>
      </c>
      <c r="H653" s="91">
        <f t="shared" si="41"/>
        <v>2024</v>
      </c>
      <c r="I653" s="7" t="s">
        <v>714</v>
      </c>
      <c r="J653" s="76" t="s">
        <v>709</v>
      </c>
    </row>
    <row r="654" spans="1:10">
      <c r="A654" s="75" t="str">
        <f t="shared" si="42"/>
        <v/>
      </c>
      <c r="B654" s="87">
        <v>30</v>
      </c>
      <c r="C654" s="96">
        <v>45385</v>
      </c>
      <c r="D654" s="76">
        <f t="shared" si="40"/>
        <v>4</v>
      </c>
      <c r="E654" s="77" t="s">
        <v>431</v>
      </c>
      <c r="F654" s="95">
        <v>4</v>
      </c>
      <c r="G654" s="78" t="s">
        <v>556</v>
      </c>
      <c r="H654" s="91">
        <f t="shared" si="41"/>
        <v>2024</v>
      </c>
      <c r="I654" s="7" t="s">
        <v>653</v>
      </c>
      <c r="J654" s="76" t="s">
        <v>709</v>
      </c>
    </row>
    <row r="655" spans="1:10">
      <c r="A655" s="75" t="str">
        <f t="shared" si="42"/>
        <v/>
      </c>
      <c r="B655" s="87">
        <v>31</v>
      </c>
      <c r="C655" s="96">
        <v>45386</v>
      </c>
      <c r="D655" s="76">
        <f t="shared" si="40"/>
        <v>4</v>
      </c>
      <c r="E655" s="77" t="s">
        <v>431</v>
      </c>
      <c r="F655" s="95">
        <v>4</v>
      </c>
      <c r="G655" s="78" t="s">
        <v>556</v>
      </c>
      <c r="H655" s="91">
        <f t="shared" si="41"/>
        <v>2024</v>
      </c>
      <c r="I655" s="7" t="s">
        <v>623</v>
      </c>
      <c r="J655" s="76" t="s">
        <v>709</v>
      </c>
    </row>
    <row r="656" spans="1:10">
      <c r="A656" s="75" t="str">
        <f t="shared" si="42"/>
        <v/>
      </c>
      <c r="B656" s="87">
        <v>32</v>
      </c>
      <c r="C656" s="96">
        <v>45398</v>
      </c>
      <c r="D656" s="76">
        <f t="shared" si="40"/>
        <v>4</v>
      </c>
      <c r="E656" s="77" t="s">
        <v>431</v>
      </c>
      <c r="F656" s="95">
        <v>4</v>
      </c>
      <c r="G656" s="78" t="s">
        <v>513</v>
      </c>
      <c r="H656" s="91">
        <f t="shared" si="41"/>
        <v>2024</v>
      </c>
      <c r="I656" s="7" t="s">
        <v>653</v>
      </c>
      <c r="J656" s="76" t="s">
        <v>709</v>
      </c>
    </row>
    <row r="657" spans="1:10">
      <c r="A657" s="75" t="str">
        <f t="shared" si="42"/>
        <v/>
      </c>
      <c r="B657" s="87">
        <v>33</v>
      </c>
      <c r="C657" s="96">
        <v>45415</v>
      </c>
      <c r="D657" s="76">
        <f t="shared" si="40"/>
        <v>5</v>
      </c>
      <c r="E657" s="77" t="s">
        <v>431</v>
      </c>
      <c r="F657" s="95">
        <v>4</v>
      </c>
      <c r="G657" s="78" t="s">
        <v>715</v>
      </c>
      <c r="H657" s="91">
        <f t="shared" si="41"/>
        <v>2024</v>
      </c>
      <c r="I657" s="7" t="s">
        <v>623</v>
      </c>
      <c r="J657" s="76" t="s">
        <v>709</v>
      </c>
    </row>
    <row r="658" spans="1:10">
      <c r="A658" s="75" t="str">
        <f t="shared" si="42"/>
        <v/>
      </c>
      <c r="B658" s="87">
        <v>34</v>
      </c>
      <c r="C658" s="96">
        <v>45415</v>
      </c>
      <c r="D658" s="76">
        <f t="shared" si="40"/>
        <v>5</v>
      </c>
      <c r="E658" s="77" t="s">
        <v>424</v>
      </c>
      <c r="F658" s="95">
        <v>4</v>
      </c>
      <c r="G658" s="78" t="s">
        <v>715</v>
      </c>
      <c r="H658" s="91">
        <f t="shared" si="41"/>
        <v>2024</v>
      </c>
      <c r="I658" s="7" t="s">
        <v>716</v>
      </c>
      <c r="J658" s="76" t="s">
        <v>709</v>
      </c>
    </row>
    <row r="659" spans="1:10">
      <c r="A659" s="75" t="str">
        <f t="shared" si="42"/>
        <v/>
      </c>
      <c r="B659" s="87">
        <v>35</v>
      </c>
      <c r="C659" s="96">
        <v>45416</v>
      </c>
      <c r="D659" s="76">
        <f t="shared" si="40"/>
        <v>5</v>
      </c>
      <c r="E659" s="77" t="s">
        <v>424</v>
      </c>
      <c r="F659" s="95">
        <v>4</v>
      </c>
      <c r="G659" s="78" t="s">
        <v>717</v>
      </c>
      <c r="H659" s="91">
        <f t="shared" si="41"/>
        <v>2024</v>
      </c>
      <c r="I659" s="7" t="s">
        <v>653</v>
      </c>
      <c r="J659" s="76" t="s">
        <v>709</v>
      </c>
    </row>
    <row r="660" spans="1:10">
      <c r="A660" s="75" t="str">
        <f t="shared" si="42"/>
        <v/>
      </c>
      <c r="B660" s="87">
        <v>36</v>
      </c>
      <c r="C660" s="96">
        <v>45416</v>
      </c>
      <c r="D660" s="76">
        <f t="shared" si="40"/>
        <v>5</v>
      </c>
      <c r="E660" s="77" t="s">
        <v>492</v>
      </c>
      <c r="F660" s="95">
        <v>4</v>
      </c>
      <c r="G660" s="78" t="s">
        <v>718</v>
      </c>
      <c r="H660" s="91">
        <f t="shared" si="41"/>
        <v>2024</v>
      </c>
      <c r="I660" s="7" t="s">
        <v>653</v>
      </c>
      <c r="J660" s="76" t="s">
        <v>709</v>
      </c>
    </row>
    <row r="661" spans="1:10">
      <c r="A661" s="75" t="str">
        <f t="shared" si="42"/>
        <v/>
      </c>
      <c r="B661" s="87">
        <v>37</v>
      </c>
      <c r="C661" s="96">
        <v>45416</v>
      </c>
      <c r="D661" s="76">
        <f t="shared" si="40"/>
        <v>5</v>
      </c>
      <c r="E661" s="77" t="s">
        <v>492</v>
      </c>
      <c r="F661" s="95">
        <v>4</v>
      </c>
      <c r="G661" s="78" t="s">
        <v>439</v>
      </c>
      <c r="H661" s="91">
        <f t="shared" si="41"/>
        <v>2024</v>
      </c>
      <c r="I661" s="7" t="s">
        <v>653</v>
      </c>
      <c r="J661" s="76" t="s">
        <v>709</v>
      </c>
    </row>
    <row r="662" spans="1:10">
      <c r="A662" s="75" t="str">
        <f t="shared" si="42"/>
        <v/>
      </c>
      <c r="B662" s="87">
        <v>38</v>
      </c>
      <c r="C662" s="96">
        <v>45418</v>
      </c>
      <c r="D662" s="76">
        <f t="shared" si="40"/>
        <v>5</v>
      </c>
      <c r="E662" s="77" t="s">
        <v>492</v>
      </c>
      <c r="F662" s="95">
        <v>4</v>
      </c>
      <c r="G662" s="78" t="s">
        <v>439</v>
      </c>
      <c r="H662" s="91">
        <f t="shared" si="41"/>
        <v>2024</v>
      </c>
      <c r="I662" s="7" t="s">
        <v>625</v>
      </c>
      <c r="J662" s="76" t="s">
        <v>709</v>
      </c>
    </row>
    <row r="663" spans="1:10">
      <c r="A663" s="75" t="str">
        <f t="shared" si="42"/>
        <v/>
      </c>
      <c r="B663" s="87">
        <v>39</v>
      </c>
      <c r="C663" s="96">
        <v>45418</v>
      </c>
      <c r="D663" s="76">
        <f t="shared" si="40"/>
        <v>5</v>
      </c>
      <c r="E663" s="77" t="s">
        <v>438</v>
      </c>
      <c r="F663" s="95">
        <v>4</v>
      </c>
      <c r="G663" s="78" t="s">
        <v>439</v>
      </c>
      <c r="H663" s="91">
        <f t="shared" si="41"/>
        <v>2024</v>
      </c>
      <c r="I663" s="7" t="s">
        <v>625</v>
      </c>
      <c r="J663" s="76" t="s">
        <v>709</v>
      </c>
    </row>
    <row r="664" spans="1:10">
      <c r="A664" s="75" t="str">
        <f t="shared" si="42"/>
        <v/>
      </c>
      <c r="B664" s="87">
        <v>40</v>
      </c>
      <c r="C664" s="96">
        <v>45419</v>
      </c>
      <c r="D664" s="76">
        <f t="shared" si="40"/>
        <v>5</v>
      </c>
      <c r="E664" s="77" t="s">
        <v>438</v>
      </c>
      <c r="F664" s="95">
        <v>4</v>
      </c>
      <c r="G664" s="78" t="s">
        <v>667</v>
      </c>
      <c r="H664" s="91">
        <f t="shared" si="41"/>
        <v>2024</v>
      </c>
      <c r="I664" s="7" t="s">
        <v>625</v>
      </c>
      <c r="J664" s="76" t="s">
        <v>709</v>
      </c>
    </row>
    <row r="665" spans="1:10">
      <c r="A665" s="75" t="str">
        <f t="shared" si="42"/>
        <v/>
      </c>
      <c r="B665" s="87">
        <v>41</v>
      </c>
      <c r="C665" s="96">
        <v>45421</v>
      </c>
      <c r="D665" s="76">
        <f t="shared" si="40"/>
        <v>5</v>
      </c>
      <c r="E665" s="77" t="s">
        <v>438</v>
      </c>
      <c r="F665" s="95">
        <v>4</v>
      </c>
      <c r="G665" s="78" t="s">
        <v>667</v>
      </c>
      <c r="H665" s="91">
        <f t="shared" si="41"/>
        <v>2024</v>
      </c>
      <c r="I665" s="7" t="s">
        <v>625</v>
      </c>
      <c r="J665" s="76" t="s">
        <v>709</v>
      </c>
    </row>
    <row r="5215" spans="4:9">
      <c r="D5215" s="76" t="s">
        <v>416</v>
      </c>
      <c r="I5215" s="76" t="s">
        <v>416</v>
      </c>
    </row>
    <row r="6007" spans="2:2">
      <c r="B6007" s="100"/>
    </row>
  </sheetData>
  <mergeCells count="5">
    <mergeCell ref="E2:F2"/>
    <mergeCell ref="E3:F3"/>
    <mergeCell ref="E4:F4"/>
    <mergeCell ref="E5:F5"/>
    <mergeCell ref="E6:F6"/>
  </mergeCells>
  <dataValidations count="3">
    <dataValidation type="list" showErrorMessage="1" sqref="E3" xr:uid="{25374813-9D6F-421B-91F8-58C93B3B0C45}">
      <formula1>$I$11:$I$10002</formula1>
    </dataValidation>
    <dataValidation type="list" showErrorMessage="1" sqref="E4" xr:uid="{E9F4DE17-E0F4-4B1B-94BE-1BC1812BDAB1}">
      <formula1>$D$11:$D$10002</formula1>
    </dataValidation>
    <dataValidation type="list" sqref="E5" xr:uid="{5AC24A78-EE5C-4C4B-9A8A-AACE19D6A577}">
      <formula1>0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../../Templates/tono1.ots</Template>
  <TotalTime>121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Internal</vt:lpstr>
      <vt:lpstr>Data BBM</vt:lpstr>
      <vt:lpstr>Data Maintenance</vt:lpstr>
      <vt:lpstr>Eksternal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tono</dc:title>
  <dc:creator>asus</dc:creator>
  <cp:lastModifiedBy>Michael Sugiarto</cp:lastModifiedBy>
  <cp:revision>18</cp:revision>
  <dcterms:created xsi:type="dcterms:W3CDTF">2026-01-19T14:31:29Z</dcterms:created>
  <dcterms:modified xsi:type="dcterms:W3CDTF">2026-02-02T08:38:03Z</dcterms:modified>
</cp:coreProperties>
</file>